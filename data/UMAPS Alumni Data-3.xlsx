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ONGOING" sheetId="1" r:id="rId4"/>
    <sheet state="visible" name="Numbers for Infographic" sheetId="2" r:id="rId5"/>
    <sheet state="visible" name="Current cohort" sheetId="3" r:id="rId6"/>
    <sheet state="visible" name="PhD updates" sheetId="4" r:id="rId7"/>
    <sheet state="visible" name="Books" sheetId="5" r:id="rId8"/>
    <sheet state="visible" name="Promotions" sheetId="6" r:id="rId9"/>
    <sheet state="visible" name="Awards" sheetId="7" r:id="rId10"/>
    <sheet state="visible" name="Moody Scholars" sheetId="8" r:id="rId11"/>
    <sheet state="visible" name="Ghana by Uni" sheetId="9" r:id="rId12"/>
    <sheet state="visible" name="So Africa by Uni" sheetId="10" r:id="rId13"/>
    <sheet state="visible" name="Liberia by Uni" sheetId="11" r:id="rId14"/>
    <sheet state="visible" name="Uganda by Uni" sheetId="12" r:id="rId15"/>
    <sheet state="visible" name="Ethiopia by Uni" sheetId="13" r:id="rId16"/>
    <sheet state="visible" name="Other by Uni" sheetId="14" r:id="rId17"/>
    <sheet state="visible" name="Distribution by University" sheetId="15" r:id="rId18"/>
    <sheet state="visible" name="UMAPS Unis LIST" sheetId="16" r:id="rId19"/>
    <sheet state="visible" name="Adi-Dako, Ofosua " sheetId="17" r:id="rId20"/>
    <sheet state="visible" name="Alatinga, Kennedy" sheetId="18" r:id="rId21"/>
    <sheet state="visible" name="Asare-Nkansah, Samuel " sheetId="19" r:id="rId22"/>
    <sheet state="visible" name="Ayitey, Jonathan" sheetId="20" r:id="rId23"/>
    <sheet state="visible" name="Belete, Dagnachew" sheetId="21" r:id="rId24"/>
    <sheet state="visible" name="Boamah (Arhin-Sen)" sheetId="22" r:id="rId25"/>
    <sheet state="visible" name="Boateng, John" sheetId="23" r:id="rId26"/>
    <sheet state="visible" name="Bwambale, Mulekya Francis" sheetId="24" r:id="rId27"/>
    <sheet state="visible" name="Cobbinah, Patrick" sheetId="25" r:id="rId28"/>
    <sheet state="visible" name="De Wet, Nicole" sheetId="26" r:id="rId29"/>
    <sheet state="visible" name="De Bekker, Ian" sheetId="27" r:id="rId30"/>
    <sheet state="visible" name="Desta, Adey Feleke" sheetId="28" r:id="rId31"/>
    <sheet state="visible" name="Dzomeku, Veronica" sheetId="29" r:id="rId32"/>
    <sheet state="visible" name="Fiagbe, Y.A.K." sheetId="30" r:id="rId33"/>
    <sheet state="visible" name="Fondjo, Linda" sheetId="31" r:id="rId34"/>
    <sheet state="visible" name="Gyakobo, Mawuli K." sheetId="32" r:id="rId35"/>
    <sheet state="visible" name="Jacob, Thabit" sheetId="33" r:id="rId36"/>
    <sheet state="visible" name="Kemausuor, Francis" sheetId="34" r:id="rId37"/>
    <sheet state="visible" name="Lekgoathi , Sekibakiba Peter" sheetId="35" r:id="rId38"/>
    <sheet state="visible" name="Mante, Priscilla" sheetId="36" r:id="rId39"/>
    <sheet state="visible" name="Matjila" sheetId="37" r:id="rId40"/>
    <sheet state="visible" name="Melessew Nigussie Gereme" sheetId="38" r:id="rId41"/>
    <sheet state="visible" name="Mensah, Abraham" sheetId="39" r:id="rId42"/>
    <sheet state="visible" name="Mfecane, Sakhumzi" sheetId="40" r:id="rId43"/>
    <sheet state="visible" name="Mhlambi, Innocentia" sheetId="41" r:id="rId44"/>
    <sheet state="visible" name="Mitchell, Carol" sheetId="42" r:id="rId45"/>
    <sheet state="visible" name="Munyakazi, Justin B." sheetId="43" r:id="rId46"/>
    <sheet state="visible" name="Nieguitsila, Adelaide" sheetId="44" r:id="rId47"/>
    <sheet state="visible" name="Nwafor, Okechukwu Charles " sheetId="45" r:id="rId48"/>
    <sheet state="visible" name="Nyante, Gifty Gyamah" sheetId="46" r:id="rId49"/>
    <sheet state="visible" name="Obirikorang, Christian" sheetId="47" r:id="rId50"/>
    <sheet state="visible" name="Oguttu, Annet" sheetId="48" r:id="rId51"/>
    <sheet state="visible" name="Osei-Asare, Christina " sheetId="49" r:id="rId52"/>
  </sheets>
  <definedNames>
    <definedName hidden="1" localSheetId="0" name="_xlnm._FilterDatabase">'ALL ONGOING'!$A$1:$W$167</definedName>
  </definedNames>
  <calcPr/>
</workbook>
</file>

<file path=xl/sharedStrings.xml><?xml version="1.0" encoding="utf-8"?>
<sst xmlns="http://schemas.openxmlformats.org/spreadsheetml/2006/main" count="9171" uniqueCount="3346">
  <si>
    <t>running count</t>
  </si>
  <si>
    <t xml:space="preserve"> Last name</t>
  </si>
  <si>
    <t>First name</t>
  </si>
  <si>
    <t>Institution</t>
  </si>
  <si>
    <t>country</t>
  </si>
  <si>
    <t>Gender</t>
  </si>
  <si>
    <t xml:space="preserve">Cohort  </t>
  </si>
  <si>
    <t>Discipline/Degree (incoming)</t>
  </si>
  <si>
    <t>Mentor / U-M host</t>
  </si>
  <si>
    <t>mentor/hosts comments/ updates</t>
  </si>
  <si>
    <t>Permanent Email</t>
  </si>
  <si>
    <t>Phone #</t>
  </si>
  <si>
    <t>Title/Interest Detail</t>
  </si>
  <si>
    <r>
      <rPr>
        <rFont val="Calibri"/>
        <color rgb="FF000000"/>
        <sz val="12.0"/>
      </rPr>
      <t xml:space="preserve">Update: </t>
    </r>
    <r>
      <rPr>
        <rFont val="Calibri"/>
        <color rgb="FFFF0000"/>
        <sz val="12.0"/>
      </rPr>
      <t>PhD (in red: running count in cohort order, see also sheet PhD updates)</t>
    </r>
  </si>
  <si>
    <t>Other Updates</t>
  </si>
  <si>
    <t>Presentations during UMAPS at U-M and elsewhere (except colloquium series), and after UMAPS at U-M</t>
  </si>
  <si>
    <t xml:space="preserve"># post-UMAPS books </t>
  </si>
  <si>
    <t># post-UMAPS book chapters</t>
  </si>
  <si>
    <t># post-UMAPS peer-reviewed articles</t>
  </si>
  <si>
    <t xml:space="preserve">post-UMAPS publications updated thru Google Scholar HF Apr 2021 --&gt; Seperate workbook sheet for those w/ 8+ pubs </t>
  </si>
  <si>
    <t>more post-UMAPS publications</t>
  </si>
  <si>
    <t>pre-UMAPS publications (based on CVs submitted w/UMAPS application: available on Ctools and compiled here by HF, May-June 2017)</t>
  </si>
  <si>
    <t>publications unclear/to be checked</t>
  </si>
  <si>
    <t>Mellon only</t>
  </si>
  <si>
    <t>(Machinya)</t>
  </si>
  <si>
    <t>(Johannes)</t>
  </si>
  <si>
    <t>n/a</t>
  </si>
  <si>
    <t>South Africa</t>
  </si>
  <si>
    <t>(M)</t>
  </si>
  <si>
    <t>(2019-2020)</t>
  </si>
  <si>
    <t>PhD (2019, Wits) Sociology</t>
  </si>
  <si>
    <t>Anne Pitcher (DAAS)</t>
  </si>
  <si>
    <t xml:space="preserve">joemachinya@gmail.com </t>
  </si>
  <si>
    <t>Migration and politics in South Africa: normalising xenophobia through political demagoguery</t>
  </si>
  <si>
    <t>The WISER Podcast Season 2 Episode 1 by Johannes Machinya. The Packed Suitcase: Living with Deportability. In the first episode of Season 2 of The WISER Podcast, Johannes Machinya discusses the everyday experience of living with potential or imminent arrest and deportation for undocumented migrants in South Africa.</t>
  </si>
  <si>
    <t xml:space="preserve">“The (mis-)representation of ‘illegal’ migrant life by undocumented Zimbabwean migrants in South Africa to people back home” at the Point Sud, Bamako, Mali. Mellon Workshop on Populism that was held on Nov 17-20 2019 at the University of Michigan in Ann Arbor. 
                                                                                                                                                                                            </t>
  </si>
  <si>
    <t>Machinya, J. (2019) “Undocumented Zimbabweans in South Africa: Working in a Constant Fear of Arrest and Deportation.” Labour, Capital and Society/Travail, capital et société, 49(2), pp. 90-114. 
Machinya, J. ‘Migration Control, Temporal Irregularity and Waiting: Undocumented Zimbabwean Migrants’ Experiences of Deportability in South Africa.’ In Jacobsen, C. M.; Karlsen, M. and Khosravi, S. (eds.) WAIT: Unpacking the Temporalities of Irregular Migration. New York, Routledge. (Forthcoming – in press).
Machinya, J. ‘“We maZimba… There is nothing that we cannot do”: The work ethic of undocumented Zimbabwean migrant daily-wage workers in eMalahleni, South Africa.’ In Rugunanan, P. and Xulu-Gama, N. (eds.) A Southern Approach to Migration Studies: Developing a Sociology of Migration. Springer (Forthcoming).</t>
  </si>
  <si>
    <t xml:space="preserve">“Comment décoloniser la recherche sur la migration Africaine? Quelques idées”  journal Cosmopolis. </t>
  </si>
  <si>
    <r>
      <rPr>
        <rFont val="Calibri"/>
        <color rgb="FF000000"/>
        <sz val="12.0"/>
        <u/>
      </rPr>
      <t xml:space="preserve">Amtaika </t>
    </r>
    <r>
      <rPr>
        <rFont val="Calibri"/>
        <color rgb="FF000000"/>
        <sz val="12.0"/>
        <u/>
      </rPr>
      <t>(Deceased</t>
    </r>
    <r>
      <rPr>
        <rFont val="Calibri"/>
        <color rgb="FF000000"/>
        <sz val="12.0"/>
        <u/>
      </rPr>
      <t xml:space="preserve">) </t>
    </r>
  </si>
  <si>
    <t>Alexius</t>
  </si>
  <si>
    <t>UFS</t>
  </si>
  <si>
    <t>M</t>
  </si>
  <si>
    <t>2008-2009</t>
  </si>
  <si>
    <t>PhD (WITS, 2002), Political Science</t>
  </si>
  <si>
    <t>Adam Ashforth</t>
  </si>
  <si>
    <t>AmtaikaA@ufs.ac.za</t>
  </si>
  <si>
    <t>27 51 401 2650, work; cell-27 79 955 2566 or 27 72 278 2231</t>
  </si>
  <si>
    <t>research why ruling political parties in So Africa, Zimbabwe and Mozambique abandoned Marxist-socialist policies</t>
  </si>
  <si>
    <r>
      <rPr>
        <rFont val="Calibri"/>
        <color rgb="FF000000"/>
        <sz val="12.0"/>
        <u/>
      </rPr>
      <t xml:space="preserve">PASSED AWAY in tragic car accident April 2019. </t>
    </r>
    <r>
      <rPr>
        <rFont val="Calibri"/>
        <color rgb="FF000000"/>
        <sz val="12.0"/>
        <u/>
      </rPr>
      <t>Accepted position as Head of Department at Nelson Mandela Metropolitan University in Port Elizabeth in 2014; accepted new position at Rhodes U January 2018 (per email to SS/KA 1/18/2018)</t>
    </r>
  </si>
  <si>
    <r>
      <rPr>
        <rFont val="Calibri"/>
        <color rgb="FF000000"/>
        <sz val="12.0"/>
        <u/>
      </rPr>
      <t xml:space="preserve">1. Book/Edited Volume.  A Amtaika (2017) Culture, Democracy and Development in Africa. PanAfrican University Press. 2. Book A Amtaika (2017) The Democratization of Africa: Dynamics and Trends. Pan-African University Press at the U of Texas at Austin.  3. Book/Edited volume. A Amtaika (2017) Socio-Economic Development in Africa: Challenges and Dimensions. PanAfrican University Press.  4. Book. A Amtaika (2013) Local Government in South Africa since 1994: Leadership, democracy, development and service delivery in a post-apartheid era. Durham, NC: Carolina Academic Press. A Amtaika (2014) The power and authority of the dominant to name: a case study of selected Nyanja and isiZulu linguistic expressions regarding ‘national assets’, Journal of African Cultural Studies, 26:1, 99-115. </t>
    </r>
    <r>
      <rPr>
        <rFont val="Calibri"/>
        <color rgb="FF000000"/>
        <sz val="12.0"/>
        <u/>
      </rPr>
      <t>Amtaika</t>
    </r>
    <r>
      <rPr>
        <rFont val="Calibri"/>
        <color rgb="FF000000"/>
        <sz val="12.0"/>
        <u/>
      </rPr>
      <t xml:space="preserve">, A. "Community Rights, Individual Rights, and Toleration: A Case Study of the Conviction of a Gay Couple in Malawi." Journal of Developing Societies 29.4 (2013): 405-34. Web. </t>
    </r>
    <r>
      <rPr>
        <rFont val="Calibri"/>
        <color rgb="FF000000"/>
        <sz val="12.0"/>
        <u/>
      </rPr>
      <t>Amtaika</t>
    </r>
    <r>
      <rPr>
        <rFont val="Calibri"/>
        <color rgb="FF000000"/>
        <sz val="12.0"/>
        <u/>
      </rPr>
      <t xml:space="preserve">, A. "Is the Eritrean Government a Victim or a Sponsor of Islamic Extremism and Terrorism?" International Journal of Peace and Development Studies 4.4 (2013): 53-66. Web. </t>
    </r>
  </si>
  <si>
    <r>
      <rPr>
        <rFont val="Calibri"/>
        <color rgb="FF000000"/>
        <sz val="12.0"/>
        <u/>
      </rPr>
      <t>Amtaika, A</t>
    </r>
    <r>
      <rPr>
        <rFont val="Calibri"/>
        <color rgb="FF000000"/>
        <sz val="12.0"/>
        <u/>
      </rPr>
      <t xml:space="preserve">. 2003. "Old Wine in New Bottles: NEPAD in the Spotlight" </t>
    </r>
    <r>
      <rPr>
        <rFont val="Calibri"/>
        <i/>
        <color rgb="FF000000"/>
        <sz val="12.0"/>
        <u/>
      </rPr>
      <t>African Renewal, United Nations Department of Public Information</t>
    </r>
    <r>
      <rPr>
        <rFont val="Calibri"/>
        <color rgb="FF000000"/>
        <sz val="12.0"/>
        <u/>
      </rPr>
      <t xml:space="preserve"> 18(4): 10-14. </t>
    </r>
    <r>
      <rPr>
        <rFont val="Calibri"/>
        <color rgb="FF000000"/>
        <sz val="12.0"/>
        <u/>
      </rPr>
      <t>Amtaika, A. 1997.</t>
    </r>
    <r>
      <rPr>
        <rFont val="Calibri"/>
        <color rgb="FF000000"/>
        <sz val="12.0"/>
        <u/>
      </rPr>
      <t xml:space="preserve"> “The Impact of Ingonyama Land Trust on Property Ownership in KwaZulu-Natal” </t>
    </r>
    <r>
      <rPr>
        <rFont val="Calibri"/>
        <i/>
        <color rgb="FF000000"/>
        <sz val="12.0"/>
        <u/>
      </rPr>
      <t xml:space="preserve">Southern African Review of Books </t>
    </r>
    <r>
      <rPr>
        <rFont val="Calibri"/>
        <color rgb="FF000000"/>
        <sz val="12.0"/>
        <u/>
      </rPr>
      <t xml:space="preserve">48 ( January/February): 20-26 (Cape Town). </t>
    </r>
    <r>
      <rPr>
        <rFont val="Calibri"/>
        <color rgb="FF000000"/>
        <sz val="12.0"/>
        <u/>
      </rPr>
      <t>Amtaika, A.</t>
    </r>
    <r>
      <rPr>
        <rFont val="Calibri"/>
        <color rgb="FF000000"/>
        <sz val="12.0"/>
        <u/>
      </rPr>
      <t xml:space="preserve"> 1995. Tribal Chiefs and Democracy." </t>
    </r>
    <r>
      <rPr>
        <rFont val="Calibri"/>
        <i/>
        <color rgb="FF000000"/>
        <sz val="12.0"/>
        <u/>
      </rPr>
      <t xml:space="preserve">Southern African Review of Books </t>
    </r>
    <r>
      <rPr>
        <rFont val="Calibri"/>
        <color rgb="FF000000"/>
        <sz val="12.0"/>
        <u/>
      </rPr>
      <t>39 &amp; 40 (September/October &amp; November/December): 23- 27 (Cape Town).</t>
    </r>
  </si>
  <si>
    <t>Frempong</t>
  </si>
  <si>
    <t>Alexander</t>
  </si>
  <si>
    <t>UG</t>
  </si>
  <si>
    <t>Ghana</t>
  </si>
  <si>
    <t>M Phil (UG, 1999), Political science</t>
  </si>
  <si>
    <t>Ken Kollman</t>
  </si>
  <si>
    <t>kaadupong2002@yahoo.co.uk</t>
  </si>
  <si>
    <t>Study democracy and elections in post cold war Africa: electoral politics in Ghana's Fourth Republic</t>
  </si>
  <si>
    <r>
      <rPr>
        <rFont val="Calibri"/>
        <color rgb="FF000000"/>
        <sz val="12.0"/>
      </rPr>
      <t>(</t>
    </r>
    <r>
      <rPr>
        <rFont val="Calibri"/>
        <color rgb="FFFF0000"/>
        <sz val="12.0"/>
      </rPr>
      <t>book</t>
    </r>
    <r>
      <rPr>
        <rFont val="Calibri"/>
        <color rgb="FF000000"/>
        <sz val="12.0"/>
      </rPr>
      <t>) Frempong, AKD (2015) Elections in Ghana, 1951-2012, Accra: Life@60 Publishers; (</t>
    </r>
    <r>
      <rPr>
        <rFont val="Calibri"/>
        <color rgb="FFFF0000"/>
        <sz val="12.0"/>
      </rPr>
      <t>book</t>
    </r>
    <r>
      <rPr>
        <rFont val="Calibri"/>
        <color rgb="FF000000"/>
        <sz val="12.0"/>
      </rPr>
      <t xml:space="preserve">) Frempong, AKD (2012) Electoral Politics in Ghana’s Fourth Republic in the Context of Post-Cold War Africa, Accra: YAMENS Press; Frempong, AKD (2010) “Playing the Second Fiddle: Reflections on Running Mate Selection and the Presidency in the Fourth Republic of Ghana” Ghana Social Science Journal 7(2): 119-144. Frempong, AKD (2009) “The Executive and State Institutions as Primary Actors in Articulating Ghana’s Integration Policies in West Africa: Challenges and the Way Forward.” Ghana in Search of Regional Integration Agenda, Accra: LECIA/FES-Ghana, pp. 23-40. Frempong, AKD (2009) “The Transatlantic Slave Trade and the Liberian Civil War," Tarikh, New Series Issue 2, pp. 51-63. (2009). Frempong, AKD (2014) “Ethnicity, Democracy and Ghana’s Election 2004” in E Debrah, E Gyimah-Boadi, A Essuman-Johnson &amp; KA Ninson (eds.) Ghana: Essays in the Study of Political Science, University of Ghana Readers, Accra: Sub-Saharan Publishers. JRA Ayee, K Boafo-Arthur, AKD Frempong &amp; R Asante (2011) Local Context of Conflict and Conflict Resolution in Ghana: The Causes, Dynamics and Policy Implications of Land-Related Conflicts in Greater Accra and Eastern Regions of Ghana, </t>
    </r>
    <r>
      <rPr>
        <rFont val="Calibri"/>
        <color rgb="FF000000"/>
        <sz val="12.0"/>
      </rPr>
      <t>Report</t>
    </r>
    <r>
      <rPr>
        <rFont val="Calibri"/>
        <color rgb="FF000000"/>
        <sz val="12.0"/>
      </rPr>
      <t>. Dakar: CODESRIA; Frempong, AKD (2010) “Monitoring Democratic Governance within ECOWAS: The Theory and Practice” in UJ Ogwu and WO Alli , eds. ECOWAS: Milestones in Regional Integration.</t>
    </r>
    <r>
      <rPr>
        <rFont val="Calibri"/>
        <color rgb="FF000000"/>
        <sz val="12.0"/>
      </rPr>
      <t>Report</t>
    </r>
    <r>
      <rPr>
        <rFont val="Calibri"/>
        <color rgb="FF000000"/>
        <sz val="12.0"/>
      </rPr>
      <t xml:space="preserve">. Lagos: Nigerian Institute of International Affairs (NIIA), pp. 123-148. </t>
    </r>
  </si>
  <si>
    <r>
      <rPr>
        <rFont val="Calibri"/>
        <color rgb="FF000000"/>
        <sz val="12.0"/>
      </rPr>
      <t>Frempong, AKD,</t>
    </r>
    <r>
      <rPr>
        <rFont val="Calibri"/>
        <color rgb="FF000000"/>
        <sz val="12.0"/>
      </rPr>
      <t xml:space="preserve"> 2006/2007. “Ghana’s 2004 Elections in the Nkawkaw Constituency and the Dilemma of Incumbency”, </t>
    </r>
    <r>
      <rPr>
        <rFont val="Calibri"/>
        <i/>
        <color rgb="FF000000"/>
        <sz val="12.0"/>
      </rPr>
      <t>Ghana Social Science Journal</t>
    </r>
    <r>
      <rPr>
        <rFont val="Calibri"/>
        <color rgb="FF000000"/>
        <sz val="12.0"/>
      </rPr>
      <t>, 3-4:33-45. F</t>
    </r>
    <r>
      <rPr>
        <rFont val="Calibri"/>
        <color rgb="FF000000"/>
        <sz val="12.0"/>
      </rPr>
      <t>rempong, AKD</t>
    </r>
    <r>
      <rPr>
        <rFont val="Calibri"/>
        <color rgb="FF000000"/>
        <sz val="12.0"/>
      </rPr>
      <t xml:space="preserve">, 2006. “The African Charter on Democracy, Elections and Governance: An Assessment.” </t>
    </r>
    <r>
      <rPr>
        <rFont val="Calibri"/>
        <i/>
        <color rgb="FF000000"/>
        <sz val="12.0"/>
      </rPr>
      <t>Legon Journal of International Affairs</t>
    </r>
    <r>
      <rPr>
        <rFont val="Calibri"/>
        <color rgb="FF000000"/>
        <sz val="12.0"/>
      </rPr>
      <t xml:space="preserve">, 3(2):45-58. </t>
    </r>
    <r>
      <rPr>
        <rFont val="Calibri"/>
        <color rgb="FF000000"/>
        <sz val="12.0"/>
      </rPr>
      <t>Frempong, AKD</t>
    </r>
    <r>
      <rPr>
        <rFont val="Calibri"/>
        <color rgb="FF000000"/>
        <sz val="12.0"/>
      </rPr>
      <t xml:space="preserve">, 2006. “ The Economic Community of West African States (ECOWAS): The Search for Peace and Democratic Governance”, </t>
    </r>
    <r>
      <rPr>
        <rFont val="Calibri"/>
        <i/>
        <color rgb="FF000000"/>
        <sz val="12.0"/>
      </rPr>
      <t>Legon Journal of International Affairs</t>
    </r>
    <r>
      <rPr>
        <rFont val="Calibri"/>
        <color rgb="FF000000"/>
        <sz val="12.0"/>
      </rPr>
      <t xml:space="preserve">, 3(1):20-38. </t>
    </r>
    <r>
      <rPr>
        <rFont val="Calibri"/>
        <color rgb="FF000000"/>
        <sz val="12.0"/>
      </rPr>
      <t>Frempong, AKD</t>
    </r>
    <r>
      <rPr>
        <rFont val="Calibri"/>
        <color rgb="FF000000"/>
        <sz val="12.0"/>
      </rPr>
      <t xml:space="preserve">, 2003. “The Dynamics of War and Peace in Liberia’, Indian Journal of African Studies, XIV(1-2):35-63 </t>
    </r>
    <r>
      <rPr>
        <rFont val="Calibri"/>
        <color rgb="FF000000"/>
        <sz val="12.0"/>
      </rPr>
      <t>Frempong, AKD</t>
    </r>
    <r>
      <rPr>
        <rFont val="Calibri"/>
        <color rgb="FF000000"/>
        <sz val="12.0"/>
      </rPr>
      <t xml:space="preserve">, 2002. “Chieftaincy, Democracy and Human Rights in Pre-Colonial Africa: A Study of the Akan Political System in Ghana” </t>
    </r>
    <r>
      <rPr>
        <rFont val="Calibri"/>
        <i/>
        <color rgb="FF000000"/>
        <sz val="12.0"/>
      </rPr>
      <t>Indian Journal of African Studies</t>
    </r>
    <r>
      <rPr>
        <rFont val="Calibri"/>
        <color rgb="FF000000"/>
        <sz val="12.0"/>
      </rPr>
      <t xml:space="preserve">, XIII(1-2):11-26.  </t>
    </r>
    <r>
      <rPr>
        <rFont val="Calibri"/>
        <color rgb="FF000000"/>
        <sz val="12.0"/>
      </rPr>
      <t>Frempong, AKD</t>
    </r>
    <r>
      <rPr>
        <rFont val="Calibri"/>
        <color rgb="FF000000"/>
        <sz val="12.0"/>
      </rPr>
      <t xml:space="preserve">, 2000-01. “The Liberian Civil War: The Tubman Factor”, </t>
    </r>
    <r>
      <rPr>
        <rFont val="Calibri"/>
        <i/>
        <color rgb="FF000000"/>
        <sz val="12.0"/>
      </rPr>
      <t>Transactions of the Historical Society of Ghana</t>
    </r>
    <r>
      <rPr>
        <rFont val="Calibri"/>
        <color rgb="FF000000"/>
        <sz val="12.0"/>
      </rPr>
      <t xml:space="preserve">, New Sons, 4-5:123-130. </t>
    </r>
    <r>
      <rPr>
        <rFont val="Calibri"/>
        <color rgb="FF000000"/>
        <sz val="12.0"/>
      </rPr>
      <t>Frempong, AKD</t>
    </r>
    <r>
      <rPr>
        <rFont val="Calibri"/>
        <color rgb="FF000000"/>
        <sz val="12.0"/>
      </rPr>
      <t xml:space="preserve">. 2007. “Constitution-Making and Constitutional Rule in Ghana”, in J. R. A. Ayee, ed. </t>
    </r>
    <r>
      <rPr>
        <rFont val="Calibri"/>
        <i/>
        <color rgb="FF000000"/>
        <sz val="12.0"/>
      </rPr>
      <t>Ghana at 50: Government, Politics and Development</t>
    </r>
    <r>
      <rPr>
        <rFont val="Calibri"/>
        <color rgb="FF000000"/>
        <sz val="12.0"/>
      </rPr>
      <t>, Accra: Dept. of Political Science, Univ. of Ghana/Friedrich Ebert Stiftung, pp. 51-76. F</t>
    </r>
    <r>
      <rPr>
        <rFont val="Calibri"/>
        <color rgb="FF000000"/>
        <sz val="12.0"/>
      </rPr>
      <t>rempong, AKD.</t>
    </r>
    <r>
      <rPr>
        <rFont val="Calibri"/>
        <color rgb="FF000000"/>
        <sz val="12.0"/>
      </rPr>
      <t xml:space="preserve"> 2007. “Political Conflict and Elite Consensus in the Liberal State”, in Kwame Boafo-Arthur, ed. </t>
    </r>
    <r>
      <rPr>
        <rFont val="Calibri"/>
        <i/>
        <color rgb="FF000000"/>
        <sz val="12.0"/>
      </rPr>
      <t>Ghana: One Decade of the Liberal State</t>
    </r>
    <r>
      <rPr>
        <rFont val="Calibri"/>
        <color rgb="FF000000"/>
        <sz val="12.0"/>
      </rPr>
      <t xml:space="preserve">, London/Dakar: Zed/ CODESRIA Books, pp.128-164. </t>
    </r>
    <r>
      <rPr>
        <rFont val="Calibri"/>
        <color rgb="FF000000"/>
        <sz val="12.0"/>
      </rPr>
      <t>Frempong, AKD</t>
    </r>
    <r>
      <rPr>
        <rFont val="Calibri"/>
        <color rgb="FF000000"/>
        <sz val="12.0"/>
      </rPr>
      <t>. “Ethnicity, Democracy and Ghana’s Election 2004” in Kwame Boafo-Arthur, ed. (2006)</t>
    </r>
    <r>
      <rPr>
        <rFont val="Calibri"/>
        <i/>
        <color rgb="FF000000"/>
        <sz val="12.0"/>
      </rPr>
      <t xml:space="preserve"> Voting for Democracy in Ghana: The 2004 Elections in Perspective, Vol.1</t>
    </r>
    <r>
      <rPr>
        <rFont val="Calibri"/>
        <color rgb="FF000000"/>
        <sz val="12.0"/>
      </rPr>
      <t xml:space="preserve">, Accra: Freedom Publications, pp. 157-186. </t>
    </r>
    <r>
      <rPr>
        <rFont val="Calibri"/>
        <color rgb="FF000000"/>
        <sz val="12.0"/>
      </rPr>
      <t>Frempong, AKD</t>
    </r>
    <r>
      <rPr>
        <rFont val="Calibri"/>
        <color rgb="FF000000"/>
        <sz val="12.0"/>
      </rPr>
      <t xml:space="preserve">. 2006. “The Politics of Election 2004 in the Nkawkaw and Afram Plains South Constituencies: Continuity or Change?” in Kwame Boafo-Arthur ed., </t>
    </r>
    <r>
      <rPr>
        <rFont val="Calibri"/>
        <i/>
        <color rgb="FF000000"/>
        <sz val="12.0"/>
      </rPr>
      <t>Voting for Democracy in Ghana: The 2004 Elections in Perspective, Vol.2</t>
    </r>
    <r>
      <rPr>
        <rFont val="Calibri"/>
        <color rgb="FF000000"/>
        <sz val="12.0"/>
      </rPr>
      <t xml:space="preserve">, Accra: Freedom Publications, pp. 207-230. </t>
    </r>
    <r>
      <rPr>
        <rFont val="Calibri"/>
        <color rgb="FF000000"/>
        <sz val="12.0"/>
      </rPr>
      <t>Frempong, AKD</t>
    </r>
    <r>
      <rPr>
        <rFont val="Calibri"/>
        <color rgb="FF000000"/>
        <sz val="12.0"/>
      </rPr>
      <t xml:space="preserve">. “NEPAD and the African Peer Review Mechanism: Prospects and Challenges” in Isaac O, Albert, ed. </t>
    </r>
    <r>
      <rPr>
        <rFont val="Calibri"/>
        <i/>
        <color rgb="FF000000"/>
        <sz val="12.0"/>
      </rPr>
      <t>Perspectives on Peace and Conflict in Africa</t>
    </r>
    <r>
      <rPr>
        <rFont val="Calibri"/>
        <color rgb="FF000000"/>
        <sz val="12.0"/>
      </rPr>
      <t xml:space="preserve">, Institute of African Studies, Peace and Conflict Studies Programme, University of Ibadan, Ibadan: Archers Press, 2005, pp. 312-324.                                                                                                                                                                                </t>
    </r>
    <r>
      <rPr>
        <rFont val="Calibri"/>
        <color rgb="FF000000"/>
        <sz val="12.0"/>
      </rPr>
      <t>Frempong, AKD</t>
    </r>
    <r>
      <rPr>
        <rFont val="Calibri"/>
        <color rgb="FF000000"/>
        <sz val="12.0"/>
      </rPr>
      <t>. “The Non Partisan District Assembly System: Myths and Realities” in Nicholas Amponsah and K. Boafo-Arthur, ed,</t>
    </r>
    <r>
      <rPr>
        <rFont val="Calibri"/>
        <i/>
        <color rgb="FF000000"/>
        <sz val="12.0"/>
      </rPr>
      <t xml:space="preserve"> Local Government in Ghana: Grassroots Participation in the 2002 Local Government Elections</t>
    </r>
    <r>
      <rPr>
        <rFont val="Calibri"/>
        <color rgb="FF000000"/>
        <sz val="12.0"/>
      </rPr>
      <t xml:space="preserve">, Accra: Uniflow Publishing Ltd, 2003, pp187-208. </t>
    </r>
    <r>
      <rPr>
        <rFont val="Calibri"/>
        <color rgb="FF000000"/>
        <sz val="12.0"/>
      </rPr>
      <t>Frempong, AKD</t>
    </r>
    <r>
      <rPr>
        <rFont val="Calibri"/>
        <color rgb="FF000000"/>
        <sz val="12.0"/>
      </rPr>
      <t xml:space="preserve">. “Ghana’s Election 2000: The Ethnic Undercurrents”, in J.R.A. Ayee (ed.), </t>
    </r>
    <r>
      <rPr>
        <rFont val="Calibri"/>
        <i/>
        <color rgb="FF000000"/>
        <sz val="12.0"/>
      </rPr>
      <t>Deepening Democracy in Ghana: Politics of the 2000 Elections</t>
    </r>
    <r>
      <rPr>
        <rFont val="Calibri"/>
        <color rgb="FF000000"/>
        <sz val="12.0"/>
      </rPr>
      <t xml:space="preserve">, Accra: Freedom Publications 2001, Vol.1. pp.141-159. </t>
    </r>
    <r>
      <rPr>
        <rFont val="Calibri"/>
        <color rgb="FF000000"/>
        <sz val="12.0"/>
      </rPr>
      <t>Frempong, AKD</t>
    </r>
    <r>
      <rPr>
        <rFont val="Calibri"/>
        <color rgb="FF000000"/>
        <sz val="12.0"/>
      </rPr>
      <t xml:space="preserve">. “A Comparative Analysis of Electoral Survey of Nkawkaw and Afram Plain South Constituencies in Ghana’s Election 2000”, in J.R.A. Ayee (ed.), </t>
    </r>
    <r>
      <rPr>
        <rFont val="Calibri"/>
        <i/>
        <color rgb="FF000000"/>
        <sz val="12.0"/>
      </rPr>
      <t>Deepening Democracy in Ghana: Politics of the 2000 Elections</t>
    </r>
    <r>
      <rPr>
        <rFont val="Calibri"/>
        <color rgb="FF000000"/>
        <sz val="12.0"/>
      </rPr>
      <t>, Accra: Freedom Publications 2001, Vol.2. pp. 350-377.</t>
    </r>
  </si>
  <si>
    <t>Nii-Dortey</t>
  </si>
  <si>
    <t xml:space="preserve"> Moses</t>
  </si>
  <si>
    <t>Heritage Studies/Music</t>
  </si>
  <si>
    <t>Naomi Andre</t>
  </si>
  <si>
    <t>mndortey@ug.edu.gh</t>
  </si>
  <si>
    <t>0244 681 386 (233 244 681 386)</t>
  </si>
  <si>
    <t>Research the music, ritual and drama of Nungua Kplejoo religious festivals</t>
  </si>
  <si>
    <r>
      <rPr>
        <rFont val="Calibri"/>
        <color rgb="FFFF0000"/>
        <sz val="12.0"/>
      </rPr>
      <t>(4)</t>
    </r>
    <r>
      <rPr>
        <rFont val="Calibri"/>
        <color rgb="FF000000"/>
        <sz val="12.0"/>
      </rPr>
      <t xml:space="preserve"> PhD U Ghana, 2013</t>
    </r>
  </si>
  <si>
    <t>2011 African Humanities Program Dissertation Fellowship</t>
  </si>
  <si>
    <t>5 (incl 4 newly found by VH)</t>
  </si>
  <si>
    <r>
      <rPr>
        <rFont val="Calibri"/>
        <color rgb="FF000000"/>
        <sz val="12.0"/>
      </rPr>
      <t>Nii-Dorte</t>
    </r>
    <r>
      <rPr>
        <rFont val="Calibri"/>
        <color rgb="FF000000"/>
        <sz val="12.0"/>
      </rPr>
      <t xml:space="preserve">y, MN. "Historical and Cultural Context of Folk Opera Development in Ghana: Saka Acquaye's "The Lost Fishermen" in Perspective." </t>
    </r>
    <r>
      <rPr>
        <rFont val="Calibri"/>
        <i/>
        <color rgb="FF000000"/>
        <sz val="12.0"/>
      </rPr>
      <t xml:space="preserve">Institute of African Studies Research Review </t>
    </r>
    <r>
      <rPr>
        <rFont val="Calibri"/>
        <color rgb="FF000000"/>
        <sz val="12.0"/>
      </rPr>
      <t>27.2 (2012): 25-58. Print.</t>
    </r>
  </si>
  <si>
    <r>
      <rPr>
        <rFont val="Calibri"/>
        <color rgb="FF000000"/>
        <sz val="12.0"/>
      </rPr>
      <t>Nii-Dortey, MN</t>
    </r>
    <r>
      <rPr>
        <rFont val="Calibri"/>
        <color rgb="FF000000"/>
        <sz val="12.0"/>
      </rPr>
      <t xml:space="preserve">, and A Arhine. "The Performing Arts and the Post-Colonial Ghanaian Experience: The Ghana National Symphony Orchestra in Perspective." </t>
    </r>
    <r>
      <rPr>
        <rFont val="Calibri"/>
        <i/>
        <color rgb="FF000000"/>
        <sz val="12.0"/>
      </rPr>
      <t>Research Review of the Institute of African Studies</t>
    </r>
    <r>
      <rPr>
        <rFont val="Calibri"/>
        <color rgb="FF000000"/>
        <sz val="12.0"/>
      </rPr>
      <t xml:space="preserve"> 26.1 (2010): n. pag. Web. </t>
    </r>
  </si>
  <si>
    <t>no publications (plenty of conference presentations)</t>
  </si>
  <si>
    <t>Matjila</t>
  </si>
  <si>
    <t>Sekepe</t>
  </si>
  <si>
    <t>UNISA</t>
  </si>
  <si>
    <t>PhD candidate, Heritage Studies/Literature</t>
  </si>
  <si>
    <t>Keith Taylor</t>
  </si>
  <si>
    <t>matjids@unisa.ac.za</t>
  </si>
  <si>
    <t>27-124298097</t>
  </si>
  <si>
    <t>Complete PhD thesis on the social, cultural and historical aspects of Raditladi's poetry</t>
  </si>
  <si>
    <r>
      <rPr>
        <rFont val="Calibri"/>
        <color rgb="FFFF0000"/>
        <sz val="12.0"/>
      </rPr>
      <t>(1)</t>
    </r>
    <r>
      <rPr>
        <rFont val="Calibri"/>
        <color rgb="FF000000"/>
        <sz val="12.0"/>
      </rPr>
      <t xml:space="preserve"> PhD UNISA, 2010</t>
    </r>
  </si>
  <si>
    <t>promoted to tenured professor and Director of the Centre of Pan-African Languages and Cultural Development, UNISA</t>
  </si>
  <si>
    <t>13 (including 2 newly found by VH)</t>
  </si>
  <si>
    <t xml:space="preserve">SEE NAMED WORKBOOK SHEET
</t>
  </si>
  <si>
    <t>no academic publications, but had written a novel, drama, and short story collection, in addition to readers for K-12 education in SA</t>
  </si>
  <si>
    <t>Stephens</t>
  </si>
  <si>
    <t>Judith</t>
  </si>
  <si>
    <t>F</t>
  </si>
  <si>
    <t>Public Health</t>
  </si>
  <si>
    <t>Mark Wilson</t>
  </si>
  <si>
    <t>stephensjudith@yahoo.com; jstephens@ug.edu.gh</t>
  </si>
  <si>
    <t>0244 285224, 0246 285224</t>
  </si>
  <si>
    <t>Research on malaria infection and immunity</t>
  </si>
  <si>
    <r>
      <rPr>
        <rFont val="Calibri"/>
        <color rgb="FFFF0000"/>
        <sz val="12.0"/>
      </rPr>
      <t xml:space="preserve">(5) </t>
    </r>
    <r>
      <rPr>
        <rFont val="Calibri"/>
        <color rgb="FF000000"/>
        <sz val="12.0"/>
      </rPr>
      <t>PhD U Ghana, 2011</t>
    </r>
  </si>
  <si>
    <r>
      <rPr>
        <rFont val="Calibri"/>
        <color rgb="FF000000"/>
        <sz val="12.0"/>
      </rPr>
      <t>Stephens</t>
    </r>
    <r>
      <rPr>
        <rFont val="Calibri"/>
        <color rgb="FF000000"/>
        <sz val="12.0"/>
      </rPr>
      <t xml:space="preserve"> JK, MF Ofori, IA Quakyi, ML Wilson, BD Akanmori. Prevalence of peripheral blood parasitaemia, anaemia and low birthweight among pregnant women in a suburban area in coastal Ghana. Pan African Medical Journal 17 (2014). 17(Supp 1):3. n.pag. Web. </t>
    </r>
  </si>
  <si>
    <r>
      <rPr>
        <rFont val="Calibri"/>
        <color rgb="FF000000"/>
        <sz val="12.0"/>
      </rPr>
      <t>Stephens</t>
    </r>
    <r>
      <rPr>
        <rFont val="Calibri"/>
        <color rgb="FF000000"/>
        <sz val="12.0"/>
      </rPr>
      <t xml:space="preserve"> JK, Phanart K, Rooney W, Barnish G. A comparison of three malaria diagnostic tests, under field conditions in North-west Thailand. Southeast Asian J Trop Med Public Health. 1999 Dec; 30(4):625-30. PMID: 10928351 [PubMed - indexed for MEDLINE]; </t>
    </r>
    <r>
      <rPr>
        <rFont val="Calibri"/>
        <color rgb="FF000000"/>
        <sz val="12.0"/>
      </rPr>
      <t>Stephens</t>
    </r>
    <r>
      <rPr>
        <rFont val="Calibri"/>
        <color rgb="FF000000"/>
        <sz val="12.0"/>
      </rPr>
      <t xml:space="preserve"> JK, Phanart K, Rooney W, Barnish G. A comparison of three malaria diagnostic tests, under field conditions in North-west Thailand. Southeast Asian J Trop Med Public Health. 1999 Dec; 30(4):625-30. PMID: 10928351 [PubMed - indexed for MEDLINE]</t>
    </r>
  </si>
  <si>
    <t>Mitchell</t>
  </si>
  <si>
    <t xml:space="preserve">Carol </t>
  </si>
  <si>
    <t>UKZN</t>
  </si>
  <si>
    <t>M. Soc.Sci, Psychology/ Education</t>
  </si>
  <si>
    <t>Patricia King</t>
  </si>
  <si>
    <t>mitchellc@ukzn.ac.za</t>
  </si>
  <si>
    <t>work 27 260 6054; 27 83 264 2061</t>
  </si>
  <si>
    <t>Service learning, the critical reflection process, and ways of knowing</t>
  </si>
  <si>
    <r>
      <rPr>
        <rFont val="Calibri"/>
        <color rgb="FFFF0000"/>
        <sz val="12.0"/>
      </rPr>
      <t>(2)</t>
    </r>
    <r>
      <rPr>
        <rFont val="Calibri"/>
        <color rgb="FF000000"/>
        <sz val="12.0"/>
      </rPr>
      <t xml:space="preserve"> PhD UKZN, 2017 (per email from KA)</t>
    </r>
  </si>
  <si>
    <t>8 (incl 2 newly found by VH)</t>
  </si>
  <si>
    <r>
      <rPr>
        <rFont val="Calibri"/>
        <color rgb="FF000000"/>
        <sz val="12.0"/>
      </rPr>
      <t xml:space="preserve">Hutton, NK, C </t>
    </r>
    <r>
      <rPr>
        <rFont val="Calibri"/>
        <color rgb="FF000000"/>
        <sz val="12.0"/>
      </rPr>
      <t>Mitchell</t>
    </r>
    <r>
      <rPr>
        <rFont val="Calibri"/>
        <color rgb="FF000000"/>
        <sz val="12.0"/>
      </rPr>
      <t xml:space="preserve">, and M van der Riet. “Assessing an isiZulu Questionnaire with Educators in Primary Schools in Pietermaritzburg to Establish a Baseline of Knowledge of Autism Spectrum Disorder.” Prevention and Treatment.  C. </t>
    </r>
    <r>
      <rPr>
        <rFont val="Calibri"/>
        <color rgb="FF000000"/>
        <sz val="12.0"/>
      </rPr>
      <t>Mitchell</t>
    </r>
    <r>
      <rPr>
        <rFont val="Calibri"/>
        <color rgb="FF000000"/>
        <sz val="12.0"/>
      </rPr>
      <t xml:space="preserve">, and D Jonker. "Benefits and Challenges of a Teacher Cluster in South Africa: The Case of Sizabantwana." Perspectives in Education 31.4 (2013): n. pag. Web . Rochat, TJ, C </t>
    </r>
    <r>
      <rPr>
        <rFont val="Calibri"/>
        <color rgb="FF000000"/>
        <sz val="12.0"/>
      </rPr>
      <t>Mitchell</t>
    </r>
    <r>
      <rPr>
        <rFont val="Calibri"/>
        <color rgb="FF000000"/>
        <sz val="12.0"/>
      </rPr>
      <t xml:space="preserve">, and C. Paul. "Young Children and HIV in Sub-Saharan Africa: Implications for Practice and Intervention." International Perspectives on Children and Mental Health. Ed. H. Fitzgerald, K. Puura, and M. Tomllinson. Vol. 2. Praeger, n.d. 45-74. Print. </t>
    </r>
  </si>
  <si>
    <r>
      <rPr>
        <rFont val="Calibri"/>
        <color rgb="FF000000"/>
        <sz val="12.0"/>
      </rPr>
      <t xml:space="preserve">Hutton, NK, </t>
    </r>
    <r>
      <rPr>
        <rFont val="Calibri"/>
        <color rgb="FF000000"/>
        <sz val="12.0"/>
      </rPr>
      <t xml:space="preserve">C </t>
    </r>
    <r>
      <rPr>
        <rFont val="Calibri"/>
        <color rgb="FF000000"/>
        <sz val="12.0"/>
      </rPr>
      <t xml:space="preserve">Mitchell, and M van der Riet. “Assessing an isiZulu Questionnaire with Educators in Primary Schools in Pietermaritzburg to Establish a Baseline of Knowledge of Autism Spectrum Disorder.” </t>
    </r>
    <r>
      <rPr>
        <rFont val="Calibri"/>
        <i/>
        <color rgb="FF000000"/>
        <sz val="12.0"/>
      </rPr>
      <t xml:space="preserve">Prevention and Treatment.  </t>
    </r>
    <r>
      <rPr>
        <rFont val="Calibri"/>
        <color rgb="FF000000"/>
        <sz val="12.0"/>
      </rPr>
      <t>C.</t>
    </r>
    <r>
      <rPr>
        <rFont val="Calibri"/>
        <i/>
        <color rgb="FF000000"/>
        <sz val="12.0"/>
      </rPr>
      <t xml:space="preserve"> </t>
    </r>
    <r>
      <rPr>
        <rFont val="Calibri"/>
        <color rgb="FF000000"/>
        <sz val="12.0"/>
      </rPr>
      <t xml:space="preserve">Mitchell, and D Jonker. "Benefits and Challenges of a Teacher Cluster in South Africa: The Case of Sizabantwana." </t>
    </r>
    <r>
      <rPr>
        <rFont val="Calibri"/>
        <i/>
        <color rgb="FF000000"/>
        <sz val="12.0"/>
      </rPr>
      <t>Perspectives in Education</t>
    </r>
    <r>
      <rPr>
        <rFont val="Calibri"/>
        <color rgb="FF000000"/>
        <sz val="12.0"/>
      </rPr>
      <t xml:space="preserve"> 31.4 (2013): n. pag. Web . Rochat, TJ, </t>
    </r>
    <r>
      <rPr>
        <rFont val="Calibri"/>
        <color rgb="FF000000"/>
        <sz val="12.0"/>
      </rPr>
      <t xml:space="preserve">C </t>
    </r>
    <r>
      <rPr>
        <rFont val="Calibri"/>
        <color rgb="FF000000"/>
        <sz val="12.0"/>
      </rPr>
      <t xml:space="preserve">Mitchell, and C. Paul. "Young Children and HIV in Sub-Saharan Africa: Implications for Practice and Intervention." </t>
    </r>
    <r>
      <rPr>
        <rFont val="Calibri"/>
        <i/>
        <color rgb="FF000000"/>
        <sz val="12.0"/>
      </rPr>
      <t>International Perspectives on Children and Mental Health.</t>
    </r>
    <r>
      <rPr>
        <rFont val="Calibri"/>
        <color rgb="FF000000"/>
        <sz val="12.0"/>
      </rPr>
      <t xml:space="preserve"> Ed. H. Fitzgerald, K. Puura, and M. Tomllinson. Vol. 2. </t>
    </r>
    <r>
      <rPr>
        <rFont val="Calibri"/>
        <i/>
        <color rgb="FF000000"/>
        <sz val="12.0"/>
      </rPr>
      <t>Praeger,</t>
    </r>
    <r>
      <rPr>
        <rFont val="Calibri"/>
        <color rgb="FF000000"/>
        <sz val="12.0"/>
      </rPr>
      <t xml:space="preserve"> n.d. 45-74. Print. </t>
    </r>
  </si>
  <si>
    <r>
      <rPr>
        <rFont val="Calibri"/>
        <color rgb="FF000000"/>
        <sz val="12.0"/>
      </rPr>
      <t xml:space="preserve">Gelmon, S., Sherman, S., Gaudet, M., </t>
    </r>
    <r>
      <rPr>
        <rFont val="Calibri"/>
        <color rgb="FF000000"/>
        <sz val="12.0"/>
      </rPr>
      <t>Mitchell, C.J.</t>
    </r>
    <r>
      <rPr>
        <rFont val="Calibri"/>
        <color rgb="FF000000"/>
        <sz val="12.0"/>
      </rPr>
      <t xml:space="preserve"> and Trotter, K.A. 2004. Institutionalizing Service-Learning Across the University: International Comparisons, in </t>
    </r>
    <r>
      <rPr>
        <rFont val="Calibri"/>
        <i/>
        <color rgb="FF000000"/>
        <sz val="12.0"/>
      </rPr>
      <t>New Perspectives in Service-Learning: Research to Advance the Field</t>
    </r>
    <r>
      <rPr>
        <rFont val="Calibri"/>
        <color rgb="FF000000"/>
        <sz val="12.0"/>
      </rPr>
      <t xml:space="preserve">. Greenwich: Information Age Publishing: 195-217.                                                                                                                                                                                                                </t>
    </r>
    <r>
      <rPr>
        <rFont val="Calibri"/>
        <color rgb="FF000000"/>
        <sz val="12.0"/>
      </rPr>
      <t>Mitchell, C.J.</t>
    </r>
    <r>
      <rPr>
        <rFont val="Calibri"/>
        <color rgb="FF000000"/>
        <sz val="12.0"/>
      </rPr>
      <t xml:space="preserve">, Mansfield, D.J. and Rautenbach, S.C. (2008). Coloured filters and reading accuracy, comprehension and rate: A placebo-controlled study. </t>
    </r>
    <r>
      <rPr>
        <rFont val="Calibri"/>
        <i/>
        <color rgb="FF000000"/>
        <sz val="12.0"/>
      </rPr>
      <t>Perceptual and Motor Skills</t>
    </r>
    <r>
      <rPr>
        <rFont val="Calibri"/>
        <color rgb="FF000000"/>
        <sz val="12.0"/>
      </rPr>
      <t xml:space="preserve">, 106: 517-532.         </t>
    </r>
    <r>
      <rPr>
        <rFont val="Calibri"/>
        <color rgb="FF000000"/>
        <sz val="12.0"/>
      </rPr>
      <t>Mitchell, C.J</t>
    </r>
    <r>
      <rPr>
        <rFont val="Calibri"/>
        <color rgb="FF000000"/>
        <sz val="12.0"/>
      </rPr>
      <t xml:space="preserve">. and Humphries, H.R. (2007). From notions of charity to social justice in servicelearning: The complex experience of communities. </t>
    </r>
    <r>
      <rPr>
        <rFont val="Calibri"/>
        <i/>
        <color rgb="FF000000"/>
        <sz val="12.0"/>
      </rPr>
      <t>Education as Change</t>
    </r>
    <r>
      <rPr>
        <rFont val="Calibri"/>
        <color rgb="FF000000"/>
        <sz val="12.0"/>
      </rPr>
      <t xml:space="preserve">, 11(3): 47-58.                                  </t>
    </r>
    <r>
      <rPr>
        <rFont val="Calibri"/>
        <color rgb="FF000000"/>
        <sz val="12.0"/>
      </rPr>
      <t>Mitchell, C.J.</t>
    </r>
    <r>
      <rPr>
        <rFont val="Calibri"/>
        <color rgb="FF000000"/>
        <sz val="12.0"/>
      </rPr>
      <t xml:space="preserve"> and Rautenbach, S.C. (2005). Questioning service learning in South Africa: problematising partnerships in the South African context. A case study from the University of Natal. </t>
    </r>
    <r>
      <rPr>
        <rFont val="Calibri"/>
        <i/>
        <color rgb="FF000000"/>
        <sz val="12.0"/>
      </rPr>
      <t>South African Journal of Higher Education</t>
    </r>
    <r>
      <rPr>
        <rFont val="Calibri"/>
        <color rgb="FF000000"/>
        <sz val="12.0"/>
      </rPr>
      <t xml:space="preserve">, Volume 19(1) 2005: 101-112.                                                                                                                                                                                                                                                        </t>
    </r>
    <r>
      <rPr>
        <rFont val="Calibri"/>
        <color rgb="FF000000"/>
        <sz val="12.0"/>
      </rPr>
      <t>Mitchell, C.J</t>
    </r>
    <r>
      <rPr>
        <rFont val="Calibri"/>
        <color rgb="FF000000"/>
        <sz val="12.0"/>
      </rPr>
      <t xml:space="preserve">., Trotter, K.A. and Gelmon, S.B. (2005). A case study of a higher education institutional assessment on service learning. </t>
    </r>
    <r>
      <rPr>
        <rFont val="Calibri"/>
        <i/>
        <color rgb="FF000000"/>
        <sz val="12.0"/>
      </rPr>
      <t>Acta Academica</t>
    </r>
    <r>
      <rPr>
        <rFont val="Calibri"/>
        <color rgb="FF000000"/>
        <sz val="12.0"/>
      </rPr>
      <t>, 2005(3): 156-182.</t>
    </r>
  </si>
  <si>
    <t>Vandyck</t>
  </si>
  <si>
    <t>Efua</t>
  </si>
  <si>
    <t>MA (UG, 2002), Occupational Health</t>
  </si>
  <si>
    <t>Sioban Harlow</t>
  </si>
  <si>
    <t>evandyck@ug.edu.gh; efuav@yahoo.com</t>
  </si>
  <si>
    <t>Investigate the use and enforcement of health and safety regulations for garment production environments in Ghana</t>
  </si>
  <si>
    <r>
      <rPr>
        <rFont val="Calibri"/>
        <color rgb="FFFF0000"/>
        <sz val="12.0"/>
      </rPr>
      <t xml:space="preserve">(7) </t>
    </r>
    <r>
      <rPr>
        <rFont val="Calibri"/>
        <color rgb="FF000000"/>
        <sz val="12.0"/>
      </rPr>
      <t>PhD U Ghana, 2014</t>
    </r>
  </si>
  <si>
    <t>Per Oct 2017 new CV: Was promoted to Senior Lecturer at UG in 2014; worked as Research Scholar at North Carolina State University, College of Textiles, 2011-2012.</t>
  </si>
  <si>
    <r>
      <rPr>
        <rFont val="Calibri"/>
        <color rgb="FF000000"/>
        <sz val="12.0"/>
      </rPr>
      <t>Vandyck,</t>
    </r>
    <r>
      <rPr>
        <rFont val="Calibri"/>
        <color rgb="FF000000"/>
        <sz val="12.0"/>
      </rPr>
      <t xml:space="preserve"> E and DAG Fianu (2012) "The work practices and ergonomic problems experienced by garment workers in Ghana"</t>
    </r>
    <r>
      <rPr>
        <rFont val="Calibri"/>
        <i/>
        <color rgb="FF000000"/>
        <sz val="12.0"/>
      </rPr>
      <t xml:space="preserve"> Int J of Consumer Studies </t>
    </r>
    <r>
      <rPr>
        <rFont val="Calibri"/>
        <color rgb="FF000000"/>
        <sz val="12.0"/>
      </rPr>
      <t xml:space="preserve">36(4): 486-91. </t>
    </r>
  </si>
  <si>
    <r>
      <rPr>
        <rFont val="Calibri"/>
        <color rgb="FF000000"/>
        <sz val="12.0"/>
      </rPr>
      <t>Vandyck,</t>
    </r>
    <r>
      <rPr>
        <rFont val="Calibri"/>
        <color rgb="FF000000"/>
        <sz val="12.0"/>
      </rPr>
      <t xml:space="preserve"> E, S Oppong, W Senayah and E Ba-ama (2013) "A review of ergonomically designed work seats: the situation of small-scale garment producers in Ghana" </t>
    </r>
    <r>
      <rPr>
        <rFont val="Calibri"/>
        <i/>
        <color rgb="FF000000"/>
        <sz val="12.0"/>
      </rPr>
      <t xml:space="preserve">Internat J of Educational Research and Review </t>
    </r>
    <r>
      <rPr>
        <rFont val="Calibri"/>
        <color rgb="FF000000"/>
        <sz val="12.0"/>
      </rPr>
      <t xml:space="preserve">2(5): 17-22. </t>
    </r>
  </si>
  <si>
    <t>no other publications except the one "in press"</t>
  </si>
  <si>
    <t>Ndanga</t>
  </si>
  <si>
    <t>Leah</t>
  </si>
  <si>
    <t>UP</t>
  </si>
  <si>
    <t>Business and Marketing</t>
  </si>
  <si>
    <t>Ravi Anupindi</t>
  </si>
  <si>
    <r>
      <rPr>
        <rFont val="Calibri"/>
        <color rgb="FF000000"/>
        <sz val="12.0"/>
        <u/>
      </rPr>
      <t>leahzbndanga@yahoo.com</t>
    </r>
    <r>
      <rPr>
        <rFont val="Calibri"/>
        <color rgb="FF000000"/>
        <sz val="12.0"/>
        <u/>
      </rPr>
      <t xml:space="preserve">; lndanga@wcupa.edu </t>
    </r>
  </si>
  <si>
    <t>Analyze optimal institutional arrangement in wine supply chains: the case of "Black Brands" in SA wine industry</t>
  </si>
  <si>
    <r>
      <rPr>
        <rFont val="Calibri"/>
        <color rgb="FFFF0000"/>
        <sz val="12.0"/>
      </rPr>
      <t>(3)</t>
    </r>
    <r>
      <rPr>
        <rFont val="Calibri"/>
        <color rgb="FF000000"/>
        <sz val="12.0"/>
      </rPr>
      <t xml:space="preserve"> PhD U Massachusetts-Amherst, 2018 (Strategic Management) </t>
    </r>
  </si>
  <si>
    <t>Assist Prof at West Chester U of Pennsylvania since Aug 2018, per LinkedIn update (after UMAPS, got MSc Purdue, 2012  and PhD in Strategic Management from Umass-Amherst)</t>
  </si>
  <si>
    <t>4 (incl 3 newly found by VH)</t>
  </si>
  <si>
    <r>
      <rPr>
        <rFont val="Calibri"/>
        <color rgb="FF000000"/>
        <sz val="12.0"/>
      </rPr>
      <t>Ndanga,</t>
    </r>
    <r>
      <rPr>
        <rFont val="Calibri"/>
        <color rgb="FF000000"/>
        <sz val="12.0"/>
      </rPr>
      <t xml:space="preserve"> LZB, A Louw, and J Van Rooyen. "Increasing Domestic Consumption of South African Wines: Exploring the Market Potential of the "Black Diamonds" </t>
    </r>
    <r>
      <rPr>
        <rFont val="Calibri"/>
        <i/>
        <color rgb="FF000000"/>
        <sz val="12.0"/>
      </rPr>
      <t>Agrekon</t>
    </r>
    <r>
      <rPr>
        <rFont val="Calibri"/>
        <color rgb="FF000000"/>
        <sz val="12.0"/>
      </rPr>
      <t xml:space="preserve"> 49.3 (2010): 293-315. Web.</t>
    </r>
  </si>
  <si>
    <r>
      <rPr>
        <rFont val="Calibri"/>
        <color rgb="FF000000"/>
        <sz val="12.0"/>
      </rPr>
      <t>Ndanga</t>
    </r>
    <r>
      <rPr>
        <rFont val="Calibri"/>
        <color rgb="FF000000"/>
        <sz val="12.0"/>
      </rPr>
      <t>, LZB</t>
    </r>
    <r>
      <rPr>
        <rFont val="Calibri"/>
        <color rgb="FF000000"/>
        <sz val="12.0"/>
      </rPr>
      <t xml:space="preserve">, KK Quagrainie and JH Dennis. “Economically Feasible Options for Increased Women Participation in Kenyan Aquaculture Value Chain.” Aquaculture, (414–415) 2013: 183–190. Labuschagne, A, A Louw, and </t>
    </r>
    <r>
      <rPr>
        <rFont val="Calibri"/>
        <color rgb="FF000000"/>
        <sz val="12.0"/>
      </rPr>
      <t xml:space="preserve">L </t>
    </r>
    <r>
      <rPr>
        <rFont val="Calibri"/>
        <color rgb="FF000000"/>
        <sz val="12.0"/>
      </rPr>
      <t xml:space="preserve">Ndanga. "A Consumer-orientated Study of the South African Beef Supply Chain." </t>
    </r>
    <r>
      <rPr>
        <rFont val="Calibri"/>
        <i/>
        <color rgb="FF000000"/>
        <sz val="12.0"/>
      </rPr>
      <t>Agrekon</t>
    </r>
    <r>
      <rPr>
        <rFont val="Calibri"/>
        <color rgb="FF000000"/>
        <sz val="12.0"/>
      </rPr>
      <t xml:space="preserve"> 50.1 (2011): 71-88. Web. </t>
    </r>
    <r>
      <rPr>
        <rFont val="Calibri"/>
        <color rgb="FF000000"/>
        <sz val="12.0"/>
      </rPr>
      <t>Ndanga</t>
    </r>
    <r>
      <rPr>
        <rFont val="Calibri"/>
        <color rgb="FF000000"/>
        <sz val="12.0"/>
      </rPr>
      <t xml:space="preserve">, L. Louw, A. &amp; Van Rooyen, J. (2010). Increasing Domestic Consumption of South African Wines: Exploring the market potential of the “Black Diamonds”. Agrekon. Vol. 49(3):293-315. September 2010.                                                                                                                                                                                                                                                                                                                                                        </t>
    </r>
    <r>
      <rPr>
        <rFont val="Calibri"/>
        <color rgb="FF000000"/>
        <sz val="12.0"/>
      </rPr>
      <t>Ndanga,</t>
    </r>
    <r>
      <rPr>
        <rFont val="Calibri"/>
        <color rgb="FF000000"/>
        <sz val="12.0"/>
      </rPr>
      <t xml:space="preserve"> L.Z.B., Quagrainie, K., Ngugi, C.C. &amp; Amadiva, J. (2015). Application of Porter’s Framework to Assess Aquaculture Value Chain in Kenya. AfJAND, 15(3), ISSN 1684 5374 Mangaliso, M.P. &amp; </t>
    </r>
    <r>
      <rPr>
        <rFont val="Calibri"/>
        <color rgb="FF000000"/>
        <sz val="12.0"/>
      </rPr>
      <t>Ndanga</t>
    </r>
    <r>
      <rPr>
        <rFont val="Calibri"/>
        <color rgb="FF000000"/>
        <sz val="12.0"/>
      </rPr>
      <t xml:space="preserve">, L.Z.B. (2017). TMT Cultural Diversity and Strategic Choice: The Role of the Repatriate. In T.K. Das (Ed.). Culture and Behavioral Strategy. Scottsdale, AZ: IAP – Information Age Publishing, Inc. Mangaliso, M.P., Mangaliso, Z.A., </t>
    </r>
    <r>
      <rPr>
        <rFont val="Calibri"/>
        <color rgb="FF000000"/>
        <sz val="12.0"/>
      </rPr>
      <t>Ndanga</t>
    </r>
    <r>
      <rPr>
        <rFont val="Calibri"/>
        <color rgb="FF000000"/>
        <sz val="12.0"/>
      </rPr>
      <t xml:space="preserve">, L.Z.B. &amp; Jean-Denis, H. (2018). Leading Change from Ubuntu: Ubuntu as the Requisite Framework for Humanistic Organizational Management. In Ovadje, F. &amp; Aryee, S. (Eds). Handbook on Organizational Change in Africa. Routledge.                                                                                                                                                                                                                                  
</t>
    </r>
  </si>
  <si>
    <r>
      <rPr>
        <rFont val="Calibri"/>
        <color rgb="FF000000"/>
        <sz val="12.0"/>
      </rPr>
      <t xml:space="preserve">Louw, A. Madevu, H. &amp; </t>
    </r>
    <r>
      <rPr>
        <rFont val="Calibri"/>
        <color rgb="FF000000"/>
        <sz val="12.0"/>
      </rPr>
      <t>Ndanga</t>
    </r>
    <r>
      <rPr>
        <rFont val="Calibri"/>
        <color rgb="FF000000"/>
        <sz val="12.0"/>
      </rPr>
      <t>, L. (</t>
    </r>
    <r>
      <rPr>
        <rFont val="Calibri"/>
        <color rgb="FF000000"/>
        <sz val="12.0"/>
      </rPr>
      <t>2006</t>
    </r>
    <r>
      <rPr>
        <rFont val="Calibri"/>
        <color rgb="FF000000"/>
        <sz val="12.0"/>
      </rPr>
      <t xml:space="preserve">). Guide to Agricultural Business Planning Series (Article 11and 12). </t>
    </r>
    <r>
      <rPr>
        <rFont val="Calibri"/>
        <i/>
        <color rgb="FF000000"/>
        <sz val="12.0"/>
      </rPr>
      <t>South African Vegetable and Fresh Produce.</t>
    </r>
    <r>
      <rPr>
        <rFont val="Calibri"/>
        <color rgb="FF000000"/>
        <sz val="12.0"/>
      </rPr>
      <t xml:space="preserve"> Online Journal. http://www.saveg.co.za/businessdev.htm. </t>
    </r>
  </si>
  <si>
    <t>Oguttu</t>
  </si>
  <si>
    <t>Annet Wanyana</t>
  </si>
  <si>
    <t>PhD (UNISA, 2008), Tax Law</t>
  </si>
  <si>
    <t>Reuven Avi-Yonah</t>
  </si>
  <si>
    <t>kept in touch with Annet, and am currently collaborating with her on a multi- year research project</t>
  </si>
  <si>
    <t>annetoguttu@gmail.com; annet.oguttu@up.ac.za</t>
  </si>
  <si>
    <t>2712 429-8311</t>
  </si>
  <si>
    <t>Investigate the challenges of taxing profits attributed to permanent establishments in South Africa</t>
  </si>
  <si>
    <r>
      <rPr>
        <rFont val="Calibri"/>
        <color rgb="FF000000"/>
        <sz val="12.0"/>
      </rPr>
      <t>Accepted new job at U Pretoria Sept 2018 (email to HF) as of 1 October 2018, is now Faculty of Economic and Management Sciences, in the Department of Taxation. First black woman to ever receive a PhD in Tax Law in South Africa; the first black woman full professor in UNISA's College of Law, in 2010;  Recipient of a national "Distinguished Women in Science" Award in 2013</t>
    </r>
    <r>
      <rPr>
        <rFont val="Calibri"/>
        <color rgb="FF000000"/>
        <sz val="12.0"/>
      </rPr>
      <t xml:space="preserve"> </t>
    </r>
    <r>
      <rPr>
        <rFont val="Calibri"/>
        <color rgb="FF000000"/>
        <sz val="12.0"/>
      </rPr>
      <t>(awarded by WISA); Appointed as one of the Commissioners of the South African Law Reform Commission in 2014; Appointed as a member of the Davis Tax Committee in SA in 2013; Appointed by UN/DESA as a member of the “Expert Group to Developed a UN Course on Double Tax Treaties” in 2012. Consultant for GIZ (Germany), UN Economic Commission for Africa, UN Department of Economic and Social Affairs Financing for Development Office.  Instructor of international tax law at the “African Tax Institute” &amp; a visiting professor at U Pretoria and U Johannesburg.  Board President of the South African Institute of Tax Practitioners. Board member of the South African Fiscal Association. Board member of the African Tax Research Network.</t>
    </r>
  </si>
  <si>
    <t xml:space="preserve">Presented at ASC's 10th anniversary symposium in March 2018. </t>
  </si>
  <si>
    <r>
      <rPr>
        <rFont val="Calibri"/>
        <color rgb="FF000000"/>
        <sz val="12.0"/>
      </rPr>
      <t>Oguttu, AW.</t>
    </r>
    <r>
      <rPr>
        <rFont val="Calibri"/>
        <color rgb="FF000000"/>
        <sz val="12.0"/>
      </rPr>
      <t xml:space="preserve"> “The Challenges E-commerce Poses to the Determination of a Taxable Presence: The ‘Permanent Establishment’ Concept Analysed from a South African Perspective” (2008) in Synergies and Conflicts in Cyberlaw Edited by Sylvia Mercado Kierkegaard (2008) 221-235. Published by International Association of IT Lawyers </t>
    </r>
    <r>
      <rPr>
        <rFont val="Calibri"/>
        <color rgb="FF000000"/>
        <sz val="12.0"/>
      </rPr>
      <t>Oguttu, AW</t>
    </r>
    <r>
      <rPr>
        <rFont val="Calibri"/>
        <color rgb="FF000000"/>
        <sz val="12.0"/>
      </rPr>
      <t xml:space="preserve">. “Resolving Double Taxation: The Concept ‘Place of Effective management’ Analysed from a South African Perspective” (2008) XLI No1 </t>
    </r>
    <r>
      <rPr>
        <rFont val="Calibri"/>
        <i/>
        <color rgb="FF000000"/>
        <sz val="12.0"/>
      </rPr>
      <t xml:space="preserve">The Comparative and International Law Journal of Southern Africa </t>
    </r>
    <r>
      <rPr>
        <rFont val="Calibri"/>
        <color rgb="FF000000"/>
        <sz val="12.0"/>
      </rPr>
      <t xml:space="preserve">80-104. </t>
    </r>
    <r>
      <rPr>
        <rFont val="Calibri"/>
        <color rgb="FF000000"/>
        <sz val="12.0"/>
      </rPr>
      <t>Oguttu, AW.</t>
    </r>
    <r>
      <rPr>
        <rFont val="Calibri"/>
        <color rgb="FF000000"/>
        <sz val="12.0"/>
      </rPr>
      <t xml:space="preserve"> “The Effect of Globalsation on Resolving Double Taxation: The Concept ‘Place of Effective Management’ Analysed From a South African Perspective” (2008) 1 No 1 </t>
    </r>
    <r>
      <rPr>
        <rFont val="Calibri"/>
        <i/>
        <color rgb="FF000000"/>
        <sz val="12.0"/>
      </rPr>
      <t xml:space="preserve">The Global Studies Journal </t>
    </r>
    <r>
      <rPr>
        <rFont val="Calibri"/>
        <color rgb="FF000000"/>
        <sz val="12.0"/>
      </rPr>
      <t xml:space="preserve">35-42. </t>
    </r>
    <r>
      <rPr>
        <rFont val="Calibri"/>
        <color rgb="FF000000"/>
        <sz val="12.0"/>
      </rPr>
      <t>Oguttu, AW.</t>
    </r>
    <r>
      <rPr>
        <rFont val="Calibri"/>
        <color rgb="FF000000"/>
        <sz val="12.0"/>
      </rPr>
      <t xml:space="preserve"> “Curbing ‘Treaty Shopping’: The ‘Beneficial Ownership’ Provision Analysed from a South African Perspective” XL (2007) No 2 The Comparative and International Law Journal of Southern Africa 237-258. </t>
    </r>
    <r>
      <rPr>
        <rFont val="Calibri"/>
        <color rgb="FF000000"/>
        <sz val="12.0"/>
      </rPr>
      <t>Oguttu, AW</t>
    </r>
    <r>
      <rPr>
        <rFont val="Calibri"/>
        <color rgb="FF000000"/>
        <sz val="12.0"/>
      </rPr>
      <t xml:space="preserve">. “Resolving Transfer Pricing Disputes: Are Advance Pricing Agreements the Way Forward for South Africa?” (2006) 18 SA </t>
    </r>
    <r>
      <rPr>
        <rFont val="Calibri"/>
        <i/>
        <color rgb="FF000000"/>
        <sz val="12.0"/>
      </rPr>
      <t>Mercantile Law Journa</t>
    </r>
    <r>
      <rPr>
        <rFont val="Calibri"/>
        <color rgb="FF000000"/>
        <sz val="12.0"/>
      </rPr>
      <t xml:space="preserve">l 460-485. </t>
    </r>
    <r>
      <rPr>
        <rFont val="Calibri"/>
        <color rgb="FF000000"/>
        <sz val="12.0"/>
      </rPr>
      <t>Oguttu, AW.</t>
    </r>
    <r>
      <rPr>
        <rFont val="Calibri"/>
        <color rgb="FF000000"/>
        <sz val="12.0"/>
      </rPr>
      <t xml:space="preserve"> “Transfer Pricing and Tax Avoidance: Is the Arms Length Principle still relevant in the E-commerce era?” (2006) 18</t>
    </r>
    <r>
      <rPr>
        <rFont val="Calibri"/>
        <i/>
        <color rgb="FF000000"/>
        <sz val="12.0"/>
      </rPr>
      <t xml:space="preserve"> SA Mercantile Law Journal</t>
    </r>
    <r>
      <rPr>
        <rFont val="Calibri"/>
        <color rgb="FF000000"/>
        <sz val="12.0"/>
      </rPr>
      <t xml:space="preserve"> 138-158. </t>
    </r>
    <r>
      <rPr>
        <rFont val="Calibri"/>
        <color rgb="FF000000"/>
        <sz val="12.0"/>
      </rPr>
      <t>Oguttu, AW.</t>
    </r>
    <r>
      <rPr>
        <rFont val="Calibri"/>
        <color rgb="FF000000"/>
        <sz val="12.0"/>
      </rPr>
      <t xml:space="preserve"> “Electronic Commerce: Challenging the Income Tax Base” (2005) 17 </t>
    </r>
    <r>
      <rPr>
        <rFont val="Calibri"/>
        <i/>
        <color rgb="FF000000"/>
        <sz val="12.0"/>
      </rPr>
      <t xml:space="preserve">SA Mercantile Law Journal </t>
    </r>
    <r>
      <rPr>
        <rFont val="Calibri"/>
        <color rgb="FF000000"/>
        <sz val="12.0"/>
      </rPr>
      <t xml:space="preserve">305-339. </t>
    </r>
    <r>
      <rPr>
        <rFont val="Calibri"/>
        <color rgb="FF000000"/>
        <sz val="12.0"/>
      </rPr>
      <t>Oguttu, AW</t>
    </r>
    <r>
      <rPr>
        <rFont val="Calibri"/>
        <color rgb="FF000000"/>
        <sz val="12.0"/>
      </rPr>
      <t xml:space="preserve">. “Sale of a Capital Asset: Salvage or Profit Making Scheme?” (2006) Vol 14 Juta’s Business Law 231-235. </t>
    </r>
    <r>
      <rPr>
        <rFont val="Calibri"/>
        <color rgb="FF000000"/>
        <sz val="12.0"/>
      </rPr>
      <t>Oguttu, AW.</t>
    </r>
    <r>
      <rPr>
        <rFont val="Calibri"/>
        <color rgb="FF000000"/>
        <sz val="12.0"/>
      </rPr>
      <t xml:space="preserve"> “The Deductibility of Interest on a Loan (If a Dividend is Declared and then Borrowed as an Interest Bearing Loan, Can the Interest on The Loan be Deductible in Income Tax Law?)” (2005) 5 Juta’s Business Law 162-166. </t>
    </r>
    <r>
      <rPr>
        <rFont val="Calibri"/>
        <color rgb="FF000000"/>
        <sz val="12.0"/>
      </rPr>
      <t>Oguttu, AW.</t>
    </r>
    <r>
      <rPr>
        <rFont val="Calibri"/>
        <color rgb="FF000000"/>
        <sz val="12.0"/>
      </rPr>
      <t xml:space="preserve"> “What the Courts Have Put Together, Let No Man Put Asunder!” (2004) 12 Juta’s Business Law 22-25. </t>
    </r>
    <r>
      <rPr>
        <rFont val="Calibri"/>
        <color rgb="FF000000"/>
        <sz val="12.0"/>
      </rPr>
      <t xml:space="preserve">Oguttu, AW. </t>
    </r>
    <r>
      <rPr>
        <rFont val="Calibri"/>
        <color rgb="FF000000"/>
        <sz val="12.0"/>
      </rPr>
      <t xml:space="preserve">“The Courts Will Not be Beguiled: Schemes of Profit Making Concealed as Capital in Nature Exposed” (2003) 11 Juta’s Business Law 230-233. </t>
    </r>
  </si>
  <si>
    <t>Thotse</t>
  </si>
  <si>
    <t>Mahunele</t>
  </si>
  <si>
    <t>Heritage Studies</t>
  </si>
  <si>
    <t>Ray Silverman</t>
  </si>
  <si>
    <t>mahunelet@dac.gov.za, mahunele.thotse@ul.ac.za</t>
  </si>
  <si>
    <t>27 12 441 3470; cell, 082 849 9932</t>
  </si>
  <si>
    <t>Investigate the significance of commemorative monuments/names in promoting a sense of national cohesion</t>
  </si>
  <si>
    <r>
      <rPr>
        <rFont val="Calibri"/>
        <color rgb="FFFF0000"/>
        <sz val="12.0"/>
      </rPr>
      <t>(6)</t>
    </r>
    <r>
      <rPr>
        <rFont val="Calibri"/>
        <color rgb="FF000000"/>
        <sz val="12.0"/>
      </rPr>
      <t xml:space="preserve"> PhD U Pretoria, 2015</t>
    </r>
  </si>
  <si>
    <t xml:space="preserve">Jan 2021, 10 years as Deputy Director: Heritage Policy, Research and Development at Department of Arts and Culture; per January 2017, Lecturer in History Education, Department of Languages and Social Sciences, University of Limpopo </t>
  </si>
  <si>
    <r>
      <rPr>
        <rFont val="Calibri"/>
        <color rgb="FF000000"/>
        <sz val="12.0"/>
      </rPr>
      <t>Thotse, M.</t>
    </r>
    <r>
      <rPr>
        <rFont val="Calibri"/>
        <color rgb="FF000000"/>
        <sz val="12.0"/>
      </rPr>
      <t xml:space="preserve"> "Contesting Names and Statues: Battles over the Louis Trichardt/Makhado 'City-text' in Limpopo Province, South Africa." </t>
    </r>
    <r>
      <rPr>
        <rFont val="Calibri"/>
        <i/>
        <color rgb="FF000000"/>
        <sz val="12.0"/>
      </rPr>
      <t>Kronos</t>
    </r>
    <r>
      <rPr>
        <rFont val="Calibri"/>
        <color rgb="FF000000"/>
        <sz val="12.0"/>
      </rPr>
      <t xml:space="preserve"> 36 (2010): 173-83. Web.</t>
    </r>
  </si>
  <si>
    <t>Thotse, ML and JEH Grobler. 2003. "Standpoints on 'Black-on-Black' v.s 'Third Force' violence during South Africa's transitional negotiations (1990-1994)" Historia 48(2):143-60. 2004. SAMAB 30:n.p. 2005. New Contree n.v.: n.p.</t>
  </si>
  <si>
    <t>Asare-Nkansah</t>
  </si>
  <si>
    <t>Samuel</t>
  </si>
  <si>
    <t>KNUST</t>
  </si>
  <si>
    <t>2009-2010</t>
  </si>
  <si>
    <t>Pharmacy</t>
  </si>
  <si>
    <t>David Sherman</t>
  </si>
  <si>
    <t>asn12002@yahoo.com</t>
  </si>
  <si>
    <t>024 620 4205</t>
  </si>
  <si>
    <t>Synthesis of Iboggaine for Possible Pharmaceutical Development</t>
  </si>
  <si>
    <r>
      <rPr>
        <rFont val="Calibri"/>
        <color rgb="FFFF0000"/>
        <sz val="12.0"/>
      </rPr>
      <t>(8)</t>
    </r>
    <r>
      <rPr>
        <rFont val="Calibri"/>
        <color rgb="FF000000"/>
        <sz val="12.0"/>
      </rPr>
      <t xml:space="preserve"> PhD U Muenster, 2016 (Chemistry)</t>
    </r>
  </si>
  <si>
    <t>promoted to Associate Professor, May 2020, per email from David Sherman 5/26/2020; department chair at KNUST, per email from David Sherman to KS on 10/24/2017. Also note: PhD research built on work started w/David Sherman (Neurodegenerative Diseases) and was funded by German Academic Exchange Service</t>
  </si>
  <si>
    <r>
      <rPr>
        <rFont val="Calibri"/>
        <color rgb="FF000000"/>
        <sz val="12.0"/>
      </rPr>
      <t xml:space="preserve">Annan, K, K Asanteisaac, C Asare, </t>
    </r>
    <r>
      <rPr>
        <rFont val="Calibri"/>
        <color rgb="FF000000"/>
        <sz val="12.0"/>
      </rPr>
      <t>S</t>
    </r>
    <r>
      <rPr>
        <rFont val="Calibri"/>
        <color rgb="FF000000"/>
        <sz val="12.0"/>
      </rPr>
      <t xml:space="preserve"> </t>
    </r>
    <r>
      <rPr>
        <rFont val="Calibri"/>
        <color rgb="FF000000"/>
        <sz val="12.0"/>
      </rPr>
      <t>Asare-Nkansah,</t>
    </r>
    <r>
      <rPr>
        <rFont val="Calibri"/>
        <color rgb="FF000000"/>
        <sz val="12.0"/>
      </rPr>
      <t xml:space="preserve"> and B Tunkumgnen. "Profile of Heavy Metals in Some Medicinal Plants from Ghana Commonly Used as Components of Herbal Formulations." </t>
    </r>
    <r>
      <rPr>
        <rFont val="Calibri"/>
        <i/>
        <color rgb="FF000000"/>
        <sz val="12.0"/>
      </rPr>
      <t>Pharmacognosy Research</t>
    </r>
    <r>
      <rPr>
        <rFont val="Calibri"/>
        <color rgb="FF000000"/>
        <sz val="12.0"/>
      </rPr>
      <t xml:space="preserve"> 2.1 (2010): 41. Web.</t>
    </r>
  </si>
  <si>
    <r>
      <rPr>
        <rFont val="Calibri"/>
        <color rgb="FF000000"/>
        <sz val="12.0"/>
      </rPr>
      <t xml:space="preserve">Sung Ryeol Park, Ashootosh Tripathi, Jianfeng Wu, Pamela J. Schultz, Isaiah Yim, Thomas J. McQuade, Fengan Yu, Carl-Johan Arevang, </t>
    </r>
    <r>
      <rPr>
        <rFont val="Calibri"/>
        <color rgb="FF000000"/>
        <sz val="12.0"/>
      </rPr>
      <t>Abraham Y. Mensah</t>
    </r>
    <r>
      <rPr>
        <rFont val="Calibri"/>
        <color rgb="FF000000"/>
        <sz val="12.0"/>
      </rPr>
      <t xml:space="preserve">, Giselle Tamayo-Castillo, Chuanwu Xi &amp; David H. Sherman (2016). Discovery of cahuitamycins as biofilm inhibitors derived from a convergent biosynthetic pathway. </t>
    </r>
    <r>
      <rPr>
        <rFont val="Calibri"/>
        <i/>
        <color rgb="FF000000"/>
        <sz val="12.0"/>
      </rPr>
      <t>Nature Communications</t>
    </r>
    <r>
      <rPr>
        <rFont val="Calibri"/>
        <color rgb="FF000000"/>
        <sz val="12.0"/>
      </rPr>
      <t xml:space="preserve"> 7:10710. </t>
    </r>
  </si>
  <si>
    <r>
      <rPr>
        <rFont val="Calibri"/>
        <color rgb="FF000000"/>
        <sz val="12.0"/>
      </rPr>
      <t>Asare-Nkansah, S,</t>
    </r>
    <r>
      <rPr>
        <rFont val="Calibri"/>
        <color rgb="FF000000"/>
        <sz val="12.0"/>
      </rPr>
      <t xml:space="preserve"> JK Kwakye and RK Adosraku, 2007. Determining the Bioequivalence of Paracetamol Products with Urinary Excretory Data. </t>
    </r>
    <r>
      <rPr>
        <rFont val="Calibri"/>
        <i/>
        <color rgb="FF000000"/>
        <sz val="12.0"/>
      </rPr>
      <t xml:space="preserve">West Afr J Pharmacy </t>
    </r>
    <r>
      <rPr>
        <rFont val="Calibri"/>
        <color rgb="FF000000"/>
        <sz val="12.0"/>
      </rPr>
      <t xml:space="preserve">20(1):14-22. Okine, NNA,                            </t>
    </r>
    <r>
      <rPr>
        <rFont val="Calibri"/>
        <color rgb="FF000000"/>
        <sz val="12.0"/>
      </rPr>
      <t>S Asare-Nkansah</t>
    </r>
    <r>
      <rPr>
        <rFont val="Calibri"/>
        <color rgb="FF000000"/>
        <sz val="12.0"/>
      </rPr>
      <t xml:space="preserve">, SO Bekoe, and A Acheampong. 2007. Determination of Relative Bioavailability of a locally manufactured co-trimoxazole tablets using urinary excretory data. </t>
    </r>
    <r>
      <rPr>
        <rFont val="Calibri"/>
        <i/>
        <color rgb="FF000000"/>
        <sz val="12.0"/>
      </rPr>
      <t xml:space="preserve">Journal of Science and Tecknology </t>
    </r>
    <r>
      <rPr>
        <rFont val="Calibri"/>
        <color rgb="FF000000"/>
        <sz val="12.0"/>
      </rPr>
      <t xml:space="preserve">{journal of KNUST} 27(1):62-70. Okine, NNA,                                                                                                                                                                                                                                                                          </t>
    </r>
    <r>
      <rPr>
        <rFont val="Calibri"/>
        <color rgb="FF000000"/>
        <sz val="12.0"/>
      </rPr>
      <t>S Asare-Nkansah</t>
    </r>
    <r>
      <rPr>
        <rFont val="Calibri"/>
        <color rgb="FF000000"/>
        <sz val="12.0"/>
      </rPr>
      <t xml:space="preserve">, and A Acheampong. 2007. Simultaneous determination of sulphamethoxazole and trimethoprim in co-trimoxazole tablets using rp-lc analysis. </t>
    </r>
    <r>
      <rPr>
        <rFont val="Calibri"/>
        <i/>
        <color rgb="FF000000"/>
        <sz val="12.0"/>
      </rPr>
      <t xml:space="preserve">Journal of the Ghana Science Association </t>
    </r>
    <r>
      <rPr>
        <rFont val="Calibri"/>
        <color rgb="FF000000"/>
        <sz val="12.0"/>
      </rPr>
      <t xml:space="preserve">9(1):62-70. Okine, NNA,                                                                                                                                                                                                                                                                                                                                      </t>
    </r>
    <r>
      <rPr>
        <rFont val="Calibri"/>
        <color rgb="FF000000"/>
        <sz val="12.0"/>
      </rPr>
      <t>S Asare-Nkansah</t>
    </r>
    <r>
      <rPr>
        <rFont val="Calibri"/>
        <color rgb="FF000000"/>
        <sz val="12.0"/>
      </rPr>
      <t xml:space="preserve">, and DK Ameko. 2006. Comparative bioavailability study of Aspirin tablets using UV/Visible spectroscopy and hplc technique. </t>
    </r>
    <r>
      <rPr>
        <rFont val="Calibri"/>
        <i/>
        <color rgb="FF000000"/>
        <sz val="12.0"/>
      </rPr>
      <t>Journal of the Ghana Science Association</t>
    </r>
    <r>
      <rPr>
        <rFont val="Calibri"/>
        <color rgb="FF000000"/>
        <sz val="12.0"/>
      </rPr>
      <t xml:space="preserve"> 8(1):79-88.                                 </t>
    </r>
    <r>
      <rPr>
        <rFont val="Calibri"/>
        <color rgb="FF000000"/>
        <sz val="12.0"/>
      </rPr>
      <t>Asare-Nkansah, S</t>
    </r>
    <r>
      <rPr>
        <rFont val="Calibri"/>
        <color rgb="FF000000"/>
        <sz val="12.0"/>
      </rPr>
      <t xml:space="preserve"> and JK Kwakye. 2006. Quality evaluation of paracetamol in the bulk, dosage forms and body fluids using the high performance liquid chromatography (hplc) technique. </t>
    </r>
    <r>
      <rPr>
        <rFont val="Calibri"/>
        <i/>
        <color rgb="FF000000"/>
        <sz val="12.0"/>
      </rPr>
      <t>Journal of Science and Tecknology</t>
    </r>
    <r>
      <rPr>
        <rFont val="Calibri"/>
        <color rgb="FF000000"/>
        <sz val="12.0"/>
      </rPr>
      <t xml:space="preserve"> {journal of KNUST} 27(1):62-70.                                                                                                                                                                                                                                                                                          Kwakye, JK and </t>
    </r>
    <r>
      <rPr>
        <rFont val="Calibri"/>
        <color rgb="FF000000"/>
        <sz val="12.0"/>
      </rPr>
      <t>S Asare-Nkansah</t>
    </r>
    <r>
      <rPr>
        <rFont val="Calibri"/>
        <color rgb="FF000000"/>
        <sz val="12.0"/>
      </rPr>
      <t>, 2006. In vitro-in vivo correlation of locally manufactured Amoxicillin capsules, Paracetamol and Chloroquine Phosphate tablets.</t>
    </r>
    <r>
      <rPr>
        <rFont val="Calibri"/>
        <i/>
        <color rgb="FF000000"/>
        <sz val="12.0"/>
      </rPr>
      <t xml:space="preserve"> West Afr J Pharmacy </t>
    </r>
    <r>
      <rPr>
        <rFont val="Calibri"/>
        <color rgb="FF000000"/>
        <sz val="12.0"/>
      </rPr>
      <t xml:space="preserve">19(2):14-22. Kwakye, JK, RK Adosraku, </t>
    </r>
    <r>
      <rPr>
        <rFont val="Calibri"/>
        <color rgb="FF000000"/>
        <sz val="12.0"/>
      </rPr>
      <t xml:space="preserve">S Asare-Nkansah </t>
    </r>
    <r>
      <rPr>
        <rFont val="Calibri"/>
        <color rgb="FF000000"/>
        <sz val="12.0"/>
      </rPr>
      <t xml:space="preserve">and SO Bekoe, 2005. Bioavailability in Quality Control: Performance of some local pharmaceutical industries. </t>
    </r>
    <r>
      <rPr>
        <rFont val="Calibri"/>
        <i/>
        <color rgb="FF000000"/>
        <sz val="12.0"/>
      </rPr>
      <t>The Ghana Pharmaceutical Journal</t>
    </r>
    <r>
      <rPr>
        <rFont val="Calibri"/>
        <color rgb="FF000000"/>
        <sz val="12.0"/>
      </rPr>
      <t xml:space="preserve"> 30(1):37-41. </t>
    </r>
  </si>
  <si>
    <t>Bernath</t>
  </si>
  <si>
    <t>Tamsyn</t>
  </si>
  <si>
    <t xml:space="preserve">WITS </t>
  </si>
  <si>
    <t>Speech Pathology</t>
  </si>
  <si>
    <t>Assorted Mentor Team (Andy Haig, Ned Kirsch,et al.)</t>
  </si>
  <si>
    <t>tamsynbernath@hotmail.com</t>
  </si>
  <si>
    <t>Predictors of Successful Communication in Acquired Brain Injury within a Diverse Group Context</t>
  </si>
  <si>
    <t>proposal stage of PhD (incoming); now in private practice</t>
  </si>
  <si>
    <t>none</t>
  </si>
  <si>
    <t>Bropleh</t>
  </si>
  <si>
    <t>Mark</t>
  </si>
  <si>
    <t>U Liberia</t>
  </si>
  <si>
    <t>Liberia</t>
  </si>
  <si>
    <t>Engineering</t>
  </si>
  <si>
    <t>Herbert Winful</t>
  </si>
  <si>
    <t>mbrop@yahoo.com</t>
  </si>
  <si>
    <t>231 651 8890</t>
  </si>
  <si>
    <t>The Role of Science and Technology Policy in Post-Conflict Countries</t>
  </si>
  <si>
    <t>HF connected w/him thru LinkedIn and sent message for update 1/4/2018</t>
  </si>
  <si>
    <t>no academic publications</t>
  </si>
  <si>
    <t>Danquah</t>
  </si>
  <si>
    <t>Emmanuel</t>
  </si>
  <si>
    <t>School of Natural Resources and the Environment</t>
  </si>
  <si>
    <t xml:space="preserve">Arun Agrawal </t>
  </si>
  <si>
    <t>ekadanquah@yahoo.com</t>
  </si>
  <si>
    <t>233 244 742385</t>
  </si>
  <si>
    <t>Land-Use Modifications and Food (Wildlife) Security in the Bia-Goaso Forest Block</t>
  </si>
  <si>
    <r>
      <rPr>
        <rFont val="Calibri"/>
        <color rgb="FFFF0000"/>
        <sz val="12.0"/>
      </rPr>
      <t xml:space="preserve">(9) </t>
    </r>
    <r>
      <rPr>
        <rFont val="Calibri"/>
        <color rgb="FF000000"/>
        <sz val="12.0"/>
      </rPr>
      <t>PhD KNUST, 2012</t>
    </r>
  </si>
  <si>
    <t xml:space="preserve">since 2014: Head of Department of Wildlife and Range Management, KNUST </t>
  </si>
  <si>
    <r>
      <rPr>
        <rFont val="Calibri"/>
        <color rgb="FF000000"/>
        <sz val="12.0"/>
      </rPr>
      <t xml:space="preserve">Boafo, Yaw, M Manford, RFW Barnes, E Midibahaye, </t>
    </r>
    <r>
      <rPr>
        <rFont val="Calibri"/>
        <color rgb="FF000000"/>
        <sz val="12.0"/>
      </rPr>
      <t>E. Danquah</t>
    </r>
    <r>
      <rPr>
        <rFont val="Calibri"/>
        <color rgb="FF000000"/>
        <sz val="12.0"/>
      </rPr>
      <t>, N Awo, and U-F Dubiure. "Comparison of Two Dung Count Methods for Estimating Elephant Numbers at Kakum Conservation Area in Southern Ghana." </t>
    </r>
    <r>
      <rPr>
        <rFont val="Calibri"/>
        <i/>
        <color rgb="FF000000"/>
        <sz val="12.0"/>
      </rPr>
      <t>Pachyderm</t>
    </r>
    <r>
      <rPr>
        <rFont val="Calibri"/>
        <color rgb="FF000000"/>
        <sz val="12.0"/>
      </rPr>
      <t xml:space="preserve"> 45 (2009): 34-40. Web; </t>
    </r>
    <r>
      <rPr>
        <rFont val="Calibri"/>
        <color rgb="FF000000"/>
        <sz val="12.0"/>
      </rPr>
      <t>Danquah, E.</t>
    </r>
    <r>
      <rPr>
        <rFont val="Calibri"/>
        <color rgb="FF000000"/>
        <sz val="12.0"/>
      </rPr>
      <t xml:space="preserve">, ME Nutsuakor, and DNT Stephen. "Prevalence and Management of Endo Parasitic Zoonoses in the Kumasi Zoo, Ghana." </t>
    </r>
    <r>
      <rPr>
        <rFont val="Calibri"/>
        <i/>
        <color rgb="FF000000"/>
        <sz val="12.0"/>
      </rPr>
      <t>International Journal of Biosciences</t>
    </r>
    <r>
      <rPr>
        <rFont val="Calibri"/>
        <color rgb="FF000000"/>
        <sz val="12.0"/>
      </rPr>
      <t xml:space="preserve"> 2.18 (2012): 102-08. Web; Agyei-Ohemeng, J., and </t>
    </r>
    <r>
      <rPr>
        <rFont val="Calibri"/>
        <color rgb="FF000000"/>
        <sz val="12.0"/>
      </rPr>
      <t>E. Danquah</t>
    </r>
    <r>
      <rPr>
        <rFont val="Calibri"/>
        <color rgb="FF000000"/>
        <sz val="12.0"/>
      </rPr>
      <t xml:space="preserve">. "The Contribution of Fruit Bats, Eidolon Helvum, to Biodiversity on the University of Energy and Natural Resources' Campus, Sunyani Ghana." Report? (2016): n. pag. Web; Gaubert, P, F Njiokou, G Ngua, K Afiademanyo, S Dufour, J Malekani, S Gonedelabi, C Tougard, A Olayemi, </t>
    </r>
    <r>
      <rPr>
        <rFont val="Calibri"/>
        <color rgb="FF000000"/>
        <sz val="12.0"/>
      </rPr>
      <t>E Danquah</t>
    </r>
    <r>
      <rPr>
        <rFont val="Calibri"/>
        <color rgb="FF000000"/>
        <sz val="12.0"/>
      </rPr>
      <t xml:space="preserve">, CAMS Djagoun, P Kaleme, CN Mololo, W Stanley, S-J Luo, and A Antunes. "Phylogeography of the Heavily Poached African Common Pangolin (Pholidota, Manis Tricuspis) Reveals Six Cryptic Lineages as Traceable Signatures of Pleistocene Diversification." </t>
    </r>
    <r>
      <rPr>
        <rFont val="Calibri"/>
        <i/>
        <color rgb="FF000000"/>
        <sz val="12.0"/>
      </rPr>
      <t>Molecular Ecology</t>
    </r>
    <r>
      <rPr>
        <rFont val="Calibri"/>
        <color rgb="FF000000"/>
        <sz val="12.0"/>
      </rPr>
      <t xml:space="preserve"> 25.23 (2016): 5975-993. Web. </t>
    </r>
    <r>
      <rPr>
        <rFont val="Calibri"/>
        <color rgb="FF000000"/>
        <sz val="12.0"/>
      </rPr>
      <t>Danquah, E.</t>
    </r>
    <r>
      <rPr>
        <rFont val="Calibri"/>
        <color rgb="FF000000"/>
        <sz val="12.0"/>
      </rPr>
      <t xml:space="preserve"> "Monitoring Effectiveness of Community Resources Management Areas in Western Ghana." </t>
    </r>
    <r>
      <rPr>
        <rFont val="Calibri"/>
        <i/>
        <color rgb="FF000000"/>
        <sz val="12.0"/>
      </rPr>
      <t>Nature and Faune</t>
    </r>
    <r>
      <rPr>
        <rFont val="Calibri"/>
        <color rgb="FF000000"/>
        <sz val="12.0"/>
      </rPr>
      <t xml:space="preserve"> 30.2 (2016): n. pag. Web. </t>
    </r>
    <r>
      <rPr>
        <rFont val="Calibri"/>
        <color rgb="FF000000"/>
        <sz val="12.0"/>
      </rPr>
      <t>Danquah, E.</t>
    </r>
    <r>
      <rPr>
        <rFont val="Calibri"/>
        <color rgb="FF000000"/>
        <sz val="12.0"/>
      </rPr>
      <t xml:space="preserve"> "Spatial Distribution of Elephants versus Human and Ecological Variables in Western Ghana." </t>
    </r>
    <r>
      <rPr>
        <rFont val="Calibri"/>
        <i/>
        <color rgb="FF000000"/>
        <sz val="12.0"/>
      </rPr>
      <t>Advances in Ecology</t>
    </r>
    <r>
      <rPr>
        <rFont val="Calibri"/>
        <color rgb="FF000000"/>
        <sz val="12.0"/>
      </rPr>
      <t xml:space="preserve"> 2016 (2016): 1-8. Web. Imoro, ZA, OS Kingsley, and</t>
    </r>
    <r>
      <rPr>
        <rFont val="Calibri"/>
        <color rgb="FF000000"/>
        <sz val="12.0"/>
      </rPr>
      <t xml:space="preserve"> E Danquah</t>
    </r>
    <r>
      <rPr>
        <rFont val="Calibri"/>
        <color rgb="FF000000"/>
        <sz val="12.0"/>
      </rPr>
      <t xml:space="preserve">. "Estimation of Growth Rate and Biomass Production of Native Savanna Forage Shrub Species." </t>
    </r>
    <r>
      <rPr>
        <rFont val="Calibri"/>
        <i/>
        <color rgb="FF000000"/>
        <sz val="12.0"/>
      </rPr>
      <t>African Journal of Plant Science</t>
    </r>
    <r>
      <rPr>
        <rFont val="Calibri"/>
        <color rgb="FF000000"/>
        <sz val="12.0"/>
      </rPr>
      <t xml:space="preserve"> 10.12 (2016): 258-68. Web. </t>
    </r>
    <r>
      <rPr>
        <rFont val="Calibri"/>
        <color rgb="FF000000"/>
        <sz val="12.0"/>
      </rPr>
      <t xml:space="preserve">Danquah, E, </t>
    </r>
    <r>
      <rPr>
        <rFont val="Calibri"/>
        <color rgb="FF000000"/>
        <sz val="12.0"/>
      </rPr>
      <t xml:space="preserve">and E H Tetteh. "Logging Activity Adversely Impacts Primate Diversity and Density in the Kwabre Rainforest of Ghana." </t>
    </r>
    <r>
      <rPr>
        <rFont val="Calibri"/>
        <i/>
        <color rgb="FF000000"/>
        <sz val="12.0"/>
      </rPr>
      <t xml:space="preserve">International Journal of Ecology </t>
    </r>
    <r>
      <rPr>
        <rFont val="Calibri"/>
        <color rgb="FF000000"/>
        <sz val="12.0"/>
      </rPr>
      <t>2016 (2016): 1-8. Web.</t>
    </r>
  </si>
  <si>
    <r>
      <rPr>
        <rFont val="Calibri"/>
        <color rgb="FF000000"/>
        <sz val="12.0"/>
      </rPr>
      <t>Danquah, E</t>
    </r>
    <r>
      <rPr>
        <rFont val="Calibri"/>
        <color rgb="FF000000"/>
        <sz val="12.0"/>
      </rPr>
      <t xml:space="preserve">, S Oppong, and M E Nutsuakor. "Effect of Protected Are Category on Mammal Abundance in Western Ghana." </t>
    </r>
    <r>
      <rPr>
        <rFont val="Calibri"/>
        <i/>
        <color rgb="FF000000"/>
        <sz val="12.0"/>
      </rPr>
      <t>Journal of Biodiversity and Environmental Sciences</t>
    </r>
    <r>
      <rPr>
        <rFont val="Calibri"/>
        <color rgb="FF000000"/>
        <sz val="12.0"/>
      </rPr>
      <t xml:space="preserve"> 2.8 (2012): 2220-6663. Web. </t>
    </r>
    <r>
      <rPr>
        <rFont val="Calibri"/>
        <color rgb="FF000000"/>
        <sz val="12.0"/>
      </rPr>
      <t>Danquah, E</t>
    </r>
    <r>
      <rPr>
        <rFont val="Calibri"/>
        <color rgb="FF000000"/>
        <sz val="12.0"/>
      </rPr>
      <t xml:space="preserve">, S Oppong, E Akom, and M Sam. "Preliminary Survey of Chimpanzees and Threatened Monkeys in the Bia-Goaso Forest Block in Southwestern Ghana." </t>
    </r>
    <r>
      <rPr>
        <rFont val="Calibri"/>
        <i/>
        <color rgb="FF000000"/>
        <sz val="12.0"/>
      </rPr>
      <t>African Primates</t>
    </r>
    <r>
      <rPr>
        <rFont val="Calibri"/>
        <color rgb="FF000000"/>
        <sz val="12.0"/>
      </rPr>
      <t xml:space="preserve"> 7.2 (2012): 163-74. Web.                                                                                                                                                                                                                                                                                                                                                       </t>
    </r>
    <r>
      <rPr>
        <rFont val="Calibri"/>
        <color rgb="FF000000"/>
        <sz val="12.0"/>
      </rPr>
      <t>Danquah, E.</t>
    </r>
    <r>
      <rPr>
        <rFont val="Calibri"/>
        <color rgb="FF000000"/>
        <sz val="12.0"/>
      </rPr>
      <t xml:space="preserve">, and S. Oppong. "Elephant Population Trends and Associated Factors: A Review of the Situation in Western Ghana." </t>
    </r>
    <r>
      <rPr>
        <rFont val="Calibri"/>
        <i/>
        <color rgb="FF000000"/>
        <sz val="12.0"/>
      </rPr>
      <t>Pachyderm</t>
    </r>
    <r>
      <rPr>
        <rFont val="Calibri"/>
        <color rgb="FF000000"/>
        <sz val="12.0"/>
      </rPr>
      <t xml:space="preserve"> 53 (2013): 81-90.                                                                              Web. Gaubert, P, F Njiokou, A Olayemi, P Pagani, S Dufour, </t>
    </r>
    <r>
      <rPr>
        <rFont val="Calibri"/>
        <color rgb="FF000000"/>
        <sz val="12.0"/>
      </rPr>
      <t>E Danquah</t>
    </r>
    <r>
      <rPr>
        <rFont val="Calibri"/>
        <color rgb="FF000000"/>
        <sz val="12.0"/>
      </rPr>
      <t xml:space="preserve">, MEK Nutsuakor, G Ngua, A Missoup, Pablo A. Tedesco, R Dernat, and A Antunes. "Bushmeat Genetics: Setting up a Reference Framework for the DNA Typing of African Forest Bushmeat." </t>
    </r>
    <r>
      <rPr>
        <rFont val="Calibri"/>
        <i/>
        <color rgb="FF000000"/>
        <sz val="12.0"/>
      </rPr>
      <t xml:space="preserve">Molecular Ecology Resources </t>
    </r>
    <r>
      <rPr>
        <rFont val="Calibri"/>
        <color rgb="FF000000"/>
        <sz val="12.0"/>
      </rPr>
      <t xml:space="preserve">15.3 (2014): 633-51.                                                                                                                                                                   Web. </t>
    </r>
    <r>
      <rPr>
        <rFont val="Calibri"/>
        <color rgb="FF000000"/>
        <sz val="12.0"/>
      </rPr>
      <t>Danquah, E.</t>
    </r>
    <r>
      <rPr>
        <rFont val="Calibri"/>
        <color rgb="FF000000"/>
        <sz val="12.0"/>
      </rPr>
      <t xml:space="preserve"> "FAO Regional Office for Africa Human-Wildlife Conflicts." </t>
    </r>
    <r>
      <rPr>
        <rFont val="Calibri"/>
        <i/>
        <color rgb="FF000000"/>
        <sz val="12.0"/>
      </rPr>
      <t>Nature and Faune</t>
    </r>
    <r>
      <rPr>
        <rFont val="Calibri"/>
        <color rgb="FF000000"/>
        <sz val="12.0"/>
      </rPr>
      <t xml:space="preserve"> 21.2 (2014): n. pag.                                                                                                                                           Web.</t>
    </r>
    <r>
      <rPr>
        <rFont val="Calibri"/>
        <color rgb="FF000000"/>
        <sz val="12.0"/>
      </rPr>
      <t>Danquah, E</t>
    </r>
    <r>
      <rPr>
        <rFont val="Calibri"/>
        <color rgb="FF000000"/>
        <sz val="12.0"/>
      </rPr>
      <t xml:space="preserve">, and SK Oppong. "Survey of Forest Elephants Loxodonta Cyclotis (Matschie, 1900) (Mammalia: Proboscidea: Elephantidae) in the Bia Conservation Area, Ghana." </t>
    </r>
    <r>
      <rPr>
        <rFont val="Calibri"/>
        <i/>
        <color rgb="FF000000"/>
        <sz val="12.0"/>
      </rPr>
      <t xml:space="preserve">Journal of Threatened Taxa </t>
    </r>
    <r>
      <rPr>
        <rFont val="Calibri"/>
        <color rgb="FF000000"/>
        <sz val="12.0"/>
      </rPr>
      <t>6.11 (2014): 6399-405.                                                                                                                                                                                                                                                                                                                       Web. Barnes, RFW,</t>
    </r>
    <r>
      <rPr>
        <rFont val="Calibri"/>
        <color rgb="FF000000"/>
        <sz val="12.0"/>
      </rPr>
      <t xml:space="preserve"> E Danquah</t>
    </r>
    <r>
      <rPr>
        <rFont val="Calibri"/>
        <color rgb="FF000000"/>
        <sz val="12.0"/>
      </rPr>
      <t xml:space="preserve">, E Midibahaye, and Y Boafo. "Retrospective versus Prospective Designs for Studies of Crop-raiding by Elephants in Kakum, Ghana." </t>
    </r>
    <r>
      <rPr>
        <rFont val="Calibri"/>
        <i/>
        <color rgb="FF000000"/>
        <sz val="12.0"/>
      </rPr>
      <t>Pachyderm</t>
    </r>
    <r>
      <rPr>
        <rFont val="Calibri"/>
        <color rgb="FF000000"/>
        <sz val="12.0"/>
      </rPr>
      <t xml:space="preserve"> 56 (2015): 44-50.                   Web. </t>
    </r>
    <r>
      <rPr>
        <rFont val="Calibri"/>
        <color rgb="FF000000"/>
        <sz val="12.0"/>
      </rPr>
      <t>Danquah, E</t>
    </r>
    <r>
      <rPr>
        <rFont val="Calibri"/>
        <color rgb="FF000000"/>
        <sz val="12.0"/>
      </rPr>
      <t xml:space="preserve">, and J Owusu. "Distribution of Buffoloes in the Kogyae Strict Nature Reserve, Ghana." </t>
    </r>
    <r>
      <rPr>
        <rFont val="Calibri"/>
        <i/>
        <color rgb="FF000000"/>
        <sz val="12.0"/>
      </rPr>
      <t>Applied Research Journal</t>
    </r>
    <r>
      <rPr>
        <rFont val="Calibri"/>
        <color rgb="FF000000"/>
        <sz val="12.0"/>
      </rPr>
      <t xml:space="preserve"> 1.2 (2015): 20-26. Web. Agyei-Ohemeng, J, and </t>
    </r>
    <r>
      <rPr>
        <rFont val="Calibri"/>
        <color rgb="FF000000"/>
        <sz val="12.0"/>
      </rPr>
      <t>E Danquah</t>
    </r>
    <r>
      <rPr>
        <rFont val="Calibri"/>
        <color rgb="FF000000"/>
        <sz val="12.0"/>
      </rPr>
      <t xml:space="preserve">. "Impact of Eidolon Helvum on Roost Trees on UENR Campus." </t>
    </r>
    <r>
      <rPr>
        <rFont val="Calibri"/>
        <i/>
        <color rgb="FF000000"/>
        <sz val="12.0"/>
      </rPr>
      <t xml:space="preserve">JENRM </t>
    </r>
    <r>
      <rPr>
        <rFont val="Calibri"/>
        <color rgb="FF000000"/>
        <sz val="12.0"/>
      </rPr>
      <t xml:space="preserve">2.2 (2015): 44-50. Web; 
</t>
    </r>
  </si>
  <si>
    <r>
      <rPr>
        <rFont val="Calibri"/>
        <color rgb="FF000000"/>
        <sz val="12.0"/>
      </rPr>
      <t xml:space="preserve">Kumordzi, BB, W Oduro, SK Oppong, </t>
    </r>
    <r>
      <rPr>
        <rFont val="Calibri"/>
        <color rgb="FF000000"/>
        <sz val="12.0"/>
      </rPr>
      <t>E Danquah</t>
    </r>
    <r>
      <rPr>
        <rFont val="Calibri"/>
        <color rgb="FF000000"/>
        <sz val="12.0"/>
      </rPr>
      <t xml:space="preserve">, A Lister, and MK Sam. "An Elephant survey in Digya National Park, Ghana, and implications for conservation and management." </t>
    </r>
    <r>
      <rPr>
        <rFont val="Calibri"/>
        <i/>
        <color rgb="FF000000"/>
        <sz val="12.0"/>
      </rPr>
      <t>Pachyderm</t>
    </r>
    <r>
      <rPr>
        <rFont val="Calibri"/>
        <color rgb="FF000000"/>
        <sz val="12.0"/>
      </rPr>
      <t xml:space="preserve"> 44 (2008): 28-34.                                                                                                                                                                                                                                                                                                                                                            Oppong, SK, </t>
    </r>
    <r>
      <rPr>
        <rFont val="Calibri"/>
        <color rgb="FF000000"/>
        <sz val="12.0"/>
      </rPr>
      <t>E Danquah</t>
    </r>
    <r>
      <rPr>
        <rFont val="Calibri"/>
        <color rgb="FF000000"/>
        <sz val="12.0"/>
      </rPr>
      <t xml:space="preserve"> and MK Sam. "An update on crop raiding by elephants at Bia Conservation Area, Ghana, from 2004 to 2006." </t>
    </r>
    <r>
      <rPr>
        <rFont val="Calibri"/>
        <i/>
        <color rgb="FF000000"/>
        <sz val="12.0"/>
      </rPr>
      <t>Pachyderm</t>
    </r>
    <r>
      <rPr>
        <rFont val="Calibri"/>
        <color rgb="FF000000"/>
        <sz val="12.0"/>
      </rPr>
      <t xml:space="preserve"> 44 (2008): 60-4.                                                                  </t>
    </r>
    <r>
      <rPr>
        <rFont val="Calibri"/>
        <color rgb="FF000000"/>
        <sz val="12.0"/>
      </rPr>
      <t>Danquah, E</t>
    </r>
    <r>
      <rPr>
        <rFont val="Calibri"/>
        <color rgb="FF000000"/>
        <sz val="12.0"/>
      </rPr>
      <t xml:space="preserve"> and SK Oppong. "Phenology of forest treees favoured by elephants in the Kakum Conservation Area, Ghana." </t>
    </r>
    <r>
      <rPr>
        <rFont val="Calibri"/>
        <i/>
        <color rgb="FF000000"/>
        <sz val="12.0"/>
      </rPr>
      <t xml:space="preserve">Pachyderm </t>
    </r>
    <r>
      <rPr>
        <rFont val="Calibri"/>
        <color rgb="FF000000"/>
        <sz val="12.0"/>
      </rPr>
      <t xml:space="preserve">42 (2007): 43-51.                                                                                   </t>
    </r>
    <r>
      <rPr>
        <rFont val="Calibri"/>
        <color rgb="FF000000"/>
        <sz val="12.0"/>
      </rPr>
      <t xml:space="preserve">Danquah, E </t>
    </r>
    <r>
      <rPr>
        <rFont val="Calibri"/>
        <color rgb="FF000000"/>
        <sz val="12.0"/>
      </rPr>
      <t xml:space="preserve">and SK Oppong. "Food plants of forest elephants and their availability in the Kakum Conservation Area, Ghana." </t>
    </r>
    <r>
      <rPr>
        <rFont val="Calibri"/>
        <i/>
        <color rgb="FF000000"/>
        <sz val="12.0"/>
      </rPr>
      <t>Pachyderm</t>
    </r>
    <r>
      <rPr>
        <rFont val="Calibri"/>
        <color rgb="FF000000"/>
        <sz val="12.0"/>
      </rPr>
      <t xml:space="preserve"> 40 (2006): 42-50.                                                                                       Sam, MK, </t>
    </r>
    <r>
      <rPr>
        <rFont val="Calibri"/>
        <color rgb="FF000000"/>
        <sz val="12.0"/>
      </rPr>
      <t>E Danquah</t>
    </r>
    <r>
      <rPr>
        <rFont val="Calibri"/>
        <color rgb="FF000000"/>
        <sz val="12.0"/>
      </rPr>
      <t xml:space="preserve">, SK Oppong, and ED Bosu. "Elephant survey in the Bia Conservation Area, western Ghana." </t>
    </r>
    <r>
      <rPr>
        <rFont val="Calibri"/>
        <i/>
        <color rgb="FF000000"/>
        <sz val="12.0"/>
      </rPr>
      <t>Pachyderm</t>
    </r>
    <r>
      <rPr>
        <rFont val="Calibri"/>
        <color rgb="FF000000"/>
        <sz val="12.0"/>
      </rPr>
      <t xml:space="preserve"> 40 (2006): 42-50. Barnes, RFW, EM Hema, AE Nandjui, M Manford, UF Dubiure, </t>
    </r>
    <r>
      <rPr>
        <rFont val="Calibri"/>
        <color rgb="FF000000"/>
        <sz val="12.0"/>
      </rPr>
      <t>E Danquah</t>
    </r>
    <r>
      <rPr>
        <rFont val="Calibri"/>
        <color rgb="FF000000"/>
        <sz val="12.0"/>
      </rPr>
      <t xml:space="preserve">, and Y Boafo. "Risk of crop raiding by elephants around the Kakum Conservation Area, Ghana." </t>
    </r>
    <r>
      <rPr>
        <rFont val="Calibri"/>
        <i/>
        <color rgb="FF000000"/>
        <sz val="12.0"/>
      </rPr>
      <t>Pachyderm</t>
    </r>
    <r>
      <rPr>
        <rFont val="Calibri"/>
        <color rgb="FF000000"/>
        <sz val="12.0"/>
      </rPr>
      <t xml:space="preserve"> 39 (2005): 19-25.                                                                                                                       Sam, MK, </t>
    </r>
    <r>
      <rPr>
        <rFont val="Calibri"/>
        <color rgb="FF000000"/>
        <sz val="12.0"/>
      </rPr>
      <t>E Danquah</t>
    </r>
    <r>
      <rPr>
        <rFont val="Calibri"/>
        <color rgb="FF000000"/>
        <sz val="12.0"/>
      </rPr>
      <t xml:space="preserve">, SK Oppong and EA Ashie. "Nature and extent of human-elephant conflict in Bia Conservation Area, Ghana." </t>
    </r>
    <r>
      <rPr>
        <rFont val="Calibri"/>
        <i/>
        <color rgb="FF000000"/>
        <sz val="12.0"/>
      </rPr>
      <t xml:space="preserve">Pachyderm </t>
    </r>
    <r>
      <rPr>
        <rFont val="Calibri"/>
        <color rgb="FF000000"/>
        <sz val="12.0"/>
      </rPr>
      <t xml:space="preserve">38 (2005): 49-58.                                                                          Boafo, Y, UF Dubiure, </t>
    </r>
    <r>
      <rPr>
        <rFont val="Calibri"/>
        <color rgb="FF000000"/>
        <sz val="12.0"/>
      </rPr>
      <t>E Danquah</t>
    </r>
    <r>
      <rPr>
        <rFont val="Calibri"/>
        <color rgb="FF000000"/>
        <sz val="12.0"/>
      </rPr>
      <t xml:space="preserve">, M Amofah-Appiah, AE Nandjui, EM Hema, RFW Barnes, and B Bailey. "Long-term management of crop raiding by elephants around Kakum Conservation Area in southern Ghana." </t>
    </r>
    <r>
      <rPr>
        <rFont val="Calibri"/>
        <i/>
        <color rgb="FF000000"/>
        <sz val="12.0"/>
      </rPr>
      <t>Pachyderm</t>
    </r>
    <r>
      <rPr>
        <rFont val="Calibri"/>
        <color rgb="FF000000"/>
        <sz val="12.0"/>
      </rPr>
      <t xml:space="preserve"> 37 (2004): 68-72.                                                                                                                                                                                                                                                                                              </t>
    </r>
    <r>
      <rPr>
        <rFont val="Calibri"/>
        <color rgb="FF000000"/>
        <sz val="12.0"/>
      </rPr>
      <t xml:space="preserve">Danquah, E, </t>
    </r>
    <r>
      <rPr>
        <rFont val="Calibri"/>
        <color rgb="FF000000"/>
        <sz val="12.0"/>
      </rPr>
      <t>Y Boafo, UF Dubiure,</t>
    </r>
    <r>
      <rPr>
        <rFont val="Calibri"/>
        <color rgb="FF000000"/>
        <sz val="12.0"/>
      </rPr>
      <t xml:space="preserve"> </t>
    </r>
    <r>
      <rPr>
        <rFont val="Calibri"/>
        <color rgb="FF000000"/>
        <sz val="12.0"/>
      </rPr>
      <t>AE Nandjui, EM Hema,</t>
    </r>
    <r>
      <rPr>
        <rFont val="Calibri"/>
        <color rgb="FF000000"/>
        <sz val="12.0"/>
      </rPr>
      <t xml:space="preserve"> </t>
    </r>
    <r>
      <rPr>
        <rFont val="Calibri"/>
        <color rgb="FF000000"/>
        <sz val="12.0"/>
      </rPr>
      <t xml:space="preserve">and M Amofah-Appiah. "Elephant census in the Ankasa Conservation Area in South-Western Ghana." </t>
    </r>
    <r>
      <rPr>
        <rFont val="Calibri"/>
        <i/>
        <color rgb="FF000000"/>
        <sz val="12.0"/>
      </rPr>
      <t>Pachyderm 31</t>
    </r>
    <r>
      <rPr>
        <rFont val="Calibri"/>
        <color rgb="FF000000"/>
        <sz val="12.0"/>
      </rPr>
      <t xml:space="preserve"> (2001): 63-9.                            Barnes, RFW, UF Dubiure, </t>
    </r>
    <r>
      <rPr>
        <rFont val="Calibri"/>
        <color rgb="FF000000"/>
        <sz val="12.0"/>
      </rPr>
      <t>E Danquah</t>
    </r>
    <r>
      <rPr>
        <rFont val="Calibri"/>
        <color rgb="FF000000"/>
        <sz val="12.0"/>
      </rPr>
      <t xml:space="preserve">, Y Boafo, AE Nandjui, EM Hema, and M Manford, 2007. "Crop raiding elephants and the moon." </t>
    </r>
    <r>
      <rPr>
        <rFont val="Calibri"/>
        <i/>
        <color rgb="FF000000"/>
        <sz val="12.0"/>
      </rPr>
      <t xml:space="preserve">African Journal of Ecology </t>
    </r>
    <r>
      <rPr>
        <rFont val="Calibri"/>
        <color rgb="FF000000"/>
        <sz val="12.0"/>
      </rPr>
      <t xml:space="preserve">45: 112-15.                                                </t>
    </r>
    <r>
      <rPr>
        <rFont val="Calibri"/>
        <color rgb="FF000000"/>
        <sz val="12.0"/>
      </rPr>
      <t>Danquah, E</t>
    </r>
    <r>
      <rPr>
        <rFont val="Calibri"/>
        <color rgb="FF000000"/>
        <sz val="12.0"/>
      </rPr>
      <t xml:space="preserve">, SK Oppong, and MK Sam, 2007. "Aspects of elephant crop-raiding behaviour in the Kakum Conservation Area, Ghana." </t>
    </r>
    <r>
      <rPr>
        <rFont val="Calibri"/>
        <i/>
        <color rgb="FF000000"/>
        <sz val="12.0"/>
      </rPr>
      <t>Nature &amp; Faune</t>
    </r>
    <r>
      <rPr>
        <rFont val="Calibri"/>
        <color rgb="FF000000"/>
        <sz val="12.0"/>
      </rPr>
      <t xml:space="preserve"> 21 (2): 15-9.</t>
    </r>
  </si>
  <si>
    <t>Gblerkpor</t>
  </si>
  <si>
    <t>William Narteh</t>
  </si>
  <si>
    <t>Archaeology</t>
  </si>
  <si>
    <t>He and I have been working closely together, currently on a AHHI Seed Grant-sponsored exhibition project for the Ghana National Museum</t>
  </si>
  <si>
    <t>wgblerkpor@gmail.com; wngblerkpor@ug.edu.gh</t>
  </si>
  <si>
    <t>233 244 996 682</t>
  </si>
  <si>
    <t>Archaeological Study of Krobo Heritage and Identity</t>
  </si>
  <si>
    <r>
      <rPr>
        <rFont val="Calibri"/>
        <color rgb="FFFF0000"/>
        <sz val="12.0"/>
      </rPr>
      <t>(10)</t>
    </r>
    <r>
      <rPr>
        <rFont val="Calibri"/>
        <color rgb="FF000000"/>
        <sz val="12.0"/>
      </rPr>
      <t xml:space="preserve"> PhD U Texas (Archaeology), May 2017 (per email 7/17/2017) </t>
    </r>
  </si>
  <si>
    <r>
      <rPr>
        <rFont val="Calibri"/>
        <color rgb="FF000000"/>
        <sz val="12.0"/>
      </rPr>
      <t xml:space="preserve">Appointed by Government of Ghana to Expert Committee that will advise on cultural initiatives in the country and research Ghanaian objects held in international collections.  
</t>
    </r>
    <r>
      <rPr>
        <rFont val="Calibri"/>
        <color rgb="FF000000"/>
        <sz val="12.0"/>
      </rPr>
      <t xml:space="preserve">FELLOWSHIPS, GRANTS AND SUPPORTS: </t>
    </r>
    <r>
      <rPr>
        <rFont val="Calibri"/>
        <color rgb="FF000000"/>
        <sz val="12.0"/>
      </rPr>
      <t xml:space="preserve">2018-2020: University of Ghana-Andrew Mellon Grant (Re-Invigorating Humanities Research at the University of Ghana initiative); 2010-2013: Ford International Fellow, Ford Foundation International Fellowships Program
    </t>
    </r>
  </si>
  <si>
    <t xml:space="preserve">Presented at ASC's 10th anniversary symposium in March 2018.  </t>
  </si>
  <si>
    <r>
      <rPr>
        <rFont val="Calibri"/>
        <color rgb="FF000000"/>
        <sz val="12.0"/>
      </rPr>
      <t xml:space="preserve">Gblerkpor, WN. 2011. Material Culture and Ethnic Identity: The Case of the Krobo, Ghana. Lauer, H. et al (eds.). </t>
    </r>
    <r>
      <rPr>
        <rFont val="Calibri"/>
        <i/>
        <color rgb="FF000000"/>
        <sz val="12.0"/>
      </rPr>
      <t>Identity</t>
    </r>
    <r>
      <rPr>
        <rFont val="Calibri"/>
        <color rgb="FF000000"/>
        <sz val="12.0"/>
      </rPr>
      <t xml:space="preserve"> </t>
    </r>
    <r>
      <rPr>
        <rFont val="Calibri"/>
        <i/>
        <color rgb="FF000000"/>
        <sz val="12.0"/>
      </rPr>
      <t>Meets Nationality: Voices from Humanities</t>
    </r>
    <r>
      <rPr>
        <rFont val="Calibri"/>
        <color rgb="FF000000"/>
        <sz val="12.0"/>
      </rPr>
      <t>. Accra, Sub-Saharan Publishers. Pp. 149-174.
Gblerkpor, W.N. Peter R. Schmidt, and Alice B. Kehoe (Eds.): Archaeologies of Listening. Afr Archaeol Rev (2020). https://doi.org/10.1007/s10437-020-09397-4</t>
    </r>
    <r>
      <rPr>
        <rFont val="Calibri"/>
        <color rgb="FF000000"/>
        <sz val="12.0"/>
      </rPr>
      <t xml:space="preserve">
</t>
    </r>
    <r>
      <rPr>
        <rFont val="Calibri"/>
        <color rgb="FF000000"/>
        <sz val="12.0"/>
      </rPr>
      <t>Emmanuel Nyankson, Richard Q. Mensah, Lucky Kumafle, William N. Gblerkpor, Shadrack O. Aboagye, Bernard O. Asimeng &amp; Elvis K. Tiburu. 2020. Dual application of natural clay material for decolorization and adsorption of methylene blue dye, Cogent Chemistry, 6:1, 1788291To link to this article: https://doi.org/10.1080/23312009.2020.1788291
Gblerkpor, W.N. and Kodzo Gavua. “South Sudan,” In Falola, Toyin, and Daniel Jean-Jacques, eds. 2015. Africa: An Encyclopedia of Culture and Society [3 Volumes]: An Encyclopedia of Culture and Society. 1128-1143. ABC-CLIO.
Gblerkpor, W.N. and Nkumbaan. “Archaeology and Socio-political Engagement: The Case of the Krobo Mountain Archaeological Research,” In Anquandah, J., and Wazi Apoh, eds. 2014. Current Perspective on the Archaeology of Ghana. 304-324. Accra, Sub-Saharan Publishers.
Nkumbaan, S.N. and William N. Gblerkpor. “Cultural Resources Management in Ghana,” In Anquandah, J., and Wazi Apoh, eds. 2014. Current Perspective on the Archaeology of Ghana. 304-324. 304-324. Accra, Sub-Saharan Publishers.
Gblerkpor, W.N. “Material Culture and Ethnic Identity: The Case of the Krobo, Ghana”, In Lauer, H. et al eds. 2011. Identity Meets Nationality: Voices from Humanities. 149-174. Accra, Sub-Saharan Publishers.
Gblerkpor, W.N. 2009. Archaeological Indications of Past Lifeways on the Krobo Mountain, Ghana. Ghana Social Science Journal Vol. 5 &amp; 6; Nos. 1 &amp; 2: 152-187.
Gblerkpor, W.N. “Current Archaeological Research at the Krobo Mountain Site, Ghana,” In Insoll, T. ed. Current Archaeological Research in Ghana. Cambridge Monographs in African Archaeology. 74: 71-84
Gblerkpor, W.N. 2006. An Archaeological Investigation of the Krobo Mountain Settlement Site. Nyame Akuma. 65: 18-23</t>
    </r>
  </si>
  <si>
    <r>
      <rPr>
        <rFont val="Calibri"/>
        <color rgb="FF000000"/>
        <sz val="12.0"/>
      </rPr>
      <t>Gblerkpor, WN</t>
    </r>
    <r>
      <rPr>
        <rFont val="Calibri"/>
        <color rgb="FF000000"/>
        <sz val="12.0"/>
      </rPr>
      <t xml:space="preserve"> and Nkumbaan, SN (in press). </t>
    </r>
    <r>
      <rPr>
        <rFont val="Calibri"/>
        <i/>
        <color rgb="FF000000"/>
        <sz val="12.0"/>
      </rPr>
      <t>Archaeology and Socio-political Engagement: The Case of the Krobo Mountain Archaeological Research. Current Perspective on the Archaeology of Ghana</t>
    </r>
    <r>
      <rPr>
        <rFont val="Calibri"/>
        <color rgb="FF000000"/>
        <sz val="12.0"/>
      </rPr>
      <t>. Accra, Sub-Saharan Publishers. pp.304-324.</t>
    </r>
  </si>
  <si>
    <r>
      <rPr>
        <rFont val="Calibri"/>
        <color rgb="FF000000"/>
        <sz val="12.0"/>
      </rPr>
      <t xml:space="preserve">2008. </t>
    </r>
    <r>
      <rPr>
        <rFont val="Calibri"/>
        <color rgb="FF000000"/>
        <sz val="12.0"/>
      </rPr>
      <t xml:space="preserve">Nyama Akuma 65:18-23. Book chapter in Insoll, T. (ed). Current Archaeological Research in Ghana. Cambridge Monographs in African Archaeology; 71-84. </t>
    </r>
    <r>
      <rPr>
        <rFont val="Calibri"/>
        <color rgb="FF000000"/>
        <sz val="12.0"/>
      </rPr>
      <t>2009</t>
    </r>
    <r>
      <rPr>
        <rFont val="Calibri"/>
        <color rgb="FF000000"/>
        <sz val="12.0"/>
      </rPr>
      <t>.</t>
    </r>
    <r>
      <rPr>
        <rFont val="Calibri"/>
        <i/>
        <color rgb="FF000000"/>
        <sz val="12.0"/>
      </rPr>
      <t xml:space="preserve"> Ghana Social Science Journal </t>
    </r>
    <r>
      <rPr>
        <rFont val="Calibri"/>
        <color rgb="FF000000"/>
        <sz val="12.0"/>
      </rPr>
      <t>5-6 (2008-9): 152-87.</t>
    </r>
  </si>
  <si>
    <t>Geegbae</t>
  </si>
  <si>
    <t>Economics</t>
  </si>
  <si>
    <t xml:space="preserve">David Lam </t>
  </si>
  <si>
    <t xml:space="preserve">gageegbae@yahoo.com </t>
  </si>
  <si>
    <t>Government Expenditure Targeting Growth and Poverty Reduction</t>
  </si>
  <si>
    <t>promoted to Dean of College of Business and Public Administration, U Liberia; attended 2013 UM BoP Summit "Creating an Agenda for the Next Decade," collaboration w/Ross School of Business &amp; Davidson Institute (Ted London)</t>
  </si>
  <si>
    <t>no publications</t>
  </si>
  <si>
    <t>Gyakobo</t>
  </si>
  <si>
    <t>Mawuli</t>
  </si>
  <si>
    <t>MSc (KNUST, 2001), Health Services Planning and Management; MBChB (KNUST, 1996)</t>
  </si>
  <si>
    <t>Rachel Snow</t>
  </si>
  <si>
    <t>mawuli_gyakobo@yahoo.com; mawuligyakobo@gmail.com; mawuli.gyakobo@ucc.edu.gh</t>
  </si>
  <si>
    <t>233 20 630 12 62</t>
  </si>
  <si>
    <t>The Role of Family Dynamics, Diet and Lifestyle in the Metabolic Syndrome among Type 2 Diabetics</t>
  </si>
  <si>
    <r>
      <rPr>
        <rFont val="Calibri"/>
        <color rgb="FFFF0000"/>
        <sz val="12.0"/>
      </rPr>
      <t xml:space="preserve">(11) </t>
    </r>
    <r>
      <rPr>
        <rFont val="Calibri"/>
        <color rgb="FF000000"/>
        <sz val="12.0"/>
      </rPr>
      <t>PhD U Ghana, 2009 (Public Health); PhD conferred during UMAPS tenure</t>
    </r>
  </si>
  <si>
    <t xml:space="preserve">Several joint pubs with U-M faculty post-UMAPS, incl Jody Lori and Sarah Rominski. Also: chair of Tetteh Quarshie Memorial Hospital Mgmt Committee and Superintendent Memorial Hospital, Akuapem-Mampong; post-doc fellowship U-M Global Health, 2011; Post-doc fellowship San Diego Institute for Palliative Medicine, 2012; International Pain Policy Fellowship at U Wisconsin-Madison, 2014-15 </t>
  </si>
  <si>
    <r>
      <rPr>
        <rFont val="Calibri"/>
        <color rgb="FF000000"/>
        <sz val="12.0"/>
      </rPr>
      <t xml:space="preserve">Kruk, ME, JC Johnson, </t>
    </r>
    <r>
      <rPr>
        <rFont val="Calibri"/>
        <color rgb="FF000000"/>
        <sz val="12.0"/>
      </rPr>
      <t>M Gyakobo</t>
    </r>
    <r>
      <rPr>
        <rFont val="Calibri"/>
        <color rgb="FF000000"/>
        <sz val="12.0"/>
      </rPr>
      <t xml:space="preserve">, P Agyei-Baffour, K Asabir, SR Kotha, J Kwansah, E Nakua, RC Snow, and M Dzodzomenyo. "Rural Practice Preferences among Medical Students in Ghana: "discrete Choice Experiment." </t>
    </r>
    <r>
      <rPr>
        <rFont val="Calibri"/>
        <i/>
        <color rgb="FF000000"/>
        <sz val="12.0"/>
      </rPr>
      <t>Bulletin of the World Health Organization</t>
    </r>
    <r>
      <rPr>
        <rFont val="Calibri"/>
        <color rgb="FF000000"/>
        <sz val="12.0"/>
      </rPr>
      <t xml:space="preserve"> 88.5 (2010): 333-41. Web. Agyei-Baffour, P, SR Kotha, JC Johnson, </t>
    </r>
    <r>
      <rPr>
        <rFont val="Calibri"/>
        <color rgb="FF000000"/>
        <sz val="12.0"/>
      </rPr>
      <t>M Gyakobo</t>
    </r>
    <r>
      <rPr>
        <rFont val="Calibri"/>
        <color rgb="FF000000"/>
        <sz val="12.0"/>
      </rPr>
      <t xml:space="preserve">, K Asabir, J Kwansah, E Nakua, M Dzodzomenyo, RC Snow, and ME Kruk. "Willingness to Work in Rural Areas and the Role of Intrinsic versus Extrinsic Professional Motivations: a Survey of Medical Students in Ghana." </t>
    </r>
    <r>
      <rPr>
        <rFont val="Calibri"/>
        <i/>
        <color rgb="FF000000"/>
        <sz val="12.0"/>
      </rPr>
      <t>BMC Medical Education</t>
    </r>
    <r>
      <rPr>
        <rFont val="Calibri"/>
        <color rgb="FF000000"/>
        <sz val="12.0"/>
      </rPr>
      <t xml:space="preserve"> 11.1 (2011): n. pag. Web. Johnson, JC, E Nakua, M Dzodzomenyo, P Agyei-Baffour, </t>
    </r>
    <r>
      <rPr>
        <rFont val="Calibri"/>
        <color rgb="FF000000"/>
        <sz val="12.0"/>
      </rPr>
      <t>M Gyakobo</t>
    </r>
    <r>
      <rPr>
        <rFont val="Calibri"/>
        <color rgb="FF000000"/>
        <sz val="12.0"/>
      </rPr>
      <t xml:space="preserve">, K Asabir, J Kwansah, SR Kotha, RC Snow, and ME Kruk. "For Money or Service? A Cross-sectional Survey of Preference for Financial versus Non-financial Rural Practice Characteristics among Ghanaian Medical Students." </t>
    </r>
    <r>
      <rPr>
        <rFont val="Calibri"/>
        <i/>
        <color rgb="FF000000"/>
        <sz val="12.0"/>
      </rPr>
      <t>BMC Health Services Research</t>
    </r>
    <r>
      <rPr>
        <rFont val="Calibri"/>
        <color rgb="FF000000"/>
        <sz val="12.0"/>
      </rPr>
      <t xml:space="preserve"> 11.1 (2011): n. pag. Web. Kwansah, J., M. Dzodzomenyo, M. Mutumba, K. Asabir, E. Koomson, </t>
    </r>
    <r>
      <rPr>
        <rFont val="Calibri"/>
        <color rgb="FF000000"/>
        <sz val="12.0"/>
      </rPr>
      <t>M. Gyakobo</t>
    </r>
    <r>
      <rPr>
        <rFont val="Calibri"/>
        <color rgb="FF000000"/>
        <sz val="12.0"/>
      </rPr>
      <t xml:space="preserve">, P. Agyei-Baffour, M. E. Kruk, and R. C. Snow. "Policy Talk: Incentives for Rural Service among Nurses in Ghana." </t>
    </r>
    <r>
      <rPr>
        <rFont val="Calibri"/>
        <i/>
        <color rgb="FF000000"/>
        <sz val="12.0"/>
      </rPr>
      <t xml:space="preserve">Health Policy and Planning </t>
    </r>
    <r>
      <rPr>
        <rFont val="Calibri"/>
        <color rgb="FF000000"/>
        <sz val="12.0"/>
      </rPr>
      <t>27.8 (2012): 669-76. Web.</t>
    </r>
  </si>
  <si>
    <r>
      <rPr>
        <rFont val="Calibri"/>
        <color rgb="FF000000"/>
        <sz val="12.0"/>
      </rPr>
      <t xml:space="preserve">Lori, JR, S Rominski, J Richardson, P Agyei-Baffour, NE Kweku, and </t>
    </r>
    <r>
      <rPr>
        <rFont val="Calibri"/>
        <color rgb="FF000000"/>
        <sz val="12.0"/>
      </rPr>
      <t>M Gyakobo</t>
    </r>
    <r>
      <rPr>
        <rFont val="Calibri"/>
        <color rgb="FF000000"/>
        <sz val="12.0"/>
      </rPr>
      <t xml:space="preserve">. "Factors Influencing Ghanaian Midwifery Students'_x0080__x0099_ Willingness to Work in Rural Areas: A Computerized Survey." </t>
    </r>
    <r>
      <rPr>
        <rFont val="Calibri"/>
        <i/>
        <color rgb="FF000000"/>
        <sz val="12.0"/>
      </rPr>
      <t>International Journal of Nursing Studies</t>
    </r>
    <r>
      <rPr>
        <rFont val="Calibri"/>
        <color rgb="FF000000"/>
        <sz val="12.0"/>
      </rPr>
      <t xml:space="preserve"> 49.7 (2012): 834-41. Web. Kotha, SR, JC Johnson, S Galea, P Agyei-Baffour, EK Nakua, K Asabir, J Kwansah, </t>
    </r>
    <r>
      <rPr>
        <rFont val="Calibri"/>
        <color rgb="FF000000"/>
        <sz val="12.0"/>
      </rPr>
      <t>M Gyakobo</t>
    </r>
    <r>
      <rPr>
        <rFont val="Calibri"/>
        <color rgb="FF000000"/>
        <sz val="12.0"/>
      </rPr>
      <t xml:space="preserve">, M Dzodzomenyo, and ME Kruk. "Lifecourse Factors and Likelihood of Rural Practice and Emigration: A Survey of Ghanaian Medical Students." </t>
    </r>
    <r>
      <rPr>
        <rFont val="Calibri"/>
        <i/>
        <color rgb="FF000000"/>
        <sz val="12.0"/>
      </rPr>
      <t xml:space="preserve">Rural and Remote Health </t>
    </r>
    <r>
      <rPr>
        <rFont val="Calibri"/>
        <color rgb="FF000000"/>
        <sz val="12.0"/>
      </rPr>
      <t xml:space="preserve">12.3 (2012): 18-98. Web. Lori, JR, SD Rominski, </t>
    </r>
    <r>
      <rPr>
        <rFont val="Calibri"/>
        <color rgb="FF000000"/>
        <sz val="12.0"/>
      </rPr>
      <t>M Gyakobo</t>
    </r>
    <r>
      <rPr>
        <rFont val="Calibri"/>
        <color rgb="FF000000"/>
        <sz val="12.0"/>
      </rPr>
      <t xml:space="preserve">, EW Muriu, NE Kweku, and P Agyei-Baffour. "Perceived Barriers and Motivating Factors Influencing Student Midwives' Acceptance of Rural Postings in Ghana." </t>
    </r>
    <r>
      <rPr>
        <rFont val="Calibri"/>
        <i/>
        <color rgb="FF000000"/>
        <sz val="12.0"/>
      </rPr>
      <t xml:space="preserve">Human Resources for Health </t>
    </r>
    <r>
      <rPr>
        <rFont val="Calibri"/>
        <color rgb="FF000000"/>
        <sz val="12.0"/>
      </rPr>
      <t xml:space="preserve">10.1 (2012): n. pag. Web. </t>
    </r>
    <r>
      <rPr>
        <rFont val="Calibri"/>
        <color rgb="FF000000"/>
        <sz val="12.0"/>
      </rPr>
      <t>Gyakobo, M</t>
    </r>
    <r>
      <rPr>
        <rFont val="Calibri"/>
        <color rgb="FF000000"/>
        <sz val="12.0"/>
      </rPr>
      <t xml:space="preserve">, AG Amoah, D Martey-Marbell, and RC Snow. "Prevalence of the Metabolic Syndrome in a Rural Population in Ghana." </t>
    </r>
    <r>
      <rPr>
        <rFont val="Calibri"/>
        <i/>
        <color rgb="FF000000"/>
        <sz val="12.0"/>
      </rPr>
      <t>BMC Endocrine Disorders</t>
    </r>
    <r>
      <rPr>
        <rFont val="Calibri"/>
        <color rgb="FF000000"/>
        <sz val="12.0"/>
      </rPr>
      <t xml:space="preserve"> 12.1 (2012): n. pag. Web. Ageyi-Baffour, P, S Rominski, E Nakua, </t>
    </r>
    <r>
      <rPr>
        <rFont val="Calibri"/>
        <color rgb="FF000000"/>
        <sz val="12.0"/>
      </rPr>
      <t>M Gyakobo</t>
    </r>
    <r>
      <rPr>
        <rFont val="Calibri"/>
        <color rgb="FF000000"/>
        <sz val="12.0"/>
      </rPr>
      <t xml:space="preserve">, and JR Lori. "Factors That Influence Midwifery Students in Ghana When Deciding Where to Practice: A Discrete Choice Experiment." </t>
    </r>
    <r>
      <rPr>
        <rFont val="Calibri"/>
        <i/>
        <color rgb="FF000000"/>
        <sz val="12.0"/>
      </rPr>
      <t>BMC Medical Education</t>
    </r>
    <r>
      <rPr>
        <rFont val="Calibri"/>
        <color rgb="FF000000"/>
        <sz val="12.0"/>
      </rPr>
      <t xml:space="preserve"> 13.1 (2013): n. pag. Web.</t>
    </r>
  </si>
  <si>
    <t>no academic publications (except unpublished Master-level thesis)</t>
  </si>
  <si>
    <t>Harris</t>
  </si>
  <si>
    <t>Albert</t>
  </si>
  <si>
    <t>Epidemiology</t>
  </si>
  <si>
    <t>harrisao@ul.edu.lr</t>
  </si>
  <si>
    <t>Evaluation of Youth Sexual Risk Behavior in an Urban HIV/STD Prevention Program</t>
  </si>
  <si>
    <r>
      <rPr>
        <rFont val="Calibri"/>
        <color rgb="FF000000"/>
        <sz val="12.0"/>
      </rPr>
      <t xml:space="preserve">Kennedy, SB, KA Atwood, </t>
    </r>
    <r>
      <rPr>
        <rFont val="Calibri"/>
        <color rgb="FF000000"/>
        <sz val="12.0"/>
      </rPr>
      <t>AO Harris</t>
    </r>
    <r>
      <rPr>
        <rFont val="Calibri"/>
        <color rgb="FF000000"/>
        <sz val="12.0"/>
      </rPr>
      <t xml:space="preserve">, CH Taylor, ME Gobeh, M Quaqua, DV Woods, EM Bee and M Warlonfa (2012) "HIV/STD risk behaviors among in-school adolescents in post-conflict Liberia" </t>
    </r>
    <r>
      <rPr>
        <rFont val="Calibri"/>
        <i/>
        <color rgb="FF000000"/>
        <sz val="12.0"/>
      </rPr>
      <t xml:space="preserve">J Assoc Nurses AIDS Care </t>
    </r>
    <r>
      <rPr>
        <rFont val="Calibri"/>
        <color rgb="FF000000"/>
        <sz val="12.0"/>
      </rPr>
      <t>23(4):350-60.</t>
    </r>
  </si>
  <si>
    <t>Kwaansa-Ansah</t>
  </si>
  <si>
    <t>Edward Ebow</t>
  </si>
  <si>
    <t>Chemistry</t>
  </si>
  <si>
    <t>Jerome Nriagu</t>
  </si>
  <si>
    <t>eekwaansaansah@yahoo.com</t>
  </si>
  <si>
    <t>Chemistry 026 229 182 or 024 429 8182</t>
  </si>
  <si>
    <t>Distribution, Mobility and Speciation of Mercury in the Volta Lake</t>
  </si>
  <si>
    <r>
      <rPr>
        <rFont val="Calibri"/>
        <color rgb="FFFF0000"/>
        <sz val="12.0"/>
      </rPr>
      <t xml:space="preserve">(12) </t>
    </r>
    <r>
      <rPr>
        <rFont val="Calibri"/>
        <color rgb="FF000000"/>
        <sz val="12.0"/>
      </rPr>
      <t>PhD KNUST, 2015</t>
    </r>
  </si>
  <si>
    <r>
      <rPr>
        <rFont val="Calibri"/>
        <color rgb="FF000000"/>
        <sz val="12.0"/>
      </rPr>
      <t>Kwaansa-Ansah, E. E.</t>
    </r>
    <r>
      <rPr>
        <rFont val="Calibri"/>
        <color rgb="FF000000"/>
        <sz val="12.0"/>
      </rPr>
      <t>, N. Basu, and J. O. Nriagu. "Environmental and Occupational Exposures to Mercury Among Indigenous People in Dunkwa-On-Offin, a Small Scale Gold Mining Area in The South-West of Ghana." </t>
    </r>
    <r>
      <rPr>
        <rFont val="Calibri"/>
        <i/>
        <color rgb="FF000000"/>
        <sz val="12.0"/>
      </rPr>
      <t>Bulletin of Environmental Contamination and Toxicology</t>
    </r>
    <r>
      <rPr>
        <rFont val="Calibri"/>
        <color rgb="FF000000"/>
        <sz val="12.0"/>
      </rPr>
      <t xml:space="preserve"> 85.5 (2010): 476-80. Web; </t>
    </r>
    <r>
      <rPr>
        <rFont val="Calibri"/>
        <color rgb="FF000000"/>
        <sz val="12.0"/>
      </rPr>
      <t>Kwaansa-Ansah, E. E</t>
    </r>
    <r>
      <rPr>
        <rFont val="Calibri"/>
        <color rgb="FF000000"/>
        <sz val="12.0"/>
      </rPr>
      <t xml:space="preserve">., S. E. Agorku, and J. O. Nriagu. "Levels of Total Mercury in Different Fish Species and Sediments from the Upper Volta Basin at Yeji in Ghana." </t>
    </r>
    <r>
      <rPr>
        <rFont val="Calibri"/>
        <i/>
        <color rgb="FF000000"/>
        <sz val="12.0"/>
      </rPr>
      <t>Bulletin of Environmental Contamination and Toxicology</t>
    </r>
    <r>
      <rPr>
        <rFont val="Calibri"/>
        <color rgb="FF000000"/>
        <sz val="12.0"/>
      </rPr>
      <t xml:space="preserve"> 86.4 (2011): 406-09. Web.</t>
    </r>
  </si>
  <si>
    <r>
      <rPr>
        <rFont val="Calibri"/>
        <color rgb="FF000000"/>
        <sz val="12.0"/>
      </rPr>
      <t>Kwaansa-Ansah, E. E.</t>
    </r>
    <r>
      <rPr>
        <rFont val="Calibri"/>
        <color rgb="FF000000"/>
        <sz val="12.0"/>
      </rPr>
      <t xml:space="preserve">, R. B. Voegborlo, A. A. Adimado, J. H. Ephraim, and J. O. Nriagu. "Effect of PH, Sulphate Concentration and Total Organic Carbon on Mercury Accumulation in Sediments in the Volta Lake at Yeji, Ghana." </t>
    </r>
    <r>
      <rPr>
        <rFont val="Calibri"/>
        <i/>
        <color rgb="FF000000"/>
        <sz val="12.0"/>
      </rPr>
      <t>Bulletin of Environmental Contamination and Toxicology</t>
    </r>
    <r>
      <rPr>
        <rFont val="Calibri"/>
        <color rgb="FF000000"/>
        <sz val="12.0"/>
      </rPr>
      <t xml:space="preserve"> 88.3 (2012): 418-21. Web.</t>
    </r>
  </si>
  <si>
    <t>Mends-Cole</t>
  </si>
  <si>
    <t>Morlee</t>
  </si>
  <si>
    <t>Entomology</t>
  </si>
  <si>
    <t>John Vandermeer</t>
  </si>
  <si>
    <t>colemm@ul.edu.lr</t>
  </si>
  <si>
    <t>Insect Pest Management Research</t>
  </si>
  <si>
    <t>Mphil at KNUST (2015, Seed Science and Technology) was sponsored through Alliance for a Green Revolution in Africa (AGRA) M.Sc. Scholarship Program</t>
  </si>
  <si>
    <r>
      <rPr>
        <rFont val="Calibri"/>
        <i/>
        <color rgb="FF000000"/>
        <sz val="12.0"/>
      </rPr>
      <t>J. Kan. ENTOM. SOC.</t>
    </r>
    <r>
      <rPr>
        <rFont val="Calibri"/>
        <i val="0"/>
        <color rgb="FF000000"/>
        <sz val="12.0"/>
      </rPr>
      <t xml:space="preserve"> 64(2): n.p.</t>
    </r>
  </si>
  <si>
    <t>20</t>
  </si>
  <si>
    <t>Nyante</t>
  </si>
  <si>
    <t>Gifty Gyamah</t>
  </si>
  <si>
    <t>Nursing, Rehab</t>
  </si>
  <si>
    <t>Andrew Haig</t>
  </si>
  <si>
    <t>ggnyante@chs.edu.gh</t>
  </si>
  <si>
    <t>0243 302262/ 233243302262</t>
  </si>
  <si>
    <t>Economic Cost of Rehabilitation Services among Stroke Patients</t>
  </si>
  <si>
    <r>
      <rPr>
        <rFont val="Calibri"/>
        <color rgb="FFFF0000"/>
        <sz val="12.0"/>
      </rPr>
      <t>(13)</t>
    </r>
    <r>
      <rPr>
        <rFont val="Calibri"/>
        <color rgb="FF000000"/>
        <sz val="12.0"/>
      </rPr>
      <t xml:space="preserve"> PhD Nov 2016 (Coventry U, UK) </t>
    </r>
    <r>
      <rPr>
        <rFont val="Calibri"/>
        <color rgb="FF000000"/>
        <sz val="12.0"/>
      </rPr>
      <t>confirmed on 7/12/2017</t>
    </r>
  </si>
  <si>
    <r>
      <rPr>
        <rFont val="Calibri"/>
        <color rgb="FF000000"/>
        <sz val="12.0"/>
      </rPr>
      <t>Amosun, SL, </t>
    </r>
    <r>
      <rPr>
        <rFont val="Calibri"/>
        <color rgb="FF000000"/>
        <sz val="12.0"/>
      </rPr>
      <t>Nyante, GG</t>
    </r>
    <r>
      <rPr>
        <rFont val="Calibri"/>
        <color rgb="FF000000"/>
        <sz val="12.0"/>
      </rPr>
      <t xml:space="preserve">, &amp; Wiredu, EK (2013) "Perceived and experienced restrictions in participation and autonomy among adult survivors of stroke in Ghana" </t>
    </r>
    <r>
      <rPr>
        <rFont val="Calibri"/>
        <i/>
        <color rgb="FF000000"/>
        <sz val="12.0"/>
      </rPr>
      <t>African health sciences</t>
    </r>
    <r>
      <rPr>
        <rFont val="Calibri"/>
        <color rgb="FF000000"/>
        <sz val="12.0"/>
      </rPr>
      <t xml:space="preserve"> 13(1):24-31; </t>
    </r>
  </si>
  <si>
    <r>
      <rPr>
        <rFont val="Calibri"/>
        <color rgb="FF000000"/>
        <sz val="12.0"/>
      </rPr>
      <t>Kelemen, BW, Haig, AJ, Goodnight, S, &amp; </t>
    </r>
    <r>
      <rPr>
        <rFont val="Calibri"/>
        <color rgb="FF000000"/>
        <sz val="12.0"/>
      </rPr>
      <t>Nyante, GG </t>
    </r>
    <r>
      <rPr>
        <rFont val="Calibri"/>
        <color rgb="FF000000"/>
        <sz val="12.0"/>
      </rPr>
      <t xml:space="preserve">(2013) "The nature and prevalence of disability in a Ghanaian community as measured by the language independent functional evaluation" </t>
    </r>
    <r>
      <rPr>
        <rFont val="Calibri"/>
        <i/>
        <color rgb="FF000000"/>
        <sz val="12.0"/>
      </rPr>
      <t>Pan African</t>
    </r>
    <r>
      <rPr>
        <rFont val="Calibri"/>
        <color rgb="FF000000"/>
        <sz val="12.0"/>
      </rPr>
      <t xml:space="preserve"> </t>
    </r>
    <r>
      <rPr>
        <rFont val="Calibri"/>
        <i/>
        <color rgb="FF000000"/>
        <sz val="12.0"/>
      </rPr>
      <t xml:space="preserve">Medical Journal </t>
    </r>
    <r>
      <rPr>
        <rFont val="Calibri"/>
        <color rgb="FF000000"/>
        <sz val="12.0"/>
      </rPr>
      <t>14(1).</t>
    </r>
  </si>
  <si>
    <t>21</t>
  </si>
  <si>
    <t>Osei-Fosu</t>
  </si>
  <si>
    <t>Anthony</t>
  </si>
  <si>
    <t>David Lam</t>
  </si>
  <si>
    <t>ofaking1@gmail.com</t>
  </si>
  <si>
    <t>Economics 024 480 1450</t>
  </si>
  <si>
    <t>Utilisation of the HIPC Relief Fund for Poverty Reduction in Ghana</t>
  </si>
  <si>
    <r>
      <rPr>
        <rFont val="Calibri"/>
        <color rgb="FFFF0000"/>
        <sz val="12.0"/>
      </rPr>
      <t>(14)</t>
    </r>
    <r>
      <rPr>
        <rFont val="Calibri"/>
        <color rgb="FF000000"/>
        <sz val="12.0"/>
      </rPr>
      <t xml:space="preserve"> PhD KNUST, 2011</t>
    </r>
  </si>
  <si>
    <r>
      <rPr>
        <rFont val="Calibri"/>
        <color rgb="FF000000"/>
        <sz val="12.0"/>
      </rPr>
      <t>Osei-Fosu, A. K</t>
    </r>
    <r>
      <rPr>
        <rFont val="Calibri"/>
        <color rgb="FF000000"/>
        <sz val="12.0"/>
      </rPr>
      <t>., B Insah and Ofori-Boateng, K. (2015). Real Exchange Rate Volatility and Foreign Direct Investment Inflows: The Ghanaian Experience,</t>
    </r>
    <r>
      <rPr>
        <rFont val="Calibri"/>
        <i/>
        <color rgb="FF000000"/>
        <sz val="12.0"/>
      </rPr>
      <t xml:space="preserve"> International Journal of Empirical Finance</t>
    </r>
    <r>
      <rPr>
        <rFont val="Calibri"/>
        <color rgb="FF000000"/>
        <sz val="12.0"/>
      </rPr>
      <t xml:space="preserve">, 4(6): 336-344. </t>
    </r>
    <r>
      <rPr>
        <rFont val="Calibri"/>
        <color rgb="FF000000"/>
        <sz val="12.0"/>
      </rPr>
      <t>Osei-Fosu, AK.</t>
    </r>
    <r>
      <rPr>
        <rFont val="Calibri"/>
        <color rgb="FF000000"/>
        <sz val="12.0"/>
      </rPr>
      <t xml:space="preserve">, Butu, M. M. and Osei-Fosu, A. K. (2014), Does Ghanaian’s Consumption Function Follow the Permanent Income Hypothesis? The Cagan’s Adaptive Expectation Approach, </t>
    </r>
    <r>
      <rPr>
        <rFont val="Calibri"/>
        <i/>
        <color rgb="FF000000"/>
        <sz val="12.0"/>
      </rPr>
      <t>ADRRI Journal</t>
    </r>
    <r>
      <rPr>
        <rFont val="Calibri"/>
        <color rgb="FF000000"/>
        <sz val="12.0"/>
      </rPr>
      <t xml:space="preserve">, Vol (4)4: 133-148. </t>
    </r>
    <r>
      <rPr>
        <rFont val="Calibri"/>
        <color rgb="FF000000"/>
        <sz val="12.0"/>
      </rPr>
      <t>Osei-Fosu, A. K.</t>
    </r>
    <r>
      <rPr>
        <rFont val="Calibri"/>
        <color rgb="FF000000"/>
        <sz val="12.0"/>
      </rPr>
      <t xml:space="preserve">, Osei, B. and Osei Mensah, I. (2014), The Effect of Interest Rate on Deposit on Household Consumption in Ghana: ARDL Cointegration Analysis, </t>
    </r>
    <r>
      <rPr>
        <rFont val="Calibri"/>
        <i/>
        <color rgb="FF000000"/>
        <sz val="12.0"/>
      </rPr>
      <t xml:space="preserve">Journal of Economics </t>
    </r>
    <r>
      <rPr>
        <rFont val="Calibri"/>
        <color rgb="FF000000"/>
        <sz val="12.0"/>
      </rPr>
      <t xml:space="preserve">Vol. (2) 8: 1-18. </t>
    </r>
    <r>
      <rPr>
        <rFont val="Calibri"/>
        <color rgb="FF000000"/>
        <sz val="12.0"/>
      </rPr>
      <t>Osei-Fosu, A. K</t>
    </r>
    <r>
      <rPr>
        <rFont val="Calibri"/>
        <color rgb="FF000000"/>
        <sz val="12.0"/>
      </rPr>
      <t xml:space="preserve">., and Boachie, M. K. (2013), Determinants of People’s Participation in Microfinance Services in Ghana: Evidence from Kwabre East District, </t>
    </r>
    <r>
      <rPr>
        <rFont val="Calibri"/>
        <i/>
        <color rgb="FF000000"/>
        <sz val="12.0"/>
      </rPr>
      <t>International Journal of Innovative Research and Studies</t>
    </r>
    <r>
      <rPr>
        <rFont val="Calibri"/>
        <color rgb="FF000000"/>
        <sz val="12.0"/>
      </rPr>
      <t>, Vol (2)8: 364-380.</t>
    </r>
  </si>
  <si>
    <r>
      <rPr>
        <rFont val="Calibri"/>
        <color rgb="FF000000"/>
        <sz val="12.0"/>
      </rPr>
      <t>Osei-Fosu, AK</t>
    </r>
    <r>
      <rPr>
        <rFont val="Calibri"/>
        <color rgb="FF000000"/>
        <sz val="12.0"/>
      </rPr>
      <t>., and Osei-Fosu, A. K. (2013), Empirical Investigation of the Nexus between Stock Price and Exchange Rates in Ghana,</t>
    </r>
    <r>
      <rPr>
        <rFont val="Calibri"/>
        <i/>
        <color rgb="FF000000"/>
        <sz val="12.0"/>
      </rPr>
      <t xml:space="preserve"> Ghanaian Journal of Economics</t>
    </r>
    <r>
      <rPr>
        <rFont val="Calibri"/>
        <color rgb="FF000000"/>
        <sz val="12.0"/>
      </rPr>
      <t xml:space="preserve">, Vol (1): 82-91.                                       </t>
    </r>
    <r>
      <rPr>
        <rFont val="Calibri"/>
        <color rgb="FF000000"/>
        <sz val="12.0"/>
      </rPr>
      <t>Osei-Fosu, AK</t>
    </r>
    <r>
      <rPr>
        <rFont val="Calibri"/>
        <color rgb="FF000000"/>
        <sz val="12.0"/>
      </rPr>
      <t xml:space="preserve">, Osei-Fosu, A. K. and Boachie, MK. (2013), Comparative Analysis of Efficiency in Saving Mobilization, Credit Disbursement and Credit Retrieval of Rural Banks and Credit Unions in Ashanti Region: A Case Study of Sekyere Rural Bank Limited and St Peter’s Credit Union, </t>
    </r>
    <r>
      <rPr>
        <rFont val="Calibri"/>
        <i/>
        <color rgb="FF000000"/>
        <sz val="12.0"/>
      </rPr>
      <t>ADRRI Journal</t>
    </r>
    <r>
      <rPr>
        <rFont val="Calibri"/>
        <color rgb="FF000000"/>
        <sz val="12.0"/>
      </rPr>
      <t xml:space="preserve">, Vol (2)2: 1-19;                                                                                                                                                                     </t>
    </r>
    <r>
      <rPr>
        <rFont val="Calibri"/>
        <color rgb="FF000000"/>
        <sz val="12.0"/>
      </rPr>
      <t>Osei-Fosu, AK</t>
    </r>
    <r>
      <rPr>
        <rFont val="Calibri"/>
        <color rgb="FF000000"/>
        <sz val="12.0"/>
      </rPr>
      <t xml:space="preserve">. and Osei-Fosu, A. K. (2013), Empirical Investigation of the Nexus between Foreign Direct Investment and Economic Growth in Sub-Saharan Africa, </t>
    </r>
    <r>
      <rPr>
        <rFont val="Calibri"/>
        <i/>
        <color rgb="FF000000"/>
        <sz val="12.0"/>
      </rPr>
      <t>ADRRI Journal of Social Sciences</t>
    </r>
    <r>
      <rPr>
        <rFont val="Calibri"/>
        <color rgb="FF000000"/>
        <sz val="12.0"/>
      </rPr>
      <t xml:space="preserve">, Vol. 3(3): 1-20.                                                                                                                                                                                                                                                                                                                                                              </t>
    </r>
    <r>
      <rPr>
        <rFont val="Calibri"/>
        <color rgb="FF000000"/>
        <sz val="12.0"/>
      </rPr>
      <t>Osei-Fosu, AK.</t>
    </r>
    <r>
      <rPr>
        <rFont val="Calibri"/>
        <color rgb="FF000000"/>
        <sz val="12.0"/>
      </rPr>
      <t xml:space="preserve"> (2011), Evaluating the Impact of the Capitation Grant and the School Feeding Programme on Enrolment, Attendance and Retention in Schools: The Case of Weweso Circuit, </t>
    </r>
    <r>
      <rPr>
        <rFont val="Calibri"/>
        <i/>
        <color rgb="FF000000"/>
        <sz val="12.0"/>
      </rPr>
      <t>Journal of Science and Technology</t>
    </r>
    <r>
      <rPr>
        <rFont val="Calibri"/>
        <color rgb="FF000000"/>
        <sz val="12.0"/>
      </rPr>
      <t>, Vol 31, No.?</t>
    </r>
  </si>
  <si>
    <r>
      <rPr>
        <rFont val="Calibri"/>
        <color rgb="FF000000"/>
        <sz val="12.0"/>
      </rPr>
      <t>2008</t>
    </r>
    <r>
      <rPr>
        <rFont val="Calibri"/>
        <color rgb="FF000000"/>
        <sz val="12.0"/>
      </rPr>
      <t xml:space="preserve">. </t>
    </r>
    <r>
      <rPr>
        <rFont val="Calibri"/>
        <i/>
        <color rgb="FF000000"/>
        <sz val="12.0"/>
      </rPr>
      <t>Journal of Science and Technology</t>
    </r>
    <r>
      <rPr>
        <rFont val="Calibri"/>
        <color rgb="FF000000"/>
        <sz val="12.0"/>
      </rPr>
      <t xml:space="preserve"> (JUST) 28(3): n.p.</t>
    </r>
  </si>
  <si>
    <t>22</t>
  </si>
  <si>
    <t>Ramde</t>
  </si>
  <si>
    <t>Elijah Kannatey-Asibu</t>
  </si>
  <si>
    <t>eramde@yahoo.fr</t>
  </si>
  <si>
    <t>00233 244 757193</t>
  </si>
  <si>
    <t>Techinal and economic modeling of concentrating solar power plants in the Sahel</t>
  </si>
  <si>
    <r>
      <rPr>
        <rFont val="Calibri"/>
        <color rgb="FFFF0000"/>
        <sz val="12.0"/>
      </rPr>
      <t>(15)</t>
    </r>
    <r>
      <rPr>
        <rFont val="Calibri"/>
        <color rgb="FF000000"/>
        <sz val="12.0"/>
      </rPr>
      <t xml:space="preserve"> PhD KNUST/ Ouagadougou, 2013</t>
    </r>
  </si>
  <si>
    <r>
      <rPr>
        <rFont val="Calibri"/>
        <color rgb="FF000000"/>
        <sz val="12.0"/>
      </rPr>
      <t xml:space="preserve">Natsoukpoe, KE, KY Azoumah, </t>
    </r>
    <r>
      <rPr>
        <rFont val="Calibri"/>
        <color rgb="FF000000"/>
        <sz val="12.0"/>
      </rPr>
      <t>EW Ramde</t>
    </r>
    <r>
      <rPr>
        <rFont val="Calibri"/>
        <color rgb="FF000000"/>
        <sz val="12.0"/>
      </rPr>
      <t xml:space="preserve">, YAK Fiagbe, P Neveu, X Py, M Gaye, and A Jourdan. "Integrated Design and Construction of a Micro-central Tower Power Plant." </t>
    </r>
    <r>
      <rPr>
        <rFont val="Calibri"/>
        <i/>
        <color rgb="FF000000"/>
        <sz val="12.0"/>
      </rPr>
      <t>Energy for Sustainable Development</t>
    </r>
    <r>
      <rPr>
        <rFont val="Calibri"/>
        <color rgb="FF000000"/>
        <sz val="12.0"/>
      </rPr>
      <t xml:space="preserve"> 31 (2016): 1-13. Web; </t>
    </r>
    <r>
      <rPr>
        <rFont val="Calibri"/>
        <color rgb="FF000000"/>
        <sz val="12.0"/>
      </rPr>
      <t>Ramde, EW</t>
    </r>
    <r>
      <rPr>
        <rFont val="Calibri"/>
        <color rgb="FF000000"/>
        <sz val="12.0"/>
      </rPr>
      <t xml:space="preserve">, P Nussbaumer, and M Bazilian. "Measuring and Reporting on Energy Poverty: Insights from West African Countries." </t>
    </r>
    <r>
      <rPr>
        <rFont val="Calibri"/>
        <i/>
        <color rgb="FF000000"/>
        <sz val="12.0"/>
      </rPr>
      <t>African Journal of Science, Technology, Innovation and Development</t>
    </r>
    <r>
      <rPr>
        <rFont val="Calibri"/>
        <color rgb="FF000000"/>
        <sz val="12.0"/>
      </rPr>
      <t xml:space="preserve"> 7.6 (2015): 509-17. Web.</t>
    </r>
  </si>
  <si>
    <r>
      <rPr>
        <rFont val="Calibri"/>
        <color rgb="FF000000"/>
        <sz val="12.0"/>
      </rPr>
      <t xml:space="preserve">Miller, VB, </t>
    </r>
    <r>
      <rPr>
        <rFont val="Calibri"/>
        <color rgb="FF000000"/>
        <sz val="12.0"/>
      </rPr>
      <t>Emmanuel W. Ramde</t>
    </r>
    <r>
      <rPr>
        <rFont val="Calibri"/>
        <color rgb="FF000000"/>
        <sz val="12.0"/>
      </rPr>
      <t xml:space="preserve">, RT Gradoville, and LA Schaefer. "Hydrokinetic Power for Energy Access in Rural Ghana." </t>
    </r>
    <r>
      <rPr>
        <rFont val="Calibri"/>
        <i/>
        <color rgb="FF000000"/>
        <sz val="12.0"/>
      </rPr>
      <t>Renewable Energy</t>
    </r>
    <r>
      <rPr>
        <rFont val="Calibri"/>
        <color rgb="FF000000"/>
        <sz val="12.0"/>
      </rPr>
      <t xml:space="preserve"> 36.2 (2011): 671-75. Web.                                                          </t>
    </r>
    <r>
      <rPr>
        <rFont val="Calibri"/>
        <color rgb="FF000000"/>
        <sz val="12.0"/>
      </rPr>
      <t>Ramde, EW</t>
    </r>
    <r>
      <rPr>
        <rFont val="Calibri"/>
        <color rgb="FF000000"/>
        <sz val="12.0"/>
      </rPr>
      <t xml:space="preserve">, Y Azoumah, A Rungundu, and G Tapsoba. "Solar Thermal Power Plants in West Africa: Site Selection and Potential Assessment." </t>
    </r>
    <r>
      <rPr>
        <rFont val="Calibri"/>
        <i/>
        <color rgb="FF000000"/>
        <sz val="12.0"/>
      </rPr>
      <t xml:space="preserve">Proceedings of the ISES Solar World Congress 2011 </t>
    </r>
    <r>
      <rPr>
        <rFont val="Calibri"/>
        <color rgb="FF000000"/>
        <sz val="12.0"/>
      </rPr>
      <t>(2011): n. pag. Web</t>
    </r>
  </si>
  <si>
    <r>
      <rPr>
        <rFont val="Calibri"/>
        <color rgb="FF000000"/>
        <sz val="12.0"/>
      </rPr>
      <t>2007</t>
    </r>
    <r>
      <rPr>
        <rFont val="Calibri"/>
        <color rgb="FF000000"/>
        <sz val="12.0"/>
      </rPr>
      <t>.</t>
    </r>
    <r>
      <rPr>
        <rFont val="Calibri"/>
        <i/>
        <color rgb="FF000000"/>
        <sz val="12.0"/>
      </rPr>
      <t xml:space="preserve"> Journal of Engineering and Technology</t>
    </r>
    <r>
      <rPr>
        <rFont val="Calibri"/>
        <color rgb="FF000000"/>
        <sz val="12.0"/>
      </rPr>
      <t xml:space="preserve"> 1:1-9. </t>
    </r>
  </si>
  <si>
    <t>23</t>
  </si>
  <si>
    <t>Madell</t>
  </si>
  <si>
    <t>Cecil Victor</t>
  </si>
  <si>
    <t>UCT</t>
  </si>
  <si>
    <t>2009-2010/ 2010-2011</t>
  </si>
  <si>
    <t>Urban Planning</t>
  </si>
  <si>
    <t>June Thomas</t>
  </si>
  <si>
    <t>not remained in touch; NO to all other Qs also</t>
  </si>
  <si>
    <t>madellc@cput.ac.za; cecil@mcaplan.co.za</t>
  </si>
  <si>
    <t>27 21 440 2253 | 27 021 674 0424</t>
  </si>
  <si>
    <t>Development and Poverty Reduction within a Sustainable Livelihoods Framework</t>
  </si>
  <si>
    <r>
      <rPr>
        <rFont val="Calibri"/>
        <color rgb="FFFF0000"/>
        <sz val="12.0"/>
      </rPr>
      <t>(16)</t>
    </r>
    <r>
      <rPr>
        <rFont val="Calibri"/>
        <color rgb="FF000000"/>
        <sz val="12.0"/>
      </rPr>
      <t xml:space="preserve"> PhD UCT, 2012</t>
    </r>
  </si>
  <si>
    <t>Student connection: Jennifer Williams got her PhD from U-M in 2017, w/diss re: Understanding Low-Income Residents' Sense of Community in Post-Apartheid Housing Developments in South Africa.--thanking Cecil Madell and Nigel Tapela for hosting her at CPUT; her committee at U-M was Martin Murray, Anne Pitcher, June Manning Thomas, all of whom knew Maddell and Tapela thru UMAPS. Other updates: appointed as Lecturer, Department of Town and Regional Planning at Cape Peninsula University of Technology (rec'd 3/8/13); now Senior Lecturer, and part of U-M's Diversity Scholars Network (HF, Feb 2020, U-M NCID webiste)</t>
  </si>
  <si>
    <t xml:space="preserve">Book: Madell, C: Local economic development, business stimulation Paperback – June 24, 2016 </t>
  </si>
  <si>
    <t>no publications under "papers and publications": only papers as far as I can tell (3 for SAPI Planning Africa conference, 2002, 2006, and 2008, 1 for SANPAD conference, 2007)</t>
  </si>
  <si>
    <t>24</t>
  </si>
  <si>
    <t>Botha (return visit)</t>
  </si>
  <si>
    <t>Elizabeth Mathagka</t>
  </si>
  <si>
    <t>WITS</t>
  </si>
  <si>
    <t>2009-2010/ 2011-2012</t>
  </si>
  <si>
    <t>Education</t>
  </si>
  <si>
    <t>Percy Bates, Education</t>
  </si>
  <si>
    <t>mathakga.botha@wits.ac.za</t>
  </si>
  <si>
    <t>How Professional Learning Communities Can Improve Teaching and Learning in Primary Schools in South Africa</t>
  </si>
  <si>
    <r>
      <rPr>
        <rFont val="Calibri"/>
        <color rgb="FFFF0000"/>
        <sz val="12.0"/>
      </rPr>
      <t>(17)</t>
    </r>
    <r>
      <rPr>
        <rFont val="Calibri"/>
        <color rgb="FF000000"/>
        <sz val="12.0"/>
      </rPr>
      <t xml:space="preserve"> PhD Wits, 2015 per data from Pierre (thru KA?)</t>
    </r>
  </si>
  <si>
    <r>
      <rPr>
        <rFont val="Calibri"/>
        <color rgb="FF000000"/>
        <sz val="12.0"/>
      </rPr>
      <t>1994</t>
    </r>
    <r>
      <rPr>
        <rFont val="Calibri"/>
        <color rgb="FF000000"/>
        <sz val="12.0"/>
      </rPr>
      <t>.</t>
    </r>
    <r>
      <rPr>
        <rFont val="Calibri"/>
        <i/>
        <color rgb="FF000000"/>
        <sz val="12.0"/>
      </rPr>
      <t xml:space="preserve"> Bua Magazine</t>
    </r>
    <r>
      <rPr>
        <rFont val="Calibri"/>
        <color rgb="FF000000"/>
        <sz val="12.0"/>
      </rPr>
      <t xml:space="preserve"> Vol. 9 (2): n.p.</t>
    </r>
  </si>
  <si>
    <t>25</t>
  </si>
  <si>
    <t>Ayitey</t>
  </si>
  <si>
    <t>Jonathan</t>
  </si>
  <si>
    <t>2010-2011</t>
  </si>
  <si>
    <t>Mphil, Land Economy</t>
  </si>
  <si>
    <t>Anne Pitcher, CAAS</t>
  </si>
  <si>
    <t>jonathanzinzi@yahoo.com</t>
  </si>
  <si>
    <t>Arch &amp; Planning 024 325 8434 or 020 812 7913</t>
  </si>
  <si>
    <t>A Formal Approach to Sustainable Housing Finance Market in Emerging Economies: The Case of the Ghanaian Mortgage Market</t>
  </si>
  <si>
    <r>
      <rPr>
        <rFont val="Calibri"/>
        <color rgb="FF000000"/>
        <sz val="12.0"/>
      </rPr>
      <t>Kuusaana, ED, JK Kidido, and</t>
    </r>
    <r>
      <rPr>
        <rFont val="Calibri"/>
        <color rgb="FF000000"/>
        <sz val="12.0"/>
      </rPr>
      <t xml:space="preserve"> JZ Ayitey</t>
    </r>
    <r>
      <rPr>
        <rFont val="Calibri"/>
        <color rgb="FF000000"/>
        <sz val="12.0"/>
      </rPr>
      <t xml:space="preserve">. "Property Rates Revenue Mobilisation and Good Governance in Ghana-Evidence from the Wa Municipality." </t>
    </r>
    <r>
      <rPr>
        <rFont val="Calibri"/>
        <i/>
        <color rgb="FF000000"/>
        <sz val="12.0"/>
      </rPr>
      <t>Journal of Local Government Studies</t>
    </r>
    <r>
      <rPr>
        <rFont val="Calibri"/>
        <color rgb="FF000000"/>
        <sz val="12.0"/>
      </rPr>
      <t xml:space="preserve"> 4.1 (2012): n. pag. Web.
</t>
    </r>
    <r>
      <rPr>
        <rFont val="Calibri"/>
        <color rgb="FF000000"/>
        <sz val="12.0"/>
      </rPr>
      <t>Ayitey, JZ</t>
    </r>
    <r>
      <rPr>
        <rFont val="Calibri"/>
        <color rgb="FF000000"/>
        <sz val="12.0"/>
      </rPr>
      <t xml:space="preserve">, ED Kuusaana, and JK Kidio. "Potential and Hurdles in Property Rating in Ghana: Evidence from the WA Municipality." </t>
    </r>
    <r>
      <rPr>
        <rFont val="Calibri"/>
        <i/>
        <color rgb="FF000000"/>
        <sz val="12.0"/>
      </rPr>
      <t>The Ghana Surveyor</t>
    </r>
    <r>
      <rPr>
        <rFont val="Calibri"/>
        <color rgb="FF000000"/>
        <sz val="12.0"/>
      </rPr>
      <t xml:space="preserve"> 5.1 (2013): n. pag. Web. Kidido, JK, </t>
    </r>
    <r>
      <rPr>
        <rFont val="Calibri"/>
        <color rgb="FF000000"/>
        <sz val="12.0"/>
      </rPr>
      <t>JZ Ayitey</t>
    </r>
    <r>
      <rPr>
        <rFont val="Calibri"/>
        <color rgb="FF000000"/>
        <sz val="12.0"/>
      </rPr>
      <t xml:space="preserve">, ED Kuusaana, and EK Gavu. "Who Is the Rightful Recipient of Mining Compensation for Land Use Deprivation in Ghana?" </t>
    </r>
    <r>
      <rPr>
        <rFont val="Calibri"/>
        <i/>
        <color rgb="FF000000"/>
        <sz val="12.0"/>
      </rPr>
      <t>Resources Policy</t>
    </r>
    <r>
      <rPr>
        <rFont val="Calibri"/>
        <color rgb="FF000000"/>
        <sz val="12.0"/>
      </rPr>
      <t xml:space="preserve"> 43 (2015): 19-27. Web.</t>
    </r>
  </si>
  <si>
    <r>
      <rPr>
        <rFont val="Calibri"/>
        <color rgb="FF000000"/>
        <sz val="12.0"/>
      </rPr>
      <t xml:space="preserve">Asante, LA, A Sasu, </t>
    </r>
    <r>
      <rPr>
        <rFont val="Calibri"/>
        <color rgb="FF000000"/>
        <sz val="12.0"/>
      </rPr>
      <t>JZ Ayitey</t>
    </r>
    <r>
      <rPr>
        <rFont val="Calibri"/>
        <color rgb="FF000000"/>
        <sz val="12.0"/>
      </rPr>
      <t xml:space="preserve">, and NA Boakye-Agyeman. "The Achimota Transport Terminal in Accra: A Model Urban Regeneration Project in Ghana?" </t>
    </r>
    <r>
      <rPr>
        <rFont val="Calibri"/>
        <i/>
        <color rgb="FF000000"/>
        <sz val="12.0"/>
      </rPr>
      <t>Journal of Sustainable Development</t>
    </r>
    <r>
      <rPr>
        <rFont val="Calibri"/>
        <color rgb="FF000000"/>
        <sz val="12.0"/>
      </rPr>
      <t xml:space="preserve"> 8.9 (2015): 240.             Web; Gavu, EK, JF Nyarko, and </t>
    </r>
    <r>
      <rPr>
        <rFont val="Calibri"/>
        <color rgb="FF000000"/>
        <sz val="12.0"/>
      </rPr>
      <t>JZ Ayitey</t>
    </r>
    <r>
      <rPr>
        <rFont val="Calibri"/>
        <color rgb="FF000000"/>
        <sz val="12.0"/>
      </rPr>
      <t xml:space="preserve">. "Evaluation of Equity Home Financing Option in a Developing Economy." (2016): n. pag.                                                                                                                                   Web; Aha, B, and </t>
    </r>
    <r>
      <rPr>
        <rFont val="Calibri"/>
        <color rgb="FF000000"/>
        <sz val="12.0"/>
      </rPr>
      <t>JZ Ayitey</t>
    </r>
    <r>
      <rPr>
        <rFont val="Calibri"/>
        <color rgb="FF000000"/>
        <sz val="12.0"/>
      </rPr>
      <t xml:space="preserve">. "Biofuels and the Hazards of Land Grabbing: Tenure (in)security and Indigenous Farmers' Investment Decisions in Ghana." </t>
    </r>
    <r>
      <rPr>
        <rFont val="Calibri"/>
        <i/>
        <color rgb="FF000000"/>
        <sz val="12.0"/>
      </rPr>
      <t>Land Use Policy</t>
    </r>
    <r>
      <rPr>
        <rFont val="Calibri"/>
        <color rgb="FF000000"/>
        <sz val="12.0"/>
      </rPr>
      <t xml:space="preserve"> 60 (2017): 48-59.</t>
    </r>
  </si>
  <si>
    <r>
      <rPr>
        <rFont val="Calibri"/>
        <color rgb="FF000000"/>
        <sz val="12.0"/>
      </rPr>
      <t>N.d.</t>
    </r>
    <r>
      <rPr>
        <rFont val="Calibri"/>
        <color rgb="FF000000"/>
        <sz val="12.0"/>
      </rPr>
      <t xml:space="preserve"> </t>
    </r>
    <r>
      <rPr>
        <rFont val="Calibri"/>
        <i/>
        <color rgb="FF000000"/>
        <sz val="12.0"/>
      </rPr>
      <t>Journal of Ghana institution of surveyors</t>
    </r>
    <r>
      <rPr>
        <rFont val="Calibri"/>
        <color rgb="FF000000"/>
        <sz val="12.0"/>
      </rPr>
      <t xml:space="preserve"> 1(1): 9-17. </t>
    </r>
    <r>
      <rPr>
        <rFont val="Calibri"/>
        <color rgb="FF000000"/>
        <sz val="12.0"/>
      </rPr>
      <t>2009</t>
    </r>
    <r>
      <rPr>
        <rFont val="Calibri"/>
        <color rgb="FF000000"/>
        <sz val="12.0"/>
      </rPr>
      <t xml:space="preserve">. </t>
    </r>
    <r>
      <rPr>
        <rFont val="Calibri"/>
        <i/>
        <color rgb="FF000000"/>
        <sz val="12.0"/>
      </rPr>
      <t>Journal of science and Technology</t>
    </r>
    <r>
      <rPr>
        <rFont val="Calibri"/>
        <color rgb="FF000000"/>
        <sz val="12.0"/>
      </rPr>
      <t xml:space="preserve"> 29(2): n.p. </t>
    </r>
  </si>
  <si>
    <t>26</t>
  </si>
  <si>
    <t>Chisaka</t>
  </si>
  <si>
    <t>Janet</t>
  </si>
  <si>
    <t>Rhodes</t>
  </si>
  <si>
    <t>PhD candidate, Sociology</t>
  </si>
  <si>
    <t>Phyllis Meadows, (HBHE SPH)</t>
  </si>
  <si>
    <t>j.chisaka@ru.ac.za</t>
  </si>
  <si>
    <t>United in Achieving Health Care for All</t>
  </si>
  <si>
    <t>sent email about PhD status: ongoing</t>
  </si>
  <si>
    <t>PhD in progress prior to UMAPS residency</t>
  </si>
  <si>
    <t xml:space="preserve">N.d. The effect of HIV/AIDS and generational poverty on biographical disruption: the life stories of Eastern Cape women. The effect of HIV/AIDS and generational poverty on biographical disruption: the life stories of Eastern Cape women. Acta Academica. n.p. </t>
  </si>
  <si>
    <t>27</t>
  </si>
  <si>
    <t>Feglo</t>
  </si>
  <si>
    <t>Patrick</t>
  </si>
  <si>
    <t>MSc, Clinical Microbiology</t>
  </si>
  <si>
    <t>Wu Xi, SPH</t>
  </si>
  <si>
    <t>Pfeglo.sms@knust.edu.gh</t>
  </si>
  <si>
    <t>SMS 020 880 7693</t>
  </si>
  <si>
    <t>Molecular epidemiology of ESBL-producing Enterobecteriaceae at the Komfo-Anokye Teaching Hospital, Kumasi</t>
  </si>
  <si>
    <r>
      <rPr>
        <rFont val="Calibri"/>
        <color rgb="FFFF0000"/>
        <sz val="12.0"/>
      </rPr>
      <t>(18)</t>
    </r>
    <r>
      <rPr>
        <rFont val="Calibri"/>
        <color rgb="FF000000"/>
        <sz val="12.0"/>
      </rPr>
      <t xml:space="preserve"> PhD KNUST, 2011</t>
    </r>
  </si>
  <si>
    <t>Update (LinkedIn) Sept 2018: promoted to Assoc Prof. Earlier Oct 2017: promoted to Senior Lecturer and Head of Department. Long-term goals include developing a molecular database for antibiotic resistant enteric pathogens and to set up enteric disease molecular surveillance systems in Ghana.</t>
  </si>
  <si>
    <r>
      <rPr>
        <rFont val="Calibri"/>
        <color rgb="FF000000"/>
        <sz val="12.0"/>
      </rPr>
      <t>Feglo, PK</t>
    </r>
    <r>
      <rPr>
        <rFont val="Calibri"/>
        <color rgb="FF000000"/>
        <sz val="12.0"/>
      </rPr>
      <t>. "Bacterial Contamination of Street Vending Food in Kumasi, Ghana."(2012): n. pag. Web. Amidu, N, A Abass, C Obirkiorang,</t>
    </r>
    <r>
      <rPr>
        <rFont val="Calibri"/>
        <color rgb="FF000000"/>
        <sz val="12.0"/>
      </rPr>
      <t xml:space="preserve"> PK Feglo</t>
    </r>
    <r>
      <rPr>
        <rFont val="Calibri"/>
        <color rgb="FF000000"/>
        <sz val="12.0"/>
      </rPr>
      <t xml:space="preserve">, S Majeed, and D Afful. "Sero-prevalence of Hepatitis B Surface (HBsAg) Antigen in Three Densely Populated Communities." </t>
    </r>
    <r>
      <rPr>
        <rFont val="Calibri"/>
        <i/>
        <color rgb="FF000000"/>
        <sz val="12.0"/>
      </rPr>
      <t>Journal of Medical and Biomedical Sciences</t>
    </r>
    <r>
      <rPr>
        <rFont val="Calibri"/>
        <color rgb="FF000000"/>
        <sz val="12.0"/>
      </rPr>
      <t xml:space="preserve"> 1.2 (2012): 59-65. Web.</t>
    </r>
  </si>
  <si>
    <r>
      <rPr>
        <rFont val="Calibri"/>
        <color rgb="FF000000"/>
        <sz val="12.0"/>
      </rPr>
      <t>Feglo,PK</t>
    </r>
    <r>
      <rPr>
        <rFont val="Calibri"/>
        <color rgb="FF000000"/>
        <sz val="12.0"/>
      </rPr>
      <t xml:space="preserve">, Y Adu-Sarkodie, and L Ayisi. "Emergence of a Novel Extended-Spectrum-beta-Lactamase (ESBL)-Producing, Fluoroquinolone-Resistant Clone of Extraintestinal Pathogenic Escherichia Coli in Kumasi, Ghana." </t>
    </r>
    <r>
      <rPr>
        <rFont val="Calibri"/>
        <i/>
        <color rgb="FF000000"/>
        <sz val="12.0"/>
      </rPr>
      <t>Journal of Clinical Microbiology</t>
    </r>
    <r>
      <rPr>
        <rFont val="Calibri"/>
        <color rgb="FF000000"/>
        <sz val="12.0"/>
      </rPr>
      <t xml:space="preserve"> 51.2 (2012): n. pag. Web; </t>
    </r>
    <r>
      <rPr>
        <rFont val="Calibri"/>
        <color rgb="FF000000"/>
        <sz val="12.0"/>
      </rPr>
      <t>Feglo, PK</t>
    </r>
    <r>
      <rPr>
        <rFont val="Calibri"/>
        <color rgb="FF000000"/>
        <sz val="12.0"/>
      </rPr>
      <t xml:space="preserve">, and Y. Adu-Sarkodie. "Antimicrobial Resistance Patterns of Extended Spectrum Lactamase Producing Klebsiellae and E. Coli Isolates from a Tertiary Hospital in Ghana." </t>
    </r>
    <r>
      <rPr>
        <rFont val="Calibri"/>
        <i/>
        <color rgb="FF000000"/>
        <sz val="12.0"/>
      </rPr>
      <t>European Scientific Journal</t>
    </r>
    <r>
      <rPr>
        <rFont val="Calibri"/>
        <color rgb="FF000000"/>
        <sz val="12.0"/>
      </rPr>
      <t xml:space="preserve"> 12.30 (2016): n. pag. Web.</t>
    </r>
  </si>
  <si>
    <r>
      <rPr>
        <rFont val="Calibri"/>
        <color rgb="FF000000"/>
        <sz val="12.0"/>
      </rPr>
      <t>2009</t>
    </r>
    <r>
      <rPr>
        <rFont val="Calibri"/>
        <color rgb="FF000000"/>
        <sz val="12.0"/>
      </rPr>
      <t xml:space="preserve">. </t>
    </r>
    <r>
      <rPr>
        <rFont val="Calibri"/>
        <i/>
        <color rgb="FF000000"/>
        <sz val="12.0"/>
      </rPr>
      <t>African Health Sciences</t>
    </r>
    <r>
      <rPr>
        <rFont val="Calibri"/>
        <color rgb="FF000000"/>
        <sz val="12.0"/>
      </rPr>
      <t xml:space="preserve">, Vol 9 No.1:p13-16.                                                                                                                                                                                                                                                                                 </t>
    </r>
    <r>
      <rPr>
        <rFont val="Calibri"/>
        <color rgb="FF000000"/>
        <sz val="12.0"/>
      </rPr>
      <t>2007</t>
    </r>
    <r>
      <rPr>
        <rFont val="Calibri"/>
        <color rgb="FF000000"/>
        <sz val="12.0"/>
      </rPr>
      <t>.</t>
    </r>
    <r>
      <rPr>
        <rFont val="Calibri"/>
        <i/>
        <color rgb="FF000000"/>
        <sz val="12.0"/>
      </rPr>
      <t xml:space="preserve"> Ghana Journal of Allied Health Sciences</t>
    </r>
    <r>
      <rPr>
        <rFont val="Calibri"/>
        <color rgb="FF000000"/>
        <sz val="12.0"/>
      </rPr>
      <t xml:space="preserve"> Vol.1 No. 2.p. 43-49.                                                                                                                                                                                                                                               </t>
    </r>
    <r>
      <rPr>
        <rFont val="Calibri"/>
        <color rgb="FF000000"/>
        <sz val="12.0"/>
      </rPr>
      <t>2005</t>
    </r>
    <r>
      <rPr>
        <rFont val="Calibri"/>
        <color rgb="FF000000"/>
        <sz val="12.0"/>
      </rPr>
      <t xml:space="preserve">. </t>
    </r>
    <r>
      <rPr>
        <rFont val="Calibri"/>
        <i/>
        <color rgb="FF000000"/>
        <sz val="12.0"/>
      </rPr>
      <t>World Journal of Microbiology and Biotechnology</t>
    </r>
    <r>
      <rPr>
        <rFont val="Calibri"/>
        <color rgb="FF000000"/>
        <sz val="12.0"/>
      </rPr>
      <t xml:space="preserve">. Volume 21, Numbers 6-7: p. 1201-7.                                                                                                                                                                                                  </t>
    </r>
    <r>
      <rPr>
        <rFont val="Calibri"/>
        <color rgb="FF000000"/>
        <sz val="12.0"/>
      </rPr>
      <t>2004</t>
    </r>
    <r>
      <rPr>
        <rFont val="Calibri"/>
        <color rgb="FF000000"/>
        <sz val="12.0"/>
      </rPr>
      <t xml:space="preserve">. </t>
    </r>
    <r>
      <rPr>
        <rFont val="Calibri"/>
        <i/>
        <color rgb="FF000000"/>
        <sz val="12.0"/>
      </rPr>
      <t>East African Medical Journal</t>
    </r>
    <r>
      <rPr>
        <rFont val="Calibri"/>
        <color rgb="FF000000"/>
        <sz val="12.0"/>
      </rPr>
      <t xml:space="preserve">. Vol.81 No.7: p358-361.                                                                                                                                                                                                                                                              </t>
    </r>
    <r>
      <rPr>
        <rFont val="Calibri"/>
        <color rgb="FF000000"/>
        <sz val="12.0"/>
      </rPr>
      <t>2000</t>
    </r>
    <r>
      <rPr>
        <rFont val="Calibri"/>
        <color rgb="FF000000"/>
        <sz val="12.0"/>
      </rPr>
      <t xml:space="preserve">. </t>
    </r>
    <r>
      <rPr>
        <rFont val="Calibri"/>
        <i/>
        <color rgb="FF000000"/>
        <sz val="12.0"/>
      </rPr>
      <t>West African Journal of Medicine</t>
    </r>
    <r>
      <rPr>
        <rFont val="Calibri"/>
        <color rgb="FF000000"/>
        <sz val="12.0"/>
      </rPr>
      <t>. Vol. 19, No 1. p34-38.</t>
    </r>
  </si>
  <si>
    <t>28</t>
  </si>
  <si>
    <t>Jubwe</t>
  </si>
  <si>
    <t>Stephen</t>
  </si>
  <si>
    <t>MA, Sociology</t>
  </si>
  <si>
    <t>Howard Stein, CAAS</t>
  </si>
  <si>
    <t>Smosiojubwe27@
Yahoo.com</t>
  </si>
  <si>
    <t>A Study of the role of Land Tenure and Land Policies in Liberia’s Crises of Integration: Toward a Land Reform Policy</t>
  </si>
  <si>
    <t>promoted to Associate Professor of Sociology &amp; Dean Liberia College (=College of Soc Sc &amp; Hum), U Liberia</t>
  </si>
  <si>
    <t>no academic publications, although has lots of talks (invited and given)</t>
  </si>
  <si>
    <t>29</t>
  </si>
  <si>
    <t>Kenkpen</t>
  </si>
  <si>
    <t>David</t>
  </si>
  <si>
    <t>MSc, Biochemistry; MA, Education Admin</t>
  </si>
  <si>
    <t>Robert Kennedy, Chemistry</t>
  </si>
  <si>
    <t>I had several contacts with David Kenkpen after he left. Mostly this revolved around the possibility of publishing the work he did here. Unfortunately the amount of work completed during his time here was not really sufficient for a publication and I did not have any way of completing the work after he was gone.</t>
  </si>
  <si>
    <t>alpinjoyken@yahoo.com</t>
  </si>
  <si>
    <t>Identification of Structural and Chemical Characteristics of HCH &amp; non-HCN Cassava Varieties in Liberia</t>
  </si>
  <si>
    <r>
      <rPr>
        <rFont val="Calibri"/>
        <color rgb="FFFF0000"/>
        <sz val="12.0"/>
      </rPr>
      <t>(19)</t>
    </r>
    <r>
      <rPr>
        <rFont val="Calibri"/>
        <color rgb="FF000000"/>
        <sz val="12.0"/>
      </rPr>
      <t xml:space="preserve"> PhD Obafemi Awolowo U, Nigeria, 2017 (Botany and Biotechnology) </t>
    </r>
  </si>
  <si>
    <t xml:space="preserve">per email to HF with updated CV </t>
  </si>
  <si>
    <r>
      <rPr>
        <rFont val="Calibri"/>
        <color rgb="FF000000"/>
        <sz val="12.0"/>
      </rPr>
      <t>1986</t>
    </r>
    <r>
      <rPr>
        <rFont val="Calibri"/>
        <color rgb="FF000000"/>
        <sz val="12.0"/>
      </rPr>
      <t xml:space="preserve">. </t>
    </r>
    <r>
      <rPr>
        <rFont val="Calibri"/>
        <i/>
        <color rgb="FF000000"/>
        <sz val="12.0"/>
      </rPr>
      <t>Agricultural Journal</t>
    </r>
    <r>
      <rPr>
        <rFont val="Calibri"/>
        <color rgb="FF000000"/>
        <sz val="12.0"/>
      </rPr>
      <t>: n.p. (other listed publications are unpublished reports)</t>
    </r>
  </si>
  <si>
    <t>30</t>
  </si>
  <si>
    <t>Lynch</t>
  </si>
  <si>
    <t>Ingrid</t>
  </si>
  <si>
    <t>MA (UP, 2008), Psychology</t>
  </si>
  <si>
    <t>Gayle Rubin, Anthropology, Comp Lit, Women’s Studies</t>
  </si>
  <si>
    <t>ingrid.sange@gmail.com; ilynch@hsrc.ac.za</t>
  </si>
  <si>
    <t xml:space="preserve">27(0)124205451 </t>
  </si>
  <si>
    <t xml:space="preserve">Period of writing, PhD research, “South African bisexual women’s constructions of their sexuality: A discourse analysis”   and increase knowledge of Qualitative  Methods </t>
  </si>
  <si>
    <r>
      <rPr>
        <rFont val="Calibri"/>
        <color rgb="FFFF0000"/>
        <sz val="12.0"/>
      </rPr>
      <t>(20)</t>
    </r>
    <r>
      <rPr>
        <rFont val="Calibri"/>
        <color rgb="FF000000"/>
        <sz val="12.0"/>
      </rPr>
      <t xml:space="preserve"> PhD U Pretoria, 2013</t>
    </r>
  </si>
  <si>
    <t>since december 2014: research specialist and post-doctoral research fellow in the Human and Social Development programme at the Human Sciences Research Council, South Africa</t>
  </si>
  <si>
    <r>
      <rPr>
        <rFont val="Calibri"/>
        <color rgb="FF000000"/>
        <sz val="12.0"/>
      </rPr>
      <t xml:space="preserve">Lynch, I, </t>
    </r>
    <r>
      <rPr>
        <rFont val="Calibri"/>
        <color rgb="FF000000"/>
        <sz val="12.0"/>
      </rPr>
      <t xml:space="preserve">and T Morison. "Gay Men as Parents and Caregivers: Information for South African Service Providers"Report. N.p. 2016. Print. </t>
    </r>
    <r>
      <rPr>
        <rFont val="Calibri"/>
        <color rgb="FF000000"/>
        <sz val="12.0"/>
      </rPr>
      <t>Lynch, I</t>
    </r>
    <r>
      <rPr>
        <rFont val="Calibri"/>
        <color rgb="FF000000"/>
        <sz val="12.0"/>
      </rPr>
      <t xml:space="preserve">. "Erased, Elided and Made Invisible? A Critical Analysis of Research on Bisexual Parenthood and Families." </t>
    </r>
    <r>
      <rPr>
        <rFont val="Calibri"/>
        <i/>
        <color rgb="FF000000"/>
        <sz val="12.0"/>
      </rPr>
      <t>Home Affairs: Rethinking Same-sex Families and Relationships in Contemporary South Africa</t>
    </r>
    <r>
      <rPr>
        <rFont val="Calibri"/>
        <color rgb="FF000000"/>
        <sz val="12.0"/>
      </rPr>
      <t xml:space="preserve">. Ed. C. Lubbe De Beer. N.p.: Jacane Medi, 2013. 68-88. Print. </t>
    </r>
    <r>
      <rPr>
        <rFont val="Calibri"/>
        <color rgb="FF000000"/>
        <sz val="12.0"/>
      </rPr>
      <t>Lynch, I</t>
    </r>
    <r>
      <rPr>
        <rFont val="Calibri"/>
        <color rgb="FF000000"/>
        <sz val="12.0"/>
      </rPr>
      <t xml:space="preserve">, PWY Lee, and M Clayton. </t>
    </r>
    <r>
      <rPr>
        <rFont val="Calibri"/>
        <i/>
        <color rgb="FF000000"/>
        <sz val="12.0"/>
      </rPr>
      <t>"Your Hate Won't Change Us! A Triangle Project Human Rights Report"</t>
    </r>
    <r>
      <rPr>
        <rFont val="Calibri"/>
        <color rgb="FF000000"/>
        <sz val="12.0"/>
      </rPr>
      <t xml:space="preserve">. Rep. N.p, 2013. Print. </t>
    </r>
    <r>
      <rPr>
        <rFont val="Calibri"/>
        <color rgb="FF000000"/>
        <sz val="12.0"/>
      </rPr>
      <t>Lynch, I</t>
    </r>
    <r>
      <rPr>
        <rFont val="Calibri"/>
        <color rgb="FF000000"/>
        <sz val="12.0"/>
      </rPr>
      <t>, and M Van Zyl. "</t>
    </r>
    <r>
      <rPr>
        <rFont val="Calibri"/>
        <i/>
        <color rgb="FF000000"/>
        <sz val="12.0"/>
      </rPr>
      <t>Justice Delayed: Activist Engagement in the Zoliswa Nkonyana Hate Crime Trial</t>
    </r>
    <r>
      <rPr>
        <rFont val="Calibri"/>
        <color rgb="FF000000"/>
        <sz val="12.0"/>
      </rPr>
      <t xml:space="preserve">" (Report). N.p., 2013. Print. </t>
    </r>
    <r>
      <rPr>
        <rFont val="Calibri"/>
        <color rgb="FF000000"/>
        <sz val="12.0"/>
      </rPr>
      <t>Lynch, I</t>
    </r>
    <r>
      <rPr>
        <rFont val="Calibri"/>
        <color rgb="FF000000"/>
        <sz val="12.0"/>
      </rPr>
      <t xml:space="preserve">., and D. J. Maree. "Negotiating Hetero-normativity: Exploring South African Bisexual Women's Constructions of Marriage and Family." </t>
    </r>
    <r>
      <rPr>
        <rFont val="Calibri"/>
        <i/>
        <color rgb="FF000000"/>
        <sz val="12.0"/>
      </rPr>
      <t>Feminism &amp; Psychology</t>
    </r>
    <r>
      <rPr>
        <rFont val="Calibri"/>
        <color rgb="FF000000"/>
        <sz val="12.0"/>
      </rPr>
      <t xml:space="preserve"> 23.4 (2013): 459-77. Web. </t>
    </r>
    <r>
      <rPr>
        <rFont val="Calibri"/>
        <color rgb="FF000000"/>
        <sz val="12.0"/>
      </rPr>
      <t>Lynch</t>
    </r>
    <r>
      <rPr>
        <rFont val="Calibri"/>
        <color rgb="FF000000"/>
        <sz val="12.0"/>
      </rPr>
      <t>, I, and M Clayton. "</t>
    </r>
    <r>
      <rPr>
        <rFont val="Calibri"/>
        <i/>
        <color rgb="FF000000"/>
        <sz val="12.0"/>
      </rPr>
      <t>I Never Thought Lesbians Can Be Infected": Women Who Have Sex with Women (WSW) and HIV Risk. Report</t>
    </r>
    <r>
      <rPr>
        <rFont val="Calibri"/>
        <color rgb="FF000000"/>
        <sz val="12.0"/>
      </rPr>
      <t xml:space="preserve">. N.p., 2014. Print. Victor, C. J., J. A. Nel, </t>
    </r>
    <r>
      <rPr>
        <rFont val="Calibri"/>
        <color rgb="FF000000"/>
        <sz val="12.0"/>
      </rPr>
      <t>I. Lynch</t>
    </r>
    <r>
      <rPr>
        <rFont val="Calibri"/>
        <color rgb="FF000000"/>
        <sz val="12.0"/>
      </rPr>
      <t xml:space="preserve">, and K. Mbatha. "The Psychological Society of South Africa Sexual and Gender Diversity Position Statement: Contributing towards a Just Society." </t>
    </r>
    <r>
      <rPr>
        <rFont val="Calibri"/>
        <i/>
        <color rgb="FF000000"/>
        <sz val="12.0"/>
      </rPr>
      <t xml:space="preserve">South African Journal of Psychology </t>
    </r>
    <r>
      <rPr>
        <rFont val="Calibri"/>
        <color rgb="FF000000"/>
        <sz val="12.0"/>
      </rPr>
      <t>44.3 (2014): 292-302. Web.</t>
    </r>
  </si>
  <si>
    <r>
      <rPr>
        <rFont val="Calibri"/>
        <color rgb="FF000000"/>
        <sz val="12.0"/>
      </rPr>
      <t xml:space="preserve">Morison, T, C Macleod, </t>
    </r>
    <r>
      <rPr>
        <rFont val="Calibri"/>
        <color rgb="FF000000"/>
        <sz val="12.0"/>
      </rPr>
      <t>I Lynch</t>
    </r>
    <r>
      <rPr>
        <rFont val="Calibri"/>
        <color rgb="FF000000"/>
        <sz val="12.0"/>
      </rPr>
      <t xml:space="preserve">, M Mijas, and ST Shivakumar. "Stigma Resistance in Online Childfree Communities." </t>
    </r>
    <r>
      <rPr>
        <rFont val="Calibri"/>
        <i/>
        <color rgb="FF000000"/>
        <sz val="12.0"/>
      </rPr>
      <t>Psychology of Women Quarterly</t>
    </r>
    <r>
      <rPr>
        <rFont val="Calibri"/>
        <color rgb="FF000000"/>
        <sz val="12.0"/>
      </rPr>
      <t xml:space="preserve"> 40.2 (2016): 184-98. Web. Breen, D, </t>
    </r>
    <r>
      <rPr>
        <rFont val="Calibri"/>
        <color rgb="FF000000"/>
        <sz val="12.0"/>
      </rPr>
      <t>I Lynch</t>
    </r>
    <r>
      <rPr>
        <rFont val="Calibri"/>
        <color rgb="FF000000"/>
        <sz val="12.0"/>
      </rPr>
      <t xml:space="preserve">, JA Nel, and I Matthews. "Hate Crime in Transitional Societies: The Case of South AFrica." Ed. M. Walters. </t>
    </r>
    <r>
      <rPr>
        <rFont val="Calibri"/>
        <i/>
        <color rgb="FF000000"/>
        <sz val="12.0"/>
      </rPr>
      <t>The Globalisation of Hate: Internationalising Hate Crime?</t>
    </r>
    <r>
      <rPr>
        <rFont val="Calibri"/>
        <color rgb="FF000000"/>
        <sz val="12.0"/>
      </rPr>
      <t xml:space="preserve"> Ed. J. Schweppe. Oxford UP, n.d. 126-41. Print. </t>
    </r>
    <r>
      <rPr>
        <rFont val="Calibri"/>
        <color rgb="FF000000"/>
        <sz val="12.0"/>
      </rPr>
      <t>Lynch, I</t>
    </r>
    <r>
      <rPr>
        <rFont val="Calibri"/>
        <color rgb="FF000000"/>
        <sz val="12.0"/>
      </rPr>
      <t>, and N Sanger. "</t>
    </r>
    <r>
      <rPr>
        <rFont val="Calibri"/>
        <i/>
        <color rgb="FF000000"/>
        <sz val="12.0"/>
      </rPr>
      <t>I'm Your Maker: Power, Heteronormativity and Violence in Women's Same-sex Relationships"</t>
    </r>
    <r>
      <rPr>
        <rFont val="Calibri"/>
        <color rgb="FF000000"/>
        <sz val="12.0"/>
      </rPr>
      <t xml:space="preserve"> Report. N.p.: n.d. Print. </t>
    </r>
    <r>
      <rPr>
        <rFont val="Calibri"/>
        <color rgb="FF000000"/>
        <sz val="12.0"/>
      </rPr>
      <t>Lynch, I</t>
    </r>
    <r>
      <rPr>
        <rFont val="Calibri"/>
        <color rgb="FF000000"/>
        <sz val="12.0"/>
      </rPr>
      <t xml:space="preserve">, and T Morison. "Gay Men as Parents: Analysing Resistant Talk in South African Mainstream Media Accounts of Queer Families." </t>
    </r>
    <r>
      <rPr>
        <rFont val="Calibri"/>
        <i/>
        <color rgb="FF000000"/>
        <sz val="12.0"/>
      </rPr>
      <t>Feminism &amp; Psychology</t>
    </r>
    <r>
      <rPr>
        <rFont val="Calibri"/>
        <color rgb="FF000000"/>
        <sz val="12.0"/>
      </rPr>
      <t xml:space="preserve"> 26.2 (2016): 188-206. Web. </t>
    </r>
    <r>
      <rPr>
        <rFont val="Calibri"/>
        <color rgb="FF000000"/>
        <sz val="12.0"/>
      </rPr>
      <t>Lynch, I</t>
    </r>
    <r>
      <rPr>
        <rFont val="Calibri"/>
        <color rgb="FF000000"/>
        <sz val="12.0"/>
      </rPr>
      <t xml:space="preserve">, and M Clayton. "We Go to the Bush to Prove That We Are Also Men: Traditional Circumcision and Masculinity in the Accounts of Men Who Have Sex with Men in Township Communities in South Africa." </t>
    </r>
    <r>
      <rPr>
        <rFont val="Calibri"/>
        <i/>
        <color rgb="FF000000"/>
        <sz val="12.0"/>
      </rPr>
      <t>Culture, Health &amp; Sexuality</t>
    </r>
    <r>
      <rPr>
        <rFont val="Calibri"/>
        <color rgb="FF000000"/>
        <sz val="12.0"/>
      </rPr>
      <t xml:space="preserve"> (2016): 1-14. Web. Morison, T. &amp; </t>
    </r>
    <r>
      <rPr>
        <rFont val="Calibri"/>
        <color rgb="FF000000"/>
        <sz val="12.0"/>
      </rPr>
      <t>Lynch, I.</t>
    </r>
    <r>
      <rPr>
        <rFont val="Calibri"/>
        <color rgb="FF000000"/>
        <sz val="12.0"/>
      </rPr>
      <t xml:space="preserve"> (2016) 'We can't help you here': the discursive erasure of sexual minorities in South African public sexual and reproductive health services. </t>
    </r>
    <r>
      <rPr>
        <rFont val="Calibri"/>
        <i/>
        <color rgb="FF000000"/>
        <sz val="12.0"/>
      </rPr>
      <t>Psychology of Sexualities Review</t>
    </r>
    <r>
      <rPr>
        <rFont val="Calibri"/>
        <color rgb="FF000000"/>
        <sz val="12.0"/>
      </rPr>
      <t xml:space="preserve"> 7(2):7-25</t>
    </r>
  </si>
  <si>
    <r>
      <rPr>
        <rFont val="Calibri"/>
        <color rgb="FF000000"/>
        <sz val="12.0"/>
      </rPr>
      <t xml:space="preserve">2008. </t>
    </r>
    <r>
      <rPr>
        <rFont val="Calibri"/>
        <color rgb="FF000000"/>
        <sz val="12.0"/>
      </rPr>
      <t>Chapter in edited vol, Counseling in Southern Africa (Heinemann).</t>
    </r>
    <r>
      <rPr>
        <rFont val="Calibri"/>
        <color rgb="FF000000"/>
        <sz val="12.0"/>
      </rPr>
      <t xml:space="preserve">                                                                                                                                                                                                                                     2009. </t>
    </r>
    <r>
      <rPr>
        <rFont val="Calibri"/>
        <i/>
        <color rgb="FF000000"/>
        <sz val="12.0"/>
      </rPr>
      <t>Health/SA Gesondheid</t>
    </r>
    <r>
      <rPr>
        <rFont val="Calibri"/>
        <color rgb="FF000000"/>
        <sz val="12.0"/>
      </rPr>
      <t xml:space="preserve"> 14(1):1-7.                                                                                                                                                                                                                                                                                                  </t>
    </r>
    <r>
      <rPr>
        <rFont val="Calibri"/>
        <color rgb="FF000000"/>
        <sz val="12.0"/>
      </rPr>
      <t xml:space="preserve">2009. </t>
    </r>
    <r>
      <rPr>
        <rFont val="Calibri"/>
        <i/>
        <color rgb="FF000000"/>
        <sz val="12.0"/>
      </rPr>
      <t xml:space="preserve">Gender and Education </t>
    </r>
    <r>
      <rPr>
        <rFont val="Calibri"/>
        <color rgb="FF000000"/>
        <sz val="12.0"/>
      </rPr>
      <t xml:space="preserve">21(5):567-81.                                                                                                                                                                                                                                                                                           </t>
    </r>
    <r>
      <rPr>
        <rFont val="Calibri"/>
        <color rgb="FF000000"/>
        <sz val="12.0"/>
      </rPr>
      <t xml:space="preserve">2010. </t>
    </r>
    <r>
      <rPr>
        <rFont val="Calibri"/>
        <color rgb="FF000000"/>
        <sz val="12.0"/>
      </rPr>
      <t xml:space="preserve">Culture, </t>
    </r>
    <r>
      <rPr>
        <rFont val="Calibri"/>
        <i/>
        <color rgb="FF000000"/>
        <sz val="12.0"/>
      </rPr>
      <t xml:space="preserve">Health and Sexuality </t>
    </r>
    <r>
      <rPr>
        <rFont val="Calibri"/>
        <color rgb="FF000000"/>
        <sz val="12.0"/>
      </rPr>
      <t xml:space="preserve">12(1):15-27.              </t>
    </r>
  </si>
  <si>
    <t>31</t>
  </si>
  <si>
    <t>Maithufi</t>
  </si>
  <si>
    <t>Sopelekae</t>
  </si>
  <si>
    <t>PhD (Wits, 2009), African Literature</t>
  </si>
  <si>
    <t xml:space="preserve">Frieda Ekotto, Romance Languages </t>
  </si>
  <si>
    <t>spmaithufi54@gmail.com</t>
  </si>
  <si>
    <t xml:space="preserve">The South African Short Story and its Mediation of the Hegemonic Tendencies </t>
  </si>
  <si>
    <t xml:space="preserve">in 2018, he joined the Akanyang Centre for Teaching [ACT], a teacher-education centre aimed at fostering the growth of competent, practice proficient young teaching professionals. ACT endeavours to intentionally inculcate South African innovation-in-practice whilst promoting international teaching benchmarks, experience and educational science. ACT is an educational collaboration between the Royal Bafokeng Institute and Lebone II College of the Royal Bafokeng and provides an on-campus weekly programme for student-teachers whilst acting as the learning centre for the distance education 4-year Bachelor of Education (Foundation Phase) degree programme from North-West University Potchefstroom Campus, Faculty of Education. </t>
  </si>
  <si>
    <r>
      <rPr>
        <rFont val="Calibri"/>
        <color rgb="FF000000"/>
        <sz val="12.0"/>
      </rPr>
      <t xml:space="preserve">2002. </t>
    </r>
    <r>
      <rPr>
        <rFont val="Calibri"/>
        <i/>
        <color rgb="FF000000"/>
        <sz val="12.0"/>
      </rPr>
      <t>English Studies in Africa</t>
    </r>
    <r>
      <rPr>
        <rFont val="Calibri"/>
        <color rgb="FF000000"/>
        <sz val="12.0"/>
      </rPr>
      <t xml:space="preserve"> 45(2):13-32.                                                                                                                                                                                                                 </t>
    </r>
    <r>
      <rPr>
        <rFont val="Calibri"/>
        <color rgb="FF000000"/>
        <sz val="12.0"/>
      </rPr>
      <t>2004.</t>
    </r>
    <r>
      <rPr>
        <rFont val="Calibri"/>
        <color rgb="FF000000"/>
        <sz val="12.0"/>
      </rPr>
      <t xml:space="preserve"> </t>
    </r>
    <r>
      <rPr>
        <rFont val="Calibri"/>
        <i/>
        <color rgb="FF000000"/>
        <sz val="12.0"/>
      </rPr>
      <t>English in Africa</t>
    </r>
    <r>
      <rPr>
        <rFont val="Calibri"/>
        <color rgb="FF000000"/>
        <sz val="12.0"/>
      </rPr>
      <t xml:space="preserve"> 31(1): 139-47. </t>
    </r>
  </si>
  <si>
    <t xml:space="preserve"> </t>
  </si>
  <si>
    <t>32</t>
  </si>
  <si>
    <t>Mampane</t>
  </si>
  <si>
    <t>Ruth</t>
  </si>
  <si>
    <t>PhD (UP, 2010), Educational Psychology</t>
  </si>
  <si>
    <t>Tabbye Chavous Sellers, Psychology, Education</t>
  </si>
  <si>
    <t>Ruth.mapane@up.ac.za</t>
  </si>
  <si>
    <t>The relationship between the Educational Context and Resilience</t>
  </si>
  <si>
    <t>Update on LinkedIn Sept 2017: Assistant Professor at University of Pretoria (promotion)</t>
  </si>
  <si>
    <r>
      <rPr>
        <rFont val="Calibri"/>
        <color rgb="FF000000"/>
        <sz val="12.0"/>
      </rPr>
      <t>2006</t>
    </r>
    <r>
      <rPr>
        <rFont val="Calibri"/>
        <color rgb="FF000000"/>
        <sz val="12.0"/>
      </rPr>
      <t xml:space="preserve">. </t>
    </r>
    <r>
      <rPr>
        <rFont val="Calibri"/>
        <i/>
        <color rgb="FF000000"/>
        <sz val="12.0"/>
      </rPr>
      <t>South African Journal of Education</t>
    </r>
    <r>
      <rPr>
        <rFont val="Calibri"/>
        <color rgb="FF000000"/>
        <sz val="12.0"/>
      </rPr>
      <t xml:space="preserve"> 26(3):443-56.                                                                                                                                                                                                                                                                      </t>
    </r>
    <r>
      <rPr>
        <rFont val="Calibri"/>
        <color rgb="FF000000"/>
        <sz val="12.0"/>
      </rPr>
      <t>2008</t>
    </r>
    <r>
      <rPr>
        <rFont val="Calibri"/>
        <color rgb="FF000000"/>
        <sz val="12.0"/>
      </rPr>
      <t>. Chapter in edited vol, From Microscope to Kaleidoscope: Reconsidering Educational aspects related to children in the HIV&amp;AIDS Pandemic, London: Sense Publishers.</t>
    </r>
  </si>
  <si>
    <t>33</t>
  </si>
  <si>
    <t>Modisane</t>
  </si>
  <si>
    <t>Litheko</t>
  </si>
  <si>
    <t>PhD (UCT, 2010), Public Intellectual Life, Lang and Lit</t>
  </si>
  <si>
    <t>Robin Means Coleman, CAAS; Daniel Herwitz, Instit for the Humanities, History of Art</t>
  </si>
  <si>
    <t>litheko.modisane@uct.ac.za</t>
  </si>
  <si>
    <t>Black Centered Films and the Public Sphere in South Africa</t>
  </si>
  <si>
    <t>Now senior lecturer at UCT</t>
  </si>
  <si>
    <r>
      <rPr>
        <rFont val="Calibri"/>
        <color rgb="FFFF0000"/>
        <sz val="12.0"/>
      </rPr>
      <t>Book</t>
    </r>
    <r>
      <rPr>
        <rFont val="Calibri"/>
        <color rgb="FF000000"/>
        <sz val="12.0"/>
      </rPr>
      <t xml:space="preserve">, </t>
    </r>
    <r>
      <rPr>
        <rFont val="Calibri"/>
        <color rgb="FF000000"/>
        <sz val="12.0"/>
      </rPr>
      <t xml:space="preserve">Modisane, L (2013), </t>
    </r>
    <r>
      <rPr>
        <rFont val="Calibri"/>
        <i/>
        <color rgb="FF000000"/>
        <sz val="12.0"/>
      </rPr>
      <t>South Africa’s Renegade Reels: The Making and Public Lives of Black-Centred Films</t>
    </r>
    <r>
      <rPr>
        <rFont val="Calibri"/>
        <color rgb="FF000000"/>
        <sz val="12.0"/>
      </rPr>
      <t>, Palgrave Macmillan (New York).</t>
    </r>
  </si>
  <si>
    <r>
      <rPr>
        <rFont val="Calibri"/>
        <color rgb="FF000000"/>
        <sz val="12.0"/>
      </rPr>
      <t>2007</t>
    </r>
    <r>
      <rPr>
        <rFont val="Calibri"/>
        <color rgb="FF000000"/>
        <sz val="12.0"/>
      </rPr>
      <t>. Co-authored chapter in edited volume.</t>
    </r>
  </si>
  <si>
    <t>34</t>
  </si>
  <si>
    <t>Ogoe</t>
  </si>
  <si>
    <t>Henry</t>
  </si>
  <si>
    <t>old: UG new: U Pittsburgh</t>
  </si>
  <si>
    <t>MSc, Computer Science</t>
  </si>
  <si>
    <t>Albert Shih, Mech &amp; Biomed Engin; Elijah Kannaty-Asibu, Mech Enging</t>
  </si>
  <si>
    <t>atoogoe@gmail.com</t>
  </si>
  <si>
    <t>233 248 825 8733</t>
  </si>
  <si>
    <t>Evaluation of Effective Algorithms for Improving Specificity of Intelligent Patient Monitoring Systems in a Critical Care Environment.</t>
  </si>
  <si>
    <r>
      <rPr>
        <rFont val="Calibri"/>
        <color rgb="FFFF0000"/>
        <sz val="12.0"/>
      </rPr>
      <t>(21)</t>
    </r>
    <r>
      <rPr>
        <rFont val="Calibri"/>
        <color rgb="FF000000"/>
        <sz val="12.0"/>
      </rPr>
      <t xml:space="preserve"> PhD U Pittsburgh, 2016</t>
    </r>
  </si>
  <si>
    <t>PhD is in Biomedical Informatics; now faculty at U Pittsburgh</t>
  </si>
  <si>
    <r>
      <rPr>
        <rFont val="Calibri"/>
        <color rgb="FF000000"/>
        <sz val="12.0"/>
      </rPr>
      <t>Ogoe, H,</t>
    </r>
    <r>
      <rPr>
        <rFont val="Calibri"/>
        <color rgb="FF000000"/>
        <sz val="12.0"/>
      </rPr>
      <t xml:space="preserve"> O Agyapong, and FT Lutterodt. "Continuity of Care in Ghana: The Promise of Smart-med." </t>
    </r>
    <r>
      <rPr>
        <rFont val="Calibri"/>
        <i/>
        <color rgb="FF000000"/>
        <sz val="12.0"/>
      </rPr>
      <t>International Journal of Engineering &amp; Technology</t>
    </r>
    <r>
      <rPr>
        <rFont val="Calibri"/>
        <color rgb="FF000000"/>
        <sz val="12.0"/>
      </rPr>
      <t xml:space="preserve"> 3.4 (2014): 473. Web. </t>
    </r>
    <r>
      <rPr>
        <rFont val="Calibri"/>
        <color rgb="FF000000"/>
        <sz val="12.0"/>
      </rPr>
      <t>Ogoe, HA</t>
    </r>
    <r>
      <rPr>
        <rFont val="Calibri"/>
        <color rgb="FF000000"/>
        <sz val="12.0"/>
      </rPr>
      <t xml:space="preserve">, S Visweswaran, X Lu, and V Gopalakrishnan. "Knowledge Transfer via Classification Rules Using Functional Mapping for Integrative Modeling of Gene Expression Data." </t>
    </r>
    <r>
      <rPr>
        <rFont val="Calibri"/>
        <i/>
        <color rgb="FF000000"/>
        <sz val="12.0"/>
      </rPr>
      <t>BMC Bioinformatics</t>
    </r>
    <r>
      <rPr>
        <rFont val="Calibri"/>
        <color rgb="FF000000"/>
        <sz val="12.0"/>
      </rPr>
      <t xml:space="preserve"> 16.1 (2015): n. pag. Web.</t>
    </r>
  </si>
  <si>
    <r>
      <rPr>
        <rFont val="Calibri"/>
        <color rgb="FF000000"/>
        <sz val="12.0"/>
      </rPr>
      <t xml:space="preserve">Pineda, AL, </t>
    </r>
    <r>
      <rPr>
        <rFont val="Calibri"/>
        <color rgb="FF000000"/>
        <sz val="12.0"/>
      </rPr>
      <t>HA Ogoe</t>
    </r>
    <r>
      <rPr>
        <rFont val="Calibri"/>
        <color rgb="FF000000"/>
        <sz val="12.0"/>
      </rPr>
      <t xml:space="preserve">, JB Balasubramanian, CR Escarea, S Visweswaran, JG Herman, and V Gopalakrishnan. "On Predicting Lung Cancer Subtypes Using academic (?) Data from Tumor and Tumor-adjacent Histologically-normal Tissue." </t>
    </r>
    <r>
      <rPr>
        <rFont val="Calibri"/>
        <i/>
        <color rgb="FF000000"/>
        <sz val="12.0"/>
      </rPr>
      <t>BMC Cancer</t>
    </r>
    <r>
      <rPr>
        <rFont val="Calibri"/>
        <color rgb="FF000000"/>
        <sz val="12.0"/>
      </rPr>
      <t xml:space="preserve"> 16.1 (2016): n. pag. Web.</t>
    </r>
  </si>
  <si>
    <t>no publications (does have list of software development)</t>
  </si>
  <si>
    <t>35</t>
  </si>
  <si>
    <t>Phiri</t>
  </si>
  <si>
    <t>Nongo</t>
  </si>
  <si>
    <t>Uni Venda</t>
  </si>
  <si>
    <t>MA, Mental Health-Community  Development</t>
  </si>
  <si>
    <t>Brian Perron, School of Social Work</t>
  </si>
  <si>
    <t>Cynthia.phiri@univen.ac.za</t>
  </si>
  <si>
    <t>Homelessness: Emerging Constraints and Opportunities for Development</t>
  </si>
  <si>
    <t>Currently PhD candidate in the School of Social Work, Lund U, Sweden</t>
  </si>
  <si>
    <t>36</t>
  </si>
  <si>
    <t>Rahman</t>
  </si>
  <si>
    <t>Adam</t>
  </si>
  <si>
    <t>MA, Art</t>
  </si>
  <si>
    <t xml:space="preserve">Cary Engleberg, Internal Medicine </t>
  </si>
  <si>
    <t>Ad2gh@yahoo.com</t>
  </si>
  <si>
    <t>233 244 674 790 or Art number, 024 467 4790</t>
  </si>
  <si>
    <t>Enhancing Medical Science Education in Ghana: Development  of Interactive Design Template Models for OER</t>
  </si>
  <si>
    <t>not currently working on PhD; Student connection: Allison Martino got her PhD from U-M in 2018, w/diss Stamping History: Stories of Social Change in Ghana's Adinkra Cloth--thanking George Kushiator and Adam Rahman; her committee at U-M was chaired by Ray Silverman, who knew Kushiator and Rahman thru UMAPS.</t>
  </si>
  <si>
    <t>Student connection: Allison Martino got her PhD from U-M in 2018, w/diss Stamping History: Stories of Social Change in Ghana's Adinkra Cloth--thanking George Kushiator and Adam Rahman; her committee at U-M was chaired by Ray Silverman, who knew Kushiator and Rahman thru UMAPS.K Ludewig Omollo, A Rahman, CA Yebuah, “Producing OER ‘from Scratch’: the case of Health Sciences at University of Ghana and Kwame Nkrumah University of Science and Technology (KNUST)”, article in volume: UNESCO/COL, Vancouver, Canada 2012. ISBN 978-1-894975-53-7</t>
  </si>
  <si>
    <t>37</t>
  </si>
  <si>
    <t>Sayndee</t>
  </si>
  <si>
    <t>Telteltee</t>
  </si>
  <si>
    <t>U of Liberia</t>
  </si>
  <si>
    <t>MSc, Forest Industries</t>
  </si>
  <si>
    <t>Alan Stam</t>
  </si>
  <si>
    <t>sayndeetd@yahoo.com</t>
  </si>
  <si>
    <t>2316513677/ 23177513677</t>
  </si>
  <si>
    <t>Rebuilding Social Capital within the Context of Peace, Security, Gender and Development</t>
  </si>
  <si>
    <t>not currently working on PhD</t>
  </si>
  <si>
    <r>
      <rPr>
        <rFont val="Calibri"/>
        <color rgb="FF000000"/>
        <sz val="12.0"/>
      </rPr>
      <t>per email d.d. 9/10/2016 "complete on a</t>
    </r>
    <r>
      <rPr>
        <rFont val="Calibri"/>
        <color rgb="FFFF0000"/>
        <sz val="12.0"/>
      </rPr>
      <t xml:space="preserve"> book</t>
    </r>
    <r>
      <rPr>
        <rFont val="Calibri"/>
        <color rgb="FF000000"/>
        <sz val="12.0"/>
      </rPr>
      <t xml:space="preserve"> titled "The Ebola crisis in Liberia and social mobilization": edited volume w John Perry</t>
    </r>
  </si>
  <si>
    <r>
      <rPr>
        <rFont val="Calibri"/>
        <color rgb="FF000000"/>
        <sz val="12.0"/>
      </rPr>
      <t xml:space="preserve">2007. </t>
    </r>
    <r>
      <rPr>
        <rFont val="Calibri"/>
        <color rgb="FFFF0000"/>
        <sz val="12.0"/>
      </rPr>
      <t>Books</t>
    </r>
    <r>
      <rPr>
        <rFont val="Calibri"/>
        <color rgb="FF000000"/>
        <sz val="12.0"/>
      </rPr>
      <t xml:space="preserve">: </t>
    </r>
    <r>
      <rPr>
        <rFont val="Calibri"/>
        <i/>
        <color rgb="FF000000"/>
        <sz val="12.0"/>
      </rPr>
      <t>African Renaissance</t>
    </r>
    <r>
      <rPr>
        <rFont val="Calibri"/>
        <color rgb="FF000000"/>
        <sz val="12.0"/>
      </rPr>
      <t xml:space="preserve"> 4(3-4): n.p. Plus </t>
    </r>
    <r>
      <rPr>
        <rFont val="Calibri"/>
        <color rgb="FF000000"/>
        <sz val="12.0"/>
      </rPr>
      <t>2</t>
    </r>
    <r>
      <rPr>
        <rFont val="Calibri"/>
        <color rgb="FF000000"/>
        <sz val="12.0"/>
      </rPr>
      <t xml:space="preserve"> chapters in 2 edited volumes, both ed. Kenneth Omoje (2007 and 2009).</t>
    </r>
  </si>
  <si>
    <t>Listed as "forthcoming" (not checked yet, no info except title:) Religion and the Politics of Reconstruction in Liberia</t>
  </si>
  <si>
    <t>38</t>
  </si>
  <si>
    <t>Asiimwe</t>
  </si>
  <si>
    <t>Florence</t>
  </si>
  <si>
    <t>Makerere</t>
  </si>
  <si>
    <t>Uganda</t>
  </si>
  <si>
    <t>2011-2012</t>
  </si>
  <si>
    <t>PhD (UCT, 2008), Sociology</t>
  </si>
  <si>
    <t>Martin Murray (Urban Planning/DAAS)</t>
  </si>
  <si>
    <t>asiimwe@ss.mak.ac.ug florenceakiiki@gmail.com</t>
  </si>
  <si>
    <t>mobile: 256 772 407 926, work: 256 414 540650</t>
  </si>
  <si>
    <t>The Untold Stories: Gender Dynamics in Homeownership in Urban Uganda</t>
  </si>
  <si>
    <t>Was elected Woman Member of Parliament, Masindi District  for 2021-2026</t>
  </si>
  <si>
    <r>
      <rPr>
        <rFont val="Calibri"/>
        <color rgb="FF000000"/>
        <sz val="12.0"/>
      </rPr>
      <t>2009</t>
    </r>
    <r>
      <rPr>
        <rFont val="Calibri"/>
        <color rgb="FF000000"/>
        <sz val="12.0"/>
      </rPr>
      <t xml:space="preserve">. MAWAZO 9 (1): 67-85.                                                                                                                                                                                                                                                                                                                  </t>
    </r>
    <r>
      <rPr>
        <rFont val="Calibri"/>
        <color rgb="FF000000"/>
        <sz val="12.0"/>
      </rPr>
      <t>2010</t>
    </r>
    <r>
      <rPr>
        <rFont val="Calibri"/>
        <color rgb="FF000000"/>
        <sz val="12.0"/>
      </rPr>
      <t xml:space="preserve">. </t>
    </r>
    <r>
      <rPr>
        <rFont val="Calibri"/>
        <i/>
        <color rgb="FF000000"/>
        <sz val="12.0"/>
      </rPr>
      <t xml:space="preserve">African Sociological Review </t>
    </r>
    <r>
      <rPr>
        <rFont val="Calibri"/>
        <color rgb="FF000000"/>
        <sz val="12.0"/>
      </rPr>
      <t xml:space="preserve">13(1): 124-42.                                                                                                                                                                                                                                                                                  </t>
    </r>
    <r>
      <rPr>
        <rFont val="Calibri"/>
        <color rgb="FF000000"/>
        <sz val="12.0"/>
      </rPr>
      <t>2009</t>
    </r>
    <r>
      <rPr>
        <rFont val="Calibri"/>
        <color rgb="FF000000"/>
        <sz val="12.0"/>
      </rPr>
      <t>.</t>
    </r>
    <r>
      <rPr>
        <rFont val="Calibri"/>
        <i/>
        <color rgb="FF000000"/>
        <sz val="12.0"/>
      </rPr>
      <t xml:space="preserve"> International Journal of Social Inquir</t>
    </r>
    <r>
      <rPr>
        <rFont val="Calibri"/>
        <color rgb="FF000000"/>
        <sz val="12.0"/>
      </rPr>
      <t xml:space="preserve">y 2(2): 75-104.                                                                                                                                                                                                                                                                                           </t>
    </r>
    <r>
      <rPr>
        <rFont val="Calibri"/>
        <color rgb="FF000000"/>
        <sz val="12.0"/>
      </rPr>
      <t>2006</t>
    </r>
    <r>
      <rPr>
        <rFont val="Calibri"/>
        <color rgb="FF000000"/>
        <sz val="12.0"/>
      </rPr>
      <t xml:space="preserve">. </t>
    </r>
    <r>
      <rPr>
        <rFont val="Calibri"/>
        <i/>
        <color rgb="FF000000"/>
        <sz val="12.0"/>
      </rPr>
      <t>The Scoial Sciences Medwell</t>
    </r>
    <r>
      <rPr>
        <rFont val="Calibri"/>
        <color rgb="FF000000"/>
        <sz val="12.0"/>
      </rPr>
      <t xml:space="preserve"> on-line 1(2): 144-8. Plus </t>
    </r>
    <r>
      <rPr>
        <rFont val="Calibri"/>
        <color rgb="FF000000"/>
        <sz val="12.0"/>
      </rPr>
      <t>1</t>
    </r>
    <r>
      <rPr>
        <rFont val="Calibri"/>
        <color rgb="FF000000"/>
        <sz val="12.0"/>
      </rPr>
      <t xml:space="preserve"> chapter in edited volume and </t>
    </r>
    <r>
      <rPr>
        <rFont val="Calibri"/>
        <color rgb="FF000000"/>
        <sz val="12.0"/>
      </rPr>
      <t>1</t>
    </r>
    <r>
      <rPr>
        <rFont val="Calibri"/>
        <color rgb="FF000000"/>
        <sz val="12.0"/>
      </rPr>
      <t xml:space="preserve"> </t>
    </r>
    <r>
      <rPr>
        <rFont val="Calibri"/>
        <color rgb="FFFF0000"/>
        <sz val="12.0"/>
      </rPr>
      <t>"Guidebook</t>
    </r>
    <r>
      <rPr>
        <rFont val="Calibri"/>
        <color rgb="FF000000"/>
        <sz val="12.0"/>
      </rPr>
      <t xml:space="preserve"> for Community Organization for District Extension Workers" Kampala, Uganda: Fountain Publishers.</t>
    </r>
  </si>
  <si>
    <t>39</t>
  </si>
  <si>
    <t>Ballah</t>
  </si>
  <si>
    <t>Joseph</t>
  </si>
  <si>
    <t>Steve Wright, Civil &amp; Env. Eng.</t>
  </si>
  <si>
    <t>davidlwiles@yahoo.com</t>
  </si>
  <si>
    <t>Combating Coastal Erosion in Monrovia</t>
  </si>
  <si>
    <t>Since deceased</t>
  </si>
  <si>
    <t>40</t>
  </si>
  <si>
    <t>Fiagbe</t>
  </si>
  <si>
    <t>Yensuenyeagbe</t>
  </si>
  <si>
    <t>PhD (KNUST, 2010), Mechanical Engineering</t>
  </si>
  <si>
    <t>Bram van Leer (Aerospace Engineering)</t>
  </si>
  <si>
    <t xml:space="preserve">not remained in touch </t>
  </si>
  <si>
    <t>yakfiagbe.soe@knust.edu.gh</t>
  </si>
  <si>
    <t>mobile: 233 24 483 3980</t>
  </si>
  <si>
    <t>Further Development of Sectional Parametric Design Method for Small Aircraft Configuration</t>
  </si>
  <si>
    <r>
      <rPr>
        <rFont val="Calibri"/>
        <color rgb="FF000000"/>
        <sz val="12.0"/>
      </rPr>
      <t xml:space="preserve">Amerdorme, S, and </t>
    </r>
    <r>
      <rPr>
        <rFont val="Calibri"/>
        <color rgb="FF000000"/>
        <sz val="12.0"/>
      </rPr>
      <t>YAK Fiagbe</t>
    </r>
    <r>
      <rPr>
        <rFont val="Calibri"/>
        <color rgb="FF000000"/>
        <sz val="12.0"/>
      </rPr>
      <t xml:space="preserve">. "Challenges Facing Technical and Vocational Education in Ghana." </t>
    </r>
    <r>
      <rPr>
        <rFont val="Calibri"/>
        <i/>
        <color rgb="FF000000"/>
        <sz val="12.0"/>
      </rPr>
      <t>International Journal of Scientific &amp; Technology Research</t>
    </r>
    <r>
      <rPr>
        <rFont val="Calibri"/>
        <color rgb="FF000000"/>
        <sz val="12.0"/>
      </rPr>
      <t xml:space="preserve"> 2.6 (2013): n. pag. Web. Uba, FA, </t>
    </r>
    <r>
      <rPr>
        <rFont val="Calibri"/>
        <color rgb="FF000000"/>
        <sz val="12.0"/>
      </rPr>
      <t>YAK Fiagbe</t>
    </r>
    <r>
      <rPr>
        <rFont val="Calibri"/>
        <color rgb="FF000000"/>
        <sz val="12.0"/>
      </rPr>
      <t xml:space="preserve">, and EA Sarsah. "Simplified Procedure For Estimating Air-Conditioning Cooling Load in Ghana." </t>
    </r>
    <r>
      <rPr>
        <rFont val="Calibri"/>
        <i/>
        <color rgb="FF000000"/>
        <sz val="12.0"/>
      </rPr>
      <t>International Journal of Scientific &amp; Technology Research</t>
    </r>
    <r>
      <rPr>
        <rFont val="Calibri"/>
        <color rgb="FF000000"/>
        <sz val="12.0"/>
      </rPr>
      <t xml:space="preserve"> 2.9 (2013): n. pag. Web. Amerdorme, SK, and</t>
    </r>
    <r>
      <rPr>
        <rFont val="Calibri"/>
        <color rgb="FF000000"/>
        <sz val="12.0"/>
      </rPr>
      <t xml:space="preserve"> YAK Fiagbe</t>
    </r>
    <r>
      <rPr>
        <rFont val="Calibri"/>
        <color rgb="FF000000"/>
        <sz val="12.0"/>
      </rPr>
      <t xml:space="preserve">. "Investigation of Braking System (Efficiency) of Converted Mercedes Benz Buses (207)." </t>
    </r>
    <r>
      <rPr>
        <rFont val="Calibri"/>
        <i/>
        <color rgb="FF000000"/>
        <sz val="12.0"/>
      </rPr>
      <t>International Journal of Scientific &amp; Technology Research</t>
    </r>
    <r>
      <rPr>
        <rFont val="Calibri"/>
        <color rgb="FF000000"/>
        <sz val="12.0"/>
      </rPr>
      <t xml:space="preserve"> 2.11 (2013): n. pag. Web</t>
    </r>
  </si>
  <si>
    <r>
      <rPr>
        <rFont val="Calibri"/>
        <color rgb="FF000000"/>
        <sz val="12.0"/>
      </rPr>
      <t xml:space="preserve">Natsoukpoe, KE, Ketowoglo Y Azoumah, E Ramde, </t>
    </r>
    <r>
      <rPr>
        <rFont val="Calibri"/>
        <color rgb="FF000000"/>
        <sz val="12.0"/>
      </rPr>
      <t>YAK Fiagbe</t>
    </r>
    <r>
      <rPr>
        <rFont val="Calibri"/>
        <color rgb="FF000000"/>
        <sz val="12.0"/>
      </rPr>
      <t xml:space="preserve">, P Neveu, X Py, M Gaye, and A Jourdan. "Integrated Design and Construction of a Micro-central Tower Power Plant." </t>
    </r>
    <r>
      <rPr>
        <rFont val="Calibri"/>
        <i/>
        <color rgb="FF000000"/>
        <sz val="12.0"/>
      </rPr>
      <t>Energy for Sustainable Development</t>
    </r>
    <r>
      <rPr>
        <rFont val="Calibri"/>
        <color rgb="FF000000"/>
        <sz val="12.0"/>
      </rPr>
      <t xml:space="preserve"> 31 (2016): 1-13. Web; Amedorme, SK, and </t>
    </r>
    <r>
      <rPr>
        <rFont val="Calibri"/>
        <color rgb="FF000000"/>
        <sz val="12.0"/>
      </rPr>
      <t>YAK Fiagbe</t>
    </r>
    <r>
      <rPr>
        <rFont val="Calibri"/>
        <color rgb="FF000000"/>
        <sz val="12.0"/>
      </rPr>
      <t xml:space="preserve">. "Modification of an Existing Small Hydraulic Jack for Lifting Light Duty Vehicle." </t>
    </r>
    <r>
      <rPr>
        <rFont val="Calibri"/>
        <i/>
        <color rgb="FF000000"/>
        <sz val="12.0"/>
      </rPr>
      <t>International Journal of Scientific &amp; Technology Research</t>
    </r>
    <r>
      <rPr>
        <rFont val="Calibri"/>
        <color rgb="FF000000"/>
        <sz val="12.0"/>
      </rPr>
      <t xml:space="preserve"> 5.11 (2016): n. pag. Web; Tabie, VM, and </t>
    </r>
    <r>
      <rPr>
        <rFont val="Calibri"/>
        <color rgb="FF000000"/>
        <sz val="12.0"/>
      </rPr>
      <t>YAK Fiagbe</t>
    </r>
    <r>
      <rPr>
        <rFont val="Calibri"/>
        <color rgb="FF000000"/>
        <sz val="12.0"/>
      </rPr>
      <t xml:space="preserve">. "Weight Optimization Of A Lift-Tipping Mechanism For Small Solid Waste Collection Truck." </t>
    </r>
    <r>
      <rPr>
        <rFont val="Calibri"/>
        <i/>
        <color rgb="FF000000"/>
        <sz val="12.0"/>
      </rPr>
      <t>International Journal of Scientific &amp; Technology Research</t>
    </r>
    <r>
      <rPr>
        <rFont val="Calibri"/>
        <color rgb="FF000000"/>
        <sz val="12.0"/>
      </rPr>
      <t xml:space="preserve"> 3.7 (2017): n. pag. Web.</t>
    </r>
  </si>
  <si>
    <r>
      <rPr>
        <rFont val="Calibri"/>
        <color rgb="FF000000"/>
        <sz val="12.0"/>
      </rPr>
      <t>2006</t>
    </r>
    <r>
      <rPr>
        <rFont val="Calibri"/>
        <color rgb="FF000000"/>
        <sz val="12.0"/>
      </rPr>
      <t xml:space="preserve">. JUST 26(2): n.p.                                                                                                                                                                                                                                                                                                                                 </t>
    </r>
    <r>
      <rPr>
        <rFont val="Calibri"/>
        <color rgb="FF000000"/>
        <sz val="12.0"/>
      </rPr>
      <t>2005</t>
    </r>
    <r>
      <rPr>
        <rFont val="Calibri"/>
        <color rgb="FF000000"/>
        <sz val="12.0"/>
      </rPr>
      <t>. JUST 25(2): n.p.</t>
    </r>
  </si>
  <si>
    <t>41</t>
  </si>
  <si>
    <t>Ken (Deceased)</t>
  </si>
  <si>
    <t>Morris</t>
  </si>
  <si>
    <t>Mphil, Curriculum Studies</t>
  </si>
  <si>
    <t>Susan Neuman, School of Education</t>
  </si>
  <si>
    <t>morrisken2007@yahoo.com</t>
  </si>
  <si>
    <t>Access Liberia readiness for early childhood education</t>
  </si>
  <si>
    <t>42</t>
  </si>
  <si>
    <t>Kushiator</t>
  </si>
  <si>
    <t>George</t>
  </si>
  <si>
    <t>MFA</t>
  </si>
  <si>
    <t>Jim Cogswell &amp; Franc Nunoo-Quarcoo (Art &amp; Design)</t>
  </si>
  <si>
    <t>gkushiator1@gmail.com</t>
  </si>
  <si>
    <t>024 474 3597, mobile: 233 244 743 597</t>
  </si>
  <si>
    <t>Integrated Media: Digital Adaptation for Painting</t>
  </si>
  <si>
    <r>
      <rPr>
        <rFont val="Calibri"/>
        <color rgb="FFFF0000"/>
        <sz val="12.0"/>
      </rPr>
      <t xml:space="preserve">(22) </t>
    </r>
    <r>
      <rPr>
        <rFont val="Calibri"/>
        <color rgb="FF000000"/>
        <sz val="12.0"/>
      </rPr>
      <t>PhD KNUST, 2015</t>
    </r>
  </si>
  <si>
    <t>Student connection: Allison Martino got her PhD from U-M in 2018, w/diss Stamping History: Stories of Social Change in Ghana's Adinkra Cloth--thanking George Kushiator and Adam Rahman; her committee at U-M was chaired by Ray Silverman, who knew Kushiator and Rahman thru UMAPS. PhD is in Painting (College of Art); per email to HF in Dec 2017: still lecturer, and also serves as a Moderator to Radford University College Accra, Ghana  (affiliated to KNUST) in charge of the Bsc Graphic Design Program 2012--2018</t>
  </si>
  <si>
    <t xml:space="preserve">no publications, but instead he has exhibitions, at the Danish Ghanaian Art Festival: Galleri Claus-C  and Langeland Museum, in Denmark, in 2015; and at Alliance Francaise in Ghana and at KNUST Museum, in 2016 </t>
  </si>
  <si>
    <t>43</t>
  </si>
  <si>
    <t>Mensah</t>
  </si>
  <si>
    <t>Abraham</t>
  </si>
  <si>
    <t>PhD (King's College, U of London, 1999), Pharmacognosy</t>
  </si>
  <si>
    <t>David Sherman (Pharmacy/Chemical Biology)</t>
  </si>
  <si>
    <t xml:space="preserve">I've remained in touch with him. 1 Joint publication (in Nature Communications). Also submitted a proposal to UMAPS to fund a visit to Ghana for one of my graduate students (Dr. Eli Eisman).  Eli spent three months exploring traditional therapeutics for buruli ulcer disease in Ghana. This experience inspired Eli to pursue a medical degree, and he is now focusing on this career path. Finally, We are developing Ghana soil microbes as a potential source for new biological active natural product molecules. </t>
  </si>
  <si>
    <t>aymensah.pharm@knust.edu.gh</t>
  </si>
  <si>
    <t>mobile: 233 244 67 46 30, work: 233 3220 60366</t>
  </si>
  <si>
    <t>Investigation and Characterization of the Antimicrobial Constituents of Some Ghanaian Medicinal Plants</t>
  </si>
  <si>
    <t>From 2018 CV update: currently Head of Pharmacognosy Department, KNUST (since 2013); also foundation fellow of the Ghana College of Pharmacists (2015), and fellow of the Pharmaceutical Society of Ghana (2015); Ghanaian project leader for a DAAD/German Min of Ed funded project  “Cultivation of plants containing bioactive ingredients for development of cosmetic products” (Phytochem SSA2015-33-074,- Teaching, Research and Product Development”) (2017-22, 800,000 Euros). Also coordinator of the Vice-Chancellor’s Central laboratory project at KNUST (US$ 6.5 million, 2013-15). Awarded a Commonwealth Fellowship, U Bradford, 2012. Promoted to Associate Prof in 2011 (Pharmacognosy, KNUST); Rec'd certificate in Logistics and Supply Chain Management in Health Commodities (USAID/DELIVER) in 2013; Rec'd "Building Stronger Universities Work Package II Pilot Studies" thru U Copenhagen/KNUST program on “Antimicrobial Resistance” in 2016; DAAD sponsored Academic visit to the Lab of Prof Dr Spiteller Infu, U of Technology, Dortmund, Germany in 2015; Awarded African Studies seed grant to research "Ethnopharmaceutical investigation of the treatment of Buruli ulcers in sub-Saharan Africa" Apr 2013- March 2014; Awarded Commonwealth Fellowship, University of Bradford, UK,  Mar 2012-Aug 2012.</t>
  </si>
  <si>
    <r>
      <rPr>
        <rFont val="Calibri"/>
        <color rgb="FFFF0000"/>
        <sz val="12.0"/>
      </rPr>
      <t>26 post-UMAPS pubs tota</t>
    </r>
    <r>
      <rPr>
        <rFont val="Calibri"/>
        <color rgb="FF000000"/>
        <sz val="12.0"/>
      </rPr>
      <t xml:space="preserve">l, as follows: </t>
    </r>
    <r>
      <rPr>
        <rFont val="Calibri"/>
        <color rgb="FF000000"/>
        <sz val="12.0"/>
      </rPr>
      <t xml:space="preserve">Park, S. R., Tripathi, A., Wu, J., Pamela J. Schultz, P. J., Isaiah Yim, I., McQuade, T. J., Yu, F., Arevang, C. J., </t>
    </r>
    <r>
      <rPr>
        <rFont val="Calibri"/>
        <color rgb="FF000000"/>
        <sz val="12.0"/>
      </rPr>
      <t>Mensah,</t>
    </r>
    <r>
      <rPr>
        <rFont val="Calibri"/>
        <color rgb="FF000000"/>
        <sz val="12.0"/>
      </rPr>
      <t xml:space="preserve"> A. Y., Tamayo-Castillo, G., Xi, C., Sherman, D. H. 2016. Discovery of cahuitamycins A-E, potent biofilm inhibitors derived from a convergent biosynthetic pathway. Nature Communications. 7:10710.ARMAH, F. A., AMPONSAH, I. K., </t>
    </r>
    <r>
      <rPr>
        <rFont val="Calibri"/>
        <color rgb="FF000000"/>
        <sz val="12.0"/>
      </rPr>
      <t>MENSAH,</t>
    </r>
    <r>
      <rPr>
        <rFont val="Calibri"/>
        <color rgb="FF000000"/>
        <sz val="12.0"/>
      </rPr>
      <t xml:space="preserve"> A.Y., DICKSON, R.A., STEENKAMP, P.A., MADALA, N.E. &amp; ADOKOH. (2018) Leishmanicidal activity of the root bark of Erythrophleum ivorense (Fabaceae) and the identification of some of its compounds by ultr-performance liquid chromatography quadrupole time of flight mass spectrometry (UPLC-QTOF-MS/MS) </t>
    </r>
    <r>
      <rPr>
        <rFont val="Calibri"/>
        <i/>
        <color rgb="FF000000"/>
        <sz val="12.0"/>
      </rPr>
      <t xml:space="preserve">Journal of Ethnopharmacology </t>
    </r>
    <r>
      <rPr>
        <rFont val="Calibri"/>
        <color rgb="FF000000"/>
        <sz val="12.0"/>
      </rPr>
      <t xml:space="preserve">211:207-216. TETTEH, A.W., </t>
    </r>
    <r>
      <rPr>
        <rFont val="Calibri"/>
        <color rgb="FF000000"/>
        <sz val="12.0"/>
      </rPr>
      <t>MENSAH,</t>
    </r>
    <r>
      <rPr>
        <rFont val="Calibri"/>
        <color rgb="FF000000"/>
        <sz val="12.0"/>
      </rPr>
      <t xml:space="preserve"> M.L., BOADU, K.O., THOMFORD, K.P., AGYEMANG, M.O., ANNAN, K., DICKSON, R., </t>
    </r>
    <r>
      <rPr>
        <rFont val="Calibri"/>
        <color rgb="FF000000"/>
        <sz val="12.0"/>
      </rPr>
      <t>MENSAH,</t>
    </r>
    <r>
      <rPr>
        <rFont val="Calibri"/>
        <color rgb="FF000000"/>
        <sz val="12.0"/>
      </rPr>
      <t xml:space="preserve"> A.Y., AMPOSAH, I.K., EKUADZI, E. AND OWUSU-ANSAH, E.D. (2017) Clinical Evaluation of the Safety and Effectiveness of Adutwumwaa Malamix: A Polyherbal Product for the Treatment of Uncomplicated Malaria in Ghana. </t>
    </r>
    <r>
      <rPr>
        <rFont val="Calibri"/>
        <i/>
        <color rgb="FF000000"/>
        <sz val="12.0"/>
      </rPr>
      <t>Journal of Applied Pharmaceutical Science</t>
    </r>
    <r>
      <rPr>
        <rFont val="Calibri"/>
        <color rgb="FF000000"/>
        <sz val="12.0"/>
      </rPr>
      <t xml:space="preserve">, 7(07):040-045. MIREKU, E. A., </t>
    </r>
    <r>
      <rPr>
        <rFont val="Calibri"/>
        <color rgb="FF000000"/>
        <sz val="12.0"/>
      </rPr>
      <t>MENSAH,</t>
    </r>
    <r>
      <rPr>
        <rFont val="Calibri"/>
        <color rgb="FF000000"/>
        <sz val="12.0"/>
      </rPr>
      <t xml:space="preserve"> A.Y., </t>
    </r>
    <r>
      <rPr>
        <rFont val="Calibri"/>
        <color rgb="FF000000"/>
        <sz val="12.0"/>
      </rPr>
      <t>MENSAH,</t>
    </r>
    <r>
      <rPr>
        <rFont val="Calibri"/>
        <color rgb="FF000000"/>
        <sz val="12.0"/>
      </rPr>
      <t xml:space="preserve"> M. L. K., AMPONSAH, I. K. &amp; MINTAH, D. N. (2017) Phytochemical constituents and anti-oxidative properties of Landolphia heudelotti roots </t>
    </r>
    <r>
      <rPr>
        <rFont val="Calibri"/>
        <i/>
        <color rgb="FF000000"/>
        <sz val="12.0"/>
      </rPr>
      <t>International Journal Pharmaceutical Sciences and Researc</t>
    </r>
    <r>
      <rPr>
        <rFont val="Calibri"/>
        <color rgb="FF000000"/>
        <sz val="12.0"/>
      </rPr>
      <t xml:space="preserve"> 8(7) 2862-2866. RAMOS, E.K., AMPOFO, E. K., </t>
    </r>
    <r>
      <rPr>
        <rFont val="Calibri"/>
        <color rgb="FF000000"/>
        <sz val="12.0"/>
      </rPr>
      <t>MENSAH,</t>
    </r>
    <r>
      <rPr>
        <rFont val="Calibri"/>
        <color rgb="FF000000"/>
        <sz val="12.0"/>
      </rPr>
      <t xml:space="preserve"> A. Y., SARPONG, F.M. &amp; AMPONSAH, I.K., (2017) Anti-inflammatory and anti-oxidant activity of Dialium dinklagei Harms. (leguminosae) </t>
    </r>
    <r>
      <rPr>
        <rFont val="Calibri"/>
        <i/>
        <color rgb="FF000000"/>
        <sz val="12.0"/>
      </rPr>
      <t xml:space="preserve">World Journal of Pharmaceutical Sciences </t>
    </r>
    <r>
      <rPr>
        <rFont val="Calibri"/>
        <color rgb="FF000000"/>
        <sz val="12.0"/>
      </rPr>
      <t xml:space="preserve">5(4): 6-12. KUMATHIA, E.K., ANNAN, K., DICKSON, R.A., </t>
    </r>
    <r>
      <rPr>
        <rFont val="Calibri"/>
        <color rgb="FF000000"/>
        <sz val="12.0"/>
      </rPr>
      <t>MENSAH,</t>
    </r>
    <r>
      <rPr>
        <rFont val="Calibri"/>
        <color rgb="FF000000"/>
        <sz val="12.0"/>
      </rPr>
      <t xml:space="preserve"> A. Y., AMPONSAH, I.K., APPIAH, A.A., TUNG, N.H., TUNG, N.H., EDOH, D.A. &amp; HABTEMARIAM S. (2017) Antiinflammatory and analgesic effects in rodent models of ethanol extracts of Clausena anisata roots and their chemical constituents</t>
    </r>
    <r>
      <rPr>
        <rFont val="Calibri"/>
        <i/>
        <color rgb="FF000000"/>
        <sz val="12.0"/>
      </rPr>
      <t xml:space="preserve"> Natural Products Communications</t>
    </r>
    <r>
      <rPr>
        <rFont val="Calibri"/>
        <color rgb="FF000000"/>
        <sz val="12.0"/>
      </rPr>
      <t xml:space="preserve">12(1): 67-72. Mireku, EA, MLK Mensah, and AY </t>
    </r>
    <r>
      <rPr>
        <rFont val="Calibri"/>
        <color rgb="FF000000"/>
        <sz val="12.0"/>
      </rPr>
      <t>Mensah</t>
    </r>
    <r>
      <rPr>
        <rFont val="Calibri"/>
        <color rgb="FF000000"/>
        <sz val="12.0"/>
      </rPr>
      <t xml:space="preserve"> (2016). "Prenylated Indole Alkaloids from the Stem Bark of Hexalobus Monopetalus." </t>
    </r>
    <r>
      <rPr>
        <rFont val="Calibri"/>
        <i/>
        <color rgb="FF000000"/>
        <sz val="12.0"/>
      </rPr>
      <t xml:space="preserve">Phytochemistry Letters </t>
    </r>
    <r>
      <rPr>
        <rFont val="Calibri"/>
        <color rgb="FF000000"/>
        <sz val="12.0"/>
      </rPr>
      <t xml:space="preserve">16: 108-14. PARK, S. R., TRIPATHI, A., WU, J., SCHULTZ, P., YIM, I., MCQUADE, T.J., YU, F., AREVANG, C. </t>
    </r>
    <r>
      <rPr>
        <rFont val="Calibri"/>
        <color rgb="FF000000"/>
        <sz val="12.0"/>
      </rPr>
      <t>MENSAH</t>
    </r>
    <r>
      <rPr>
        <rFont val="Calibri"/>
        <color rgb="FF000000"/>
        <sz val="12.0"/>
      </rPr>
      <t xml:space="preserve"> A.Y., TAMAYO-CASTILLO, G., XI, C &amp; SHERMAN, D. H. (2016) Discovery of Cahuitamycins as biofilm inhibitors derived from a convergent biosynthetic pathway. </t>
    </r>
    <r>
      <rPr>
        <rFont val="Calibri"/>
        <i/>
        <color rgb="FF000000"/>
        <sz val="12.0"/>
      </rPr>
      <t>Nature Communications</t>
    </r>
    <r>
      <rPr>
        <rFont val="Calibri"/>
        <color rgb="FF000000"/>
        <sz val="12.0"/>
      </rPr>
      <t xml:space="preserve"> 7:10710 Doi:10.1038/ncomms10710. ANOKWAH, D., </t>
    </r>
    <r>
      <rPr>
        <rFont val="Calibri"/>
        <color rgb="FF000000"/>
        <sz val="12.0"/>
      </rPr>
      <t>MENSAH,</t>
    </r>
    <r>
      <rPr>
        <rFont val="Calibri"/>
        <color rgb="FF000000"/>
        <sz val="12.0"/>
      </rPr>
      <t xml:space="preserve"> A. Y., AMPONSAH, I.K., MIREKU, E. A., &amp; MINTAH, D.N. (2016) Anti-inflammatory, anti-oxidant and antimicrobial activities of the stem bark of Psydrax subcordata </t>
    </r>
    <r>
      <rPr>
        <rFont val="Calibri"/>
        <i/>
        <color rgb="FF000000"/>
        <sz val="12.0"/>
      </rPr>
      <t>Pharmacia Lettre</t>
    </r>
    <r>
      <rPr>
        <rFont val="Calibri"/>
        <color rgb="FF000000"/>
        <sz val="12.0"/>
      </rPr>
      <t xml:space="preserve"> 8(20):21-28.  Amponsah, IK, AY </t>
    </r>
    <r>
      <rPr>
        <rFont val="Calibri"/>
        <color rgb="FF000000"/>
        <sz val="12.0"/>
      </rPr>
      <t>Mensah,</t>
    </r>
    <r>
      <rPr>
        <rFont val="Calibri"/>
        <color rgb="FF000000"/>
        <sz val="12.0"/>
      </rPr>
      <t xml:space="preserve"> EK Ampofo, SO Bekoe, FM Sarpong, Y Jibira (2016). "Pharmacognostic Studies of the Leaves and Seeds of Cassia Occidentalis (Linn.) (Leguminosae)." </t>
    </r>
    <r>
      <rPr>
        <rFont val="Calibri"/>
        <i/>
        <color rgb="FF000000"/>
        <sz val="12.0"/>
      </rPr>
      <t xml:space="preserve">Journal of Pharmacognosy and Phytochemistry </t>
    </r>
    <r>
      <rPr>
        <rFont val="Calibri"/>
        <color rgb="FF000000"/>
        <sz val="12.0"/>
      </rPr>
      <t xml:space="preserve">5.3: 250-56. ARMAH, F.A., ANNAN, K., DICKSON, R.A., </t>
    </r>
    <r>
      <rPr>
        <rFont val="Calibri"/>
        <color rgb="FF000000"/>
        <sz val="12.0"/>
      </rPr>
      <t>MENSAH,</t>
    </r>
    <r>
      <rPr>
        <rFont val="Calibri"/>
        <color rgb="FF000000"/>
        <sz val="12.0"/>
      </rPr>
      <t xml:space="preserve"> A.Y., AMEYAW, E.O. &amp; ANING, A.A. (2016) Anti-leishmanial, anti-inflammatory and antioxidant potential of Omphalocarpum ahia A. Chev </t>
    </r>
    <r>
      <rPr>
        <rFont val="Calibri"/>
        <i/>
        <color rgb="FF000000"/>
        <sz val="12.0"/>
      </rPr>
      <t>Der Pharmacia Lettre</t>
    </r>
    <r>
      <rPr>
        <rFont val="Calibri"/>
        <color rgb="FF000000"/>
        <sz val="12.0"/>
      </rPr>
      <t xml:space="preserve"> 8(2):161-168. Amponsah, IK, E Orman, AY </t>
    </r>
    <r>
      <rPr>
        <rFont val="Calibri"/>
        <color rgb="FF000000"/>
        <sz val="12.0"/>
      </rPr>
      <t>Mensah,</t>
    </r>
    <r>
      <rPr>
        <rFont val="Calibri"/>
        <color rgb="FF000000"/>
        <sz val="12.0"/>
      </rPr>
      <t xml:space="preserve"> FM Sarpong, FA Armah, and LM Sarpong (2016). "Development and Validation of a Radical Scavenging Antioxidant Assay Using Potassium Permanganate." </t>
    </r>
    <r>
      <rPr>
        <rFont val="Calibri"/>
        <i/>
        <color rgb="FF000000"/>
        <sz val="12.0"/>
      </rPr>
      <t>Journal of Scientific and Innovative Research</t>
    </r>
    <r>
      <rPr>
        <rFont val="Calibri"/>
        <color rgb="FF000000"/>
        <sz val="12.0"/>
      </rPr>
      <t xml:space="preserve"> 5.2: 36-42</t>
    </r>
  </si>
  <si>
    <r>
      <rPr>
        <rFont val="Calibri"/>
        <color rgb="FF000000"/>
        <sz val="12.0"/>
      </rPr>
      <t>KUMATHIA, E.K., ANNAN, K., DICKSON, R.A.,</t>
    </r>
    <r>
      <rPr>
        <rFont val="Calibri"/>
        <color rgb="FF000000"/>
        <sz val="12.0"/>
      </rPr>
      <t xml:space="preserve"> MENSAH, A. Y.</t>
    </r>
    <r>
      <rPr>
        <rFont val="Calibri"/>
        <color rgb="FF000000"/>
        <sz val="12.0"/>
      </rPr>
      <t xml:space="preserve">, AMPONSAH, I.K., APPIAH, A.A., TUNG, N.H., TUNG, N.H., OCLOO, A. &amp; HABTEMARIAM S. (2016) Anti-inflammatory and analgesic activities of Annickia polycarpa stem bark and its constituents </t>
    </r>
    <r>
      <rPr>
        <rFont val="Calibri"/>
        <i/>
        <color rgb="FF000000"/>
        <sz val="12.0"/>
      </rPr>
      <t xml:space="preserve">Der Pharmacia Lettre </t>
    </r>
    <r>
      <rPr>
        <rFont val="Calibri"/>
        <color rgb="FF000000"/>
        <sz val="12.0"/>
      </rPr>
      <t xml:space="preserve">8(12):42-52. MIREKU, E. A., KUSARI, S., ECKELMANN, D., </t>
    </r>
    <r>
      <rPr>
        <rFont val="Calibri"/>
        <color rgb="FF000000"/>
        <sz val="12.0"/>
      </rPr>
      <t>MENSAH, A.Y.</t>
    </r>
    <r>
      <rPr>
        <rFont val="Calibri"/>
        <color rgb="FF000000"/>
        <sz val="12.0"/>
      </rPr>
      <t xml:space="preserve">, TALONTSI, F. M., SPITELLER, M. (2015) Anti-inflammatory tirucallane triterpenoids from Anopyxis klaineana pierre (Engl.), (Rhizophoraceae) </t>
    </r>
    <r>
      <rPr>
        <rFont val="Calibri"/>
        <i/>
        <color rgb="FF000000"/>
        <sz val="12.0"/>
      </rPr>
      <t>Fitoterapia</t>
    </r>
    <r>
      <rPr>
        <rFont val="Calibri"/>
        <color rgb="FF000000"/>
        <sz val="12.0"/>
      </rPr>
      <t xml:space="preserve"> 106: 84-91. Armah, FA, K Annan,</t>
    </r>
    <r>
      <rPr>
        <rFont val="Calibri"/>
        <color rgb="FF000000"/>
        <sz val="12.0"/>
      </rPr>
      <t xml:space="preserve"> AY Mensah</t>
    </r>
    <r>
      <rPr>
        <rFont val="Calibri"/>
        <color rgb="FF000000"/>
        <sz val="12.0"/>
      </rPr>
      <t xml:space="preserve">, IK Amponsah, DA Tocher, and S Habtemariam (2015). "Erythroivorensin: A Novel Anti-inflammatory Diterpene from the Root-bark of Erythrophleum Ivorense (A Chev.)." </t>
    </r>
    <r>
      <rPr>
        <rFont val="Calibri"/>
        <i/>
        <color rgb="FF000000"/>
        <sz val="12.0"/>
      </rPr>
      <t>Fitoterapia</t>
    </r>
    <r>
      <rPr>
        <rFont val="Calibri"/>
        <color rgb="FF000000"/>
        <sz val="12.0"/>
      </rPr>
      <t xml:space="preserve"> 105: 37-42. JACKSON, B. N., ANNAN, K, </t>
    </r>
    <r>
      <rPr>
        <rFont val="Calibri"/>
        <color rgb="FF000000"/>
        <sz val="12.0"/>
      </rPr>
      <t>MENSAH, A.Y</t>
    </r>
    <r>
      <rPr>
        <rFont val="Calibri"/>
        <color rgb="FF000000"/>
        <sz val="12.0"/>
      </rPr>
      <t xml:space="preserve">., EKUADZI, E., MENSAH, M.L.K, &amp; HABTEMARIAM, S. (2015) A novel triterpene from the roots of Paullinia pinnata: 6a-(3’-methoxy-4’-hydroxybenzoyl)-lup-20(29)-ene-3-one. </t>
    </r>
    <r>
      <rPr>
        <rFont val="Calibri"/>
        <i/>
        <color rgb="FF000000"/>
        <sz val="12.0"/>
      </rPr>
      <t>Natural Products Communications</t>
    </r>
    <r>
      <rPr>
        <rFont val="Calibri"/>
        <color rgb="FF000000"/>
        <sz val="12.0"/>
      </rPr>
      <t xml:space="preserve"> 10(4): 563-564. TURKSON, B.K., KOFI, P.O., ACHAAB, E., WOYOME, Y., MENSAH, M.L.K., SARPONG, K., FLEISCHER, T., AMPONSAH, I.K., EKUADZI, E., DICKSON, R, </t>
    </r>
    <r>
      <rPr>
        <rFont val="Calibri"/>
        <color rgb="FF000000"/>
        <sz val="12.0"/>
      </rPr>
      <t>MENSAH, A.Y</t>
    </r>
    <r>
      <rPr>
        <rFont val="Calibri"/>
        <color rgb="FF000000"/>
        <sz val="12.0"/>
      </rPr>
      <t xml:space="preserve">. &amp; ANNAN, K. (2015) Clinical Evaluation of the Effectiveness and Safety of Mist Amen Fevermix, a Ghanaian Bi-herbal Products, Used in the Management of Uncomplicated Malaria </t>
    </r>
    <r>
      <rPr>
        <rFont val="Calibri"/>
        <i/>
        <color rgb="FF000000"/>
        <sz val="12.0"/>
      </rPr>
      <t>Journal of Natural Sciences Research</t>
    </r>
    <r>
      <rPr>
        <rFont val="Calibri"/>
        <color rgb="FF000000"/>
        <sz val="12.0"/>
      </rPr>
      <t xml:space="preserve"> 5(10): 1-7. Mensah, AY, Mireku, EA, and Okwuonu, V (2014). "Anti-inflammatory and Anti-oxidant Activities of Secamone Afzelii (Rhoem) Ascleipiadaceae." Journal of Medical and Biomedical Sciences 3.1: 23-30. Web. Mireku, EA, AY Mensah, MLK Mensah, E. Ekuadzi, and RA Dickson (2014). "Antimicrobial and Antioxidant Activities of the Stem Bark of Cussonia Bancoensis." Journal of Medical and Biomedical Sciences 3.2: 7-13. Web. Mensah, AY, and E Mireku (2014). "Some Neurological Effects of the Ethanolic Stem Bark Extract of Cussonia Bancoensis Aubrev and Pellgr (Araliaceae)." Journal of Pharmacognosy and Phytochemistry 2.6: 101-06. Web. Mireku, EA, Abraham Y. Mensah, MLK Mensah, DA Tocher, and S Habtemariam (2014). "Antiinflammatory Properties of the Stem-bark of Anopyxis Klaineana and Its Major Constituent, Methyl Angolensate." Phytotherapy Research 28.12: 1855-860. Web.Amponsah, IK, </t>
    </r>
    <r>
      <rPr>
        <rFont val="Calibri"/>
        <color rgb="FF000000"/>
        <sz val="12.0"/>
      </rPr>
      <t>AY Mensah</t>
    </r>
    <r>
      <rPr>
        <rFont val="Calibri"/>
        <color rgb="FF000000"/>
        <sz val="12.0"/>
      </rPr>
      <t xml:space="preserve">, A Otoo, MLK Mensah, and J Jonathan (2014). "Pharmacognostic Standardisation of </t>
    </r>
    <r>
      <rPr>
        <rFont val="Calibri"/>
        <i/>
        <color rgb="FF000000"/>
        <sz val="12.0"/>
      </rPr>
      <t xml:space="preserve">Hilleria Latifolia </t>
    </r>
    <r>
      <rPr>
        <rFont val="Calibri"/>
        <color rgb="FF000000"/>
        <sz val="12.0"/>
      </rPr>
      <t xml:space="preserve">(Lam.) H. Walt. (Phytolaccaceae)." </t>
    </r>
    <r>
      <rPr>
        <rFont val="Calibri"/>
        <i/>
        <color rgb="FF000000"/>
        <sz val="12.0"/>
      </rPr>
      <t xml:space="preserve">Asian Pacific Journal of Tropical Biomedicine </t>
    </r>
    <r>
      <rPr>
        <rFont val="Calibri"/>
        <color rgb="FF000000"/>
        <sz val="12.0"/>
      </rPr>
      <t>4.12: 941-46.                                                                                                                                                               
Evelyn Asante-Kwatia, Yakubu Jibira,  A. Y. Mensah,  Deborah Osei-Sarfoh (2019). Macaranga barteri stem bark extract exerts anti-inflammatory and anti-hyperalgesia activity in murine models. DOI:10.15562/phytomedicine.2019.104</t>
    </r>
  </si>
  <si>
    <r>
      <rPr>
        <rFont val="Calibri"/>
        <color rgb="FF000000"/>
        <sz val="12.0"/>
      </rPr>
      <t>2009.</t>
    </r>
    <r>
      <rPr>
        <rFont val="Calibri"/>
        <color rgb="FF000000"/>
        <sz val="12.0"/>
      </rPr>
      <t xml:space="preserve"> www.phcogji.com 1(3). n.p.                                                                                                                                                                                                                                                                                                                   </t>
    </r>
    <r>
      <rPr>
        <rFont val="Calibri"/>
        <color rgb="FF000000"/>
        <sz val="12.0"/>
      </rPr>
      <t>2008</t>
    </r>
    <r>
      <rPr>
        <rFont val="Calibri"/>
        <color rgb="FF000000"/>
        <sz val="12.0"/>
      </rPr>
      <t xml:space="preserve">. </t>
    </r>
    <r>
      <rPr>
        <rFont val="Calibri"/>
        <i/>
        <color rgb="FF000000"/>
        <sz val="12.0"/>
      </rPr>
      <t>Journal of Medicinal Plants Research</t>
    </r>
    <r>
      <rPr>
        <rFont val="Calibri"/>
        <color rgb="FF000000"/>
        <sz val="12.0"/>
      </rPr>
      <t xml:space="preserve"> 2(8):180-88.                                                                                                                                                                                                                                                                  </t>
    </r>
    <r>
      <rPr>
        <rFont val="Calibri"/>
        <color rgb="FF000000"/>
        <sz val="12.0"/>
      </rPr>
      <t xml:space="preserve">Year? </t>
    </r>
    <r>
      <rPr>
        <rFont val="Calibri"/>
        <i/>
        <color rgb="FF000000"/>
        <sz val="12.0"/>
      </rPr>
      <t>African Journal of Traditional, Complementary and Alternative Medicines</t>
    </r>
    <r>
      <rPr>
        <rFont val="Calibri"/>
        <color rgb="FF000000"/>
        <sz val="12.0"/>
      </rPr>
      <t xml:space="preserve"> 5(4):391-3.                                                                                                                                                                                                      </t>
    </r>
    <r>
      <rPr>
        <rFont val="Calibri"/>
        <color rgb="FF000000"/>
        <sz val="12.0"/>
      </rPr>
      <t>2007</t>
    </r>
    <r>
      <rPr>
        <rFont val="Calibri"/>
        <color rgb="FF000000"/>
        <sz val="12.0"/>
      </rPr>
      <t xml:space="preserve">. </t>
    </r>
    <r>
      <rPr>
        <rFont val="Calibri"/>
        <i/>
        <color rgb="FF000000"/>
        <sz val="12.0"/>
      </rPr>
      <t>Journal of Science and Technology</t>
    </r>
    <r>
      <rPr>
        <rFont val="Calibri"/>
        <color rgb="FF000000"/>
        <sz val="12.0"/>
      </rPr>
      <t xml:space="preserve"> (Ghana) 27(3):5-15. 2006. </t>
    </r>
    <r>
      <rPr>
        <rFont val="Calibri"/>
        <i/>
        <color rgb="FF000000"/>
        <sz val="12.0"/>
      </rPr>
      <t>Journal of Science and Technology</t>
    </r>
    <r>
      <rPr>
        <rFont val="Calibri"/>
        <color rgb="FF000000"/>
        <sz val="12.0"/>
      </rPr>
      <t xml:space="preserve"> (Ghana) 26(3):83-9.                                                                                                                                               </t>
    </r>
    <r>
      <rPr>
        <rFont val="Calibri"/>
        <color rgb="FF000000"/>
        <sz val="12.0"/>
      </rPr>
      <t>2006</t>
    </r>
    <r>
      <rPr>
        <rFont val="Calibri"/>
        <color rgb="FF000000"/>
        <sz val="12.0"/>
      </rPr>
      <t xml:space="preserve">. </t>
    </r>
    <r>
      <rPr>
        <rFont val="Calibri"/>
        <i/>
        <color rgb="FF000000"/>
        <sz val="12.0"/>
      </rPr>
      <t xml:space="preserve">Phytotherapy Research </t>
    </r>
    <r>
      <rPr>
        <rFont val="Calibri"/>
        <color rgb="FF000000"/>
        <sz val="12.0"/>
      </rPr>
      <t xml:space="preserve">20(11):941-4.                                                                                                                                                                                                                                                                                         </t>
    </r>
    <r>
      <rPr>
        <rFont val="Calibri"/>
        <color rgb="FF000000"/>
        <sz val="12.0"/>
      </rPr>
      <t>2006</t>
    </r>
    <r>
      <rPr>
        <rFont val="Calibri"/>
        <color rgb="FF000000"/>
        <sz val="12.0"/>
      </rPr>
      <t xml:space="preserve">. </t>
    </r>
    <r>
      <rPr>
        <rFont val="Calibri"/>
        <i/>
        <color rgb="FF000000"/>
        <sz val="12.0"/>
      </rPr>
      <t>Journal of Science and Technology</t>
    </r>
    <r>
      <rPr>
        <rFont val="Calibri"/>
        <color rgb="FF000000"/>
        <sz val="12.0"/>
      </rPr>
      <t xml:space="preserve"> (Ghana) 26(1):41-7.                                                                                                                                                                                                                                                                                                         </t>
    </r>
    <r>
      <rPr>
        <rFont val="Calibri"/>
        <color rgb="FF000000"/>
        <sz val="12.0"/>
      </rPr>
      <t>2006</t>
    </r>
    <r>
      <rPr>
        <rFont val="Calibri"/>
        <color rgb="FF000000"/>
        <sz val="12.0"/>
      </rPr>
      <t xml:space="preserve">. Boletin Latino Americano y del Caribe de Plantas Medicinales y Aromaticas 5:31-5.                                                                                                                                                                                                       </t>
    </r>
    <r>
      <rPr>
        <rFont val="Calibri"/>
        <color rgb="FF000000"/>
        <sz val="12.0"/>
      </rPr>
      <t>2006</t>
    </r>
    <r>
      <rPr>
        <rFont val="Calibri"/>
        <color rgb="FF000000"/>
        <sz val="12.0"/>
      </rPr>
      <t xml:space="preserve">. Boletin Latino Americano y del Caribe de Plantas Medicinales y Aromaticas 5:11-4.                                                                                                                                                                                                       </t>
    </r>
    <r>
      <rPr>
        <rFont val="Calibri"/>
        <color rgb="FF000000"/>
        <sz val="12.0"/>
      </rPr>
      <t>2004</t>
    </r>
    <r>
      <rPr>
        <rFont val="Calibri"/>
        <color rgb="FF000000"/>
        <sz val="12.0"/>
      </rPr>
      <t xml:space="preserve">. </t>
    </r>
    <r>
      <rPr>
        <rFont val="Calibri"/>
        <i/>
        <color rgb="FF000000"/>
        <sz val="12.0"/>
      </rPr>
      <t xml:space="preserve">Phytotherapy Research </t>
    </r>
    <r>
      <rPr>
        <rFont val="Calibri"/>
        <color rgb="FF000000"/>
        <sz val="12.0"/>
      </rPr>
      <t xml:space="preserve">18(12):1031-2.                                                                                                                                                                                                                                                                                             </t>
    </r>
    <r>
      <rPr>
        <rFont val="Calibri"/>
        <color rgb="FF000000"/>
        <sz val="12.0"/>
      </rPr>
      <t>2004</t>
    </r>
    <r>
      <rPr>
        <rFont val="Calibri"/>
        <color rgb="FF000000"/>
        <sz val="12.0"/>
      </rPr>
      <t xml:space="preserve">. </t>
    </r>
    <r>
      <rPr>
        <rFont val="Calibri"/>
        <i/>
        <color rgb="FF000000"/>
        <sz val="12.0"/>
      </rPr>
      <t>The Ghana Pharmaceutical Journal</t>
    </r>
    <r>
      <rPr>
        <rFont val="Calibri"/>
        <color rgb="FF000000"/>
        <sz val="12.0"/>
      </rPr>
      <t xml:space="preserve"> 28:22-36.                                                                                                                                                                                                                                                                                                   </t>
    </r>
    <r>
      <rPr>
        <rFont val="Calibri"/>
        <color rgb="FF000000"/>
        <sz val="12.0"/>
      </rPr>
      <t xml:space="preserve">2003. </t>
    </r>
    <r>
      <rPr>
        <rFont val="Calibri"/>
        <color rgb="FF000000"/>
        <sz val="12.0"/>
      </rPr>
      <t xml:space="preserve">Phytochemistry 64:358-93. </t>
    </r>
    <r>
      <rPr>
        <rFont val="Calibri"/>
        <i/>
        <color rgb="FF000000"/>
        <sz val="12.0"/>
      </rPr>
      <t xml:space="preserve">The Pharm. J </t>
    </r>
    <r>
      <rPr>
        <rFont val="Calibri"/>
        <color rgb="FF000000"/>
        <sz val="12.0"/>
      </rPr>
      <t xml:space="preserve">207:93-4 {"British"}.                                                                                                                                                                                                                                             </t>
    </r>
    <r>
      <rPr>
        <rFont val="Calibri"/>
        <color rgb="FF000000"/>
        <sz val="12.0"/>
      </rPr>
      <t>2001</t>
    </r>
    <r>
      <rPr>
        <rFont val="Calibri"/>
        <color rgb="FF000000"/>
        <sz val="12.0"/>
      </rPr>
      <t xml:space="preserve">. </t>
    </r>
    <r>
      <rPr>
        <rFont val="Calibri"/>
        <i/>
        <color rgb="FF000000"/>
        <sz val="12.0"/>
      </rPr>
      <t>Journal of Ethnopharmacology</t>
    </r>
    <r>
      <rPr>
        <rFont val="Calibri"/>
        <color rgb="FF000000"/>
        <sz val="12.0"/>
      </rPr>
      <t xml:space="preserve"> 77:219-26.                                                                                                                                                                                                                                                                                  </t>
    </r>
    <r>
      <rPr>
        <rFont val="Calibri"/>
        <color rgb="FF000000"/>
        <sz val="12.0"/>
      </rPr>
      <t>2000</t>
    </r>
    <r>
      <rPr>
        <rFont val="Calibri"/>
        <color rgb="FF000000"/>
        <sz val="12.0"/>
      </rPr>
      <t xml:space="preserve">. </t>
    </r>
    <r>
      <rPr>
        <rFont val="Calibri"/>
        <i/>
        <color rgb="FF000000"/>
        <sz val="12.0"/>
      </rPr>
      <t>Journal of Pharmacy and Pharmacology</t>
    </r>
    <r>
      <rPr>
        <rFont val="Calibri"/>
        <color rgb="FF000000"/>
        <sz val="12.0"/>
      </rPr>
      <t xml:space="preserve"> S 308.                                                                                                                                                                                                                                                                         </t>
    </r>
    <r>
      <rPr>
        <rFont val="Calibri"/>
        <color rgb="FF000000"/>
        <sz val="12.0"/>
      </rPr>
      <t>2000.</t>
    </r>
    <r>
      <rPr>
        <rFont val="Calibri"/>
        <color rgb="FF000000"/>
        <sz val="12.0"/>
      </rPr>
      <t xml:space="preserve"> </t>
    </r>
    <r>
      <rPr>
        <rFont val="Calibri"/>
        <i/>
        <color rgb="FF000000"/>
        <sz val="12.0"/>
      </rPr>
      <t>Journal of Natural Products</t>
    </r>
    <r>
      <rPr>
        <rFont val="Calibri"/>
        <color rgb="FF000000"/>
        <sz val="12.0"/>
      </rPr>
      <t xml:space="preserve"> 63, 1210-13.                                                                                                                                                                                                                                                                                   </t>
    </r>
    <r>
      <rPr>
        <rFont val="Calibri"/>
        <color rgb="FF000000"/>
        <sz val="12.0"/>
      </rPr>
      <t>1998</t>
    </r>
    <r>
      <rPr>
        <rFont val="Calibri"/>
        <color rgb="FF000000"/>
        <sz val="12.0"/>
      </rPr>
      <t xml:space="preserve">. </t>
    </r>
    <r>
      <rPr>
        <rFont val="Calibri"/>
        <i/>
        <color rgb="FF000000"/>
        <sz val="12.0"/>
      </rPr>
      <t>Journal of Pharmacy and Pharmacology</t>
    </r>
    <r>
      <rPr>
        <rFont val="Calibri"/>
        <color rgb="FF000000"/>
        <sz val="12.0"/>
      </rPr>
      <t xml:space="preserve"> 50 Supplement 83.                                                                                                                                                                                                                                                                      </t>
    </r>
    <r>
      <rPr>
        <rFont val="Calibri"/>
        <color rgb="FF000000"/>
        <sz val="12.0"/>
      </rPr>
      <t>1997</t>
    </r>
    <r>
      <rPr>
        <rFont val="Calibri"/>
        <color rgb="FF000000"/>
        <sz val="12.0"/>
      </rPr>
      <t xml:space="preserve">. </t>
    </r>
    <r>
      <rPr>
        <rFont val="Calibri"/>
        <i/>
        <color rgb="FF000000"/>
        <sz val="12.0"/>
      </rPr>
      <t>SOFW Journal</t>
    </r>
    <r>
      <rPr>
        <rFont val="Calibri"/>
        <color rgb="FF000000"/>
        <sz val="12.0"/>
      </rPr>
      <t xml:space="preserve"> 123:40-43. Plus 1 chapter in edited vol, Phythochemicals in Human Health Protection.                                                                                                                                                                       </t>
    </r>
    <r>
      <rPr>
        <rFont val="Calibri"/>
        <color rgb="FF000000"/>
        <sz val="12.0"/>
      </rPr>
      <t>1999</t>
    </r>
    <r>
      <rPr>
        <rFont val="Calibri"/>
        <color rgb="FF000000"/>
        <sz val="12.0"/>
      </rPr>
      <t xml:space="preserve">. Kluwers Academic/Plenum. </t>
    </r>
  </si>
  <si>
    <t>44</t>
  </si>
  <si>
    <t>Mfecane</t>
  </si>
  <si>
    <t>Sakhumzi</t>
  </si>
  <si>
    <t>UWC</t>
  </si>
  <si>
    <t>PhD (Wits, 2010), Social Anthropology</t>
  </si>
  <si>
    <t>Rachel Snow (SPH/PSC)</t>
  </si>
  <si>
    <t>smfecane@uwc.ac.za</t>
  </si>
  <si>
    <t>mobile: 27 733853029, work: 27 21 9593347</t>
  </si>
  <si>
    <t>Masculinities and Health Behavior in an African Context</t>
  </si>
  <si>
    <r>
      <rPr>
        <rFont val="Calibri"/>
        <color rgb="FF000000"/>
        <sz val="12.0"/>
      </rPr>
      <t>Mfecane, S</t>
    </r>
    <r>
      <rPr>
        <rFont val="Calibri"/>
        <color rgb="FF000000"/>
        <sz val="12.0"/>
      </rPr>
      <t xml:space="preserve">. "Can Women "refuse" Condoms? Dilemmas of Condom Negotiation among Men Living with HIV in South Africa." </t>
    </r>
    <r>
      <rPr>
        <rFont val="Calibri"/>
        <i/>
        <color rgb="FF000000"/>
        <sz val="12.0"/>
      </rPr>
      <t xml:space="preserve">Culture, Health &amp; Sexuality </t>
    </r>
    <r>
      <rPr>
        <rFont val="Calibri"/>
        <color rgb="FF000000"/>
        <sz val="12.0"/>
      </rPr>
      <t xml:space="preserve">15.3 (2013): 269-82. Web. </t>
    </r>
  </si>
  <si>
    <r>
      <rPr>
        <rFont val="Calibri"/>
        <color rgb="FF000000"/>
        <sz val="12.0"/>
      </rPr>
      <t>Skinner, D, C Sharp, S Jooste,</t>
    </r>
    <r>
      <rPr>
        <rFont val="Calibri"/>
        <color rgb="FF000000"/>
        <sz val="12.0"/>
      </rPr>
      <t xml:space="preserve"> S Mfecane</t>
    </r>
    <r>
      <rPr>
        <rFont val="Calibri"/>
        <color rgb="FF000000"/>
        <sz val="12.0"/>
      </rPr>
      <t xml:space="preserve">, and L Simbayi. "A Study of Descriptive Data for Orphans and Non-orphans on Key Criteria of Economic Vulnerability in Two Municipalities in South Africa." </t>
    </r>
    <r>
      <rPr>
        <rFont val="Calibri"/>
        <i/>
        <color rgb="FF000000"/>
        <sz val="12.0"/>
      </rPr>
      <t>Curationis</t>
    </r>
    <r>
      <rPr>
        <rFont val="Calibri"/>
        <color rgb="FF000000"/>
        <sz val="12.0"/>
      </rPr>
      <t xml:space="preserve"> 36.1 (2013): n. pag. Web.</t>
    </r>
  </si>
  <si>
    <r>
      <rPr>
        <rFont val="Calibri"/>
        <color rgb="FF000000"/>
        <sz val="12.0"/>
      </rPr>
      <t>2008</t>
    </r>
    <r>
      <rPr>
        <rFont val="Calibri"/>
        <color rgb="FF000000"/>
        <sz val="12.0"/>
      </rPr>
      <t>.</t>
    </r>
    <r>
      <rPr>
        <rFont val="Calibri"/>
        <i/>
        <color rgb="FF000000"/>
        <sz val="12.0"/>
      </rPr>
      <t xml:space="preserve"> Psychology in Society </t>
    </r>
    <r>
      <rPr>
        <rFont val="Calibri"/>
        <color rgb="FF000000"/>
        <sz val="12.0"/>
      </rPr>
      <t xml:space="preserve">(PINS) 36:45-9.                                                                                                                                                                                                                                                                                         </t>
    </r>
    <r>
      <rPr>
        <rFont val="Calibri"/>
        <color rgb="FF000000"/>
        <sz val="12.0"/>
      </rPr>
      <t>2006</t>
    </r>
    <r>
      <rPr>
        <rFont val="Calibri"/>
        <color rgb="FF000000"/>
        <sz val="12.0"/>
      </rPr>
      <t>.</t>
    </r>
    <r>
      <rPr>
        <rFont val="Calibri"/>
        <i/>
        <color rgb="FF000000"/>
        <sz val="12.0"/>
      </rPr>
      <t xml:space="preserve"> Aids and Behavior</t>
    </r>
    <r>
      <rPr>
        <rFont val="Calibri"/>
        <color rgb="FF000000"/>
        <sz val="12.0"/>
      </rPr>
      <t xml:space="preserve"> 10: 619-26.                                                                                                                                                                                                                                                                                                             </t>
    </r>
    <r>
      <rPr>
        <rFont val="Calibri"/>
        <color rgb="FF000000"/>
        <sz val="12.0"/>
      </rPr>
      <t>2005</t>
    </r>
    <r>
      <rPr>
        <rFont val="Calibri"/>
        <color rgb="FF000000"/>
        <sz val="12.0"/>
      </rPr>
      <t xml:space="preserve">. </t>
    </r>
    <r>
      <rPr>
        <rFont val="Calibri"/>
        <i/>
        <color rgb="FF000000"/>
        <sz val="12.0"/>
      </rPr>
      <t>Journal of AIDS research</t>
    </r>
    <r>
      <rPr>
        <rFont val="Calibri"/>
        <color rgb="FF000000"/>
        <sz val="12.0"/>
      </rPr>
      <t xml:space="preserve"> 4(3): 115-23.                                                                                                                                                                                                                                                                                       </t>
    </r>
    <r>
      <rPr>
        <rFont val="Calibri"/>
        <color rgb="FF000000"/>
        <sz val="12.0"/>
      </rPr>
      <t>2005</t>
    </r>
    <r>
      <rPr>
        <rFont val="Calibri"/>
        <color rgb="FF000000"/>
        <sz val="12.0"/>
      </rPr>
      <t xml:space="preserve">. </t>
    </r>
    <r>
      <rPr>
        <rFont val="Calibri"/>
        <i/>
        <color rgb="FF000000"/>
        <sz val="12.0"/>
      </rPr>
      <t xml:space="preserve">Aids and Behavior </t>
    </r>
    <r>
      <rPr>
        <rFont val="Calibri"/>
        <color rgb="FF000000"/>
        <sz val="12.0"/>
      </rPr>
      <t xml:space="preserve">9: 53-62.                                                                                                                                                                                                                                                                                                                                     </t>
    </r>
    <r>
      <rPr>
        <rFont val="Calibri"/>
        <color rgb="FF000000"/>
        <sz val="12.0"/>
      </rPr>
      <t>2005</t>
    </r>
    <r>
      <rPr>
        <rFont val="Calibri"/>
        <color rgb="FF000000"/>
        <sz val="12.0"/>
      </rPr>
      <t xml:space="preserve">. Health SA Gesondheid 10(1): 27-40.                                                                                                                                                                                                                                                                                           </t>
    </r>
    <r>
      <rPr>
        <rFont val="Calibri"/>
        <color rgb="FF000000"/>
        <sz val="12.0"/>
      </rPr>
      <t>2004</t>
    </r>
    <r>
      <rPr>
        <rFont val="Calibri"/>
        <color rgb="FF000000"/>
        <sz val="12.0"/>
      </rPr>
      <t>.</t>
    </r>
    <r>
      <rPr>
        <rFont val="Calibri"/>
        <i/>
        <color rgb="FF000000"/>
        <sz val="12.0"/>
      </rPr>
      <t xml:space="preserve"> Journal of Social Aspects of HIV/AIDS</t>
    </r>
    <r>
      <rPr>
        <rFont val="Calibri"/>
        <color rgb="FF000000"/>
        <sz val="12.0"/>
      </rPr>
      <t xml:space="preserve"> 1(3): 157-64. Plus </t>
    </r>
    <r>
      <rPr>
        <rFont val="Calibri"/>
        <color rgb="FF000000"/>
        <sz val="12.0"/>
      </rPr>
      <t xml:space="preserve">1 </t>
    </r>
    <r>
      <rPr>
        <rFont val="Calibri"/>
        <color rgb="FF000000"/>
        <sz val="12.0"/>
      </rPr>
      <t xml:space="preserve">chapter in edited vol. </t>
    </r>
  </si>
  <si>
    <t>45</t>
  </si>
  <si>
    <t>Muhoozi</t>
  </si>
  <si>
    <t>Christopher</t>
  </si>
  <si>
    <t>MA, History</t>
  </si>
  <si>
    <t>Derek Peterson (History/DAAS)</t>
  </si>
  <si>
    <t>muhoozicc@gmail.com</t>
  </si>
  <si>
    <t>256 772 687 057</t>
  </si>
  <si>
    <t>Negotiating Politics in Social Spaces in pre-colonial and colonial Ankole, Western Uganda</t>
  </si>
  <si>
    <t>currently a PhD candidate in the Dept of History, Northwestern U</t>
  </si>
  <si>
    <t>Pierre's notes, 2015: 1 paper published in 2011 --&gt; but where??, presentation at ASC Los Angeles in 2012</t>
  </si>
  <si>
    <t>46</t>
  </si>
  <si>
    <t>Nippae</t>
  </si>
  <si>
    <t>Adolphus</t>
  </si>
  <si>
    <t xml:space="preserve">Prof. Amir Mortazawi, EECS </t>
  </si>
  <si>
    <t>aanippae@yahoo.com</t>
  </si>
  <si>
    <t>Class J Radio Frequency Power Amplifier at Hight Frequency and Microwave Filters Design</t>
  </si>
  <si>
    <t>promoted to Instructor II/Interim Chairman, Department of Electrical Engineering, Division of Engineering, U of Liberia</t>
  </si>
  <si>
    <t>47</t>
  </si>
  <si>
    <t>Sambumbu (now: Madida)</t>
  </si>
  <si>
    <t xml:space="preserve">Sipokazi </t>
  </si>
  <si>
    <t>MA, Public &amp; Visual History</t>
  </si>
  <si>
    <t>Adam Ashforth (DAAS)</t>
  </si>
  <si>
    <t>spokyngqa@gmail.com</t>
  </si>
  <si>
    <t>A Decade in the Politics of Heritage 'Democratisation:' The South African Heritage Resources Agency, 1999-2009</t>
  </si>
  <si>
    <r>
      <rPr>
        <rFont val="Calibri"/>
        <color rgb="FFFF0000"/>
        <sz val="12.0"/>
      </rPr>
      <t>(23)</t>
    </r>
    <r>
      <rPr>
        <rFont val="Calibri"/>
        <color rgb="FF000000"/>
        <sz val="12.0"/>
      </rPr>
      <t xml:space="preserve"> PhD 2017, UWC (per email 9/14/2017)</t>
    </r>
  </si>
  <si>
    <t>PhD per email 9/14/2017; was Harvard South Africa Fellow with the Grad School of Arts and Sciences in 2014-15; then PhD student at UWC, now at Wits (per conversation w/HF, 20 Nov 2017: she is teaching History Education)</t>
  </si>
  <si>
    <t xml:space="preserve">Presented at ASC's mellon workshop on "Decolonizing Sites of Culture in Africa and Beyond" in November 2017. </t>
  </si>
  <si>
    <t>48</t>
  </si>
  <si>
    <t>State</t>
  </si>
  <si>
    <t>Andrew</t>
  </si>
  <si>
    <t>PhD (U Minnesota, 2005), Sociology</t>
  </si>
  <si>
    <t>Mary Wright (CRLT)/ Derek Peterson (History/DAAS)</t>
  </si>
  <si>
    <t>He and I remain very much in close contact; we’ve not written anything together, but he serves on the committee that is working to overhaul the Uganda Museum’s ethnography gallery, a project in which I am also involved. </t>
  </si>
  <si>
    <t>state@ss.mak.ac.ug; adyeeristate@gmail.com</t>
  </si>
  <si>
    <t>mobile: 256 772 988120, work: 256-414-540650</t>
  </si>
  <si>
    <t>Enhancing Teaching, Learning and Curriculum Development at Makerere University</t>
  </si>
  <si>
    <t>promoted to Dean of the School of Social Sciences, Makerere</t>
  </si>
  <si>
    <r>
      <rPr>
        <rFont val="Calibri"/>
        <color rgb="FF000000"/>
        <sz val="12.0"/>
      </rPr>
      <t>2010</t>
    </r>
    <r>
      <rPr>
        <rFont val="Calibri"/>
        <color rgb="FF000000"/>
        <sz val="12.0"/>
      </rPr>
      <t xml:space="preserve">. Social Capital Networks and Livelihood Patterns in Uganda: A comparative Analysis and understanding of a contemporary situation. Saarbrücken: VDM Publishing House Ltd. ISBN 978-3-639-24584-4 (book).                                                                                                                                                                                                                                                                                                                                                         </t>
    </r>
    <r>
      <rPr>
        <rFont val="Calibri"/>
        <color rgb="FF000000"/>
        <sz val="12.0"/>
      </rPr>
      <t xml:space="preserve">2009. </t>
    </r>
    <r>
      <rPr>
        <rFont val="Calibri"/>
        <i/>
        <color rgb="FF000000"/>
        <sz val="12.0"/>
      </rPr>
      <t>International Journal for Equity in Health</t>
    </r>
    <r>
      <rPr>
        <rFont val="Calibri"/>
        <color rgb="FF000000"/>
        <sz val="12.0"/>
      </rPr>
      <t xml:space="preserve"> 8:25 (BioMed Central).                                                                                                                                                                                                                                         </t>
    </r>
    <r>
      <rPr>
        <rFont val="Calibri"/>
        <color rgb="FF000000"/>
        <sz val="12.0"/>
      </rPr>
      <t xml:space="preserve">2008. </t>
    </r>
    <r>
      <rPr>
        <rFont val="Calibri"/>
        <i/>
        <color rgb="FF000000"/>
        <sz val="12.0"/>
      </rPr>
      <t xml:space="preserve">The East African Journal of Development Studies </t>
    </r>
    <r>
      <rPr>
        <rFont val="Calibri"/>
        <color rgb="FF000000"/>
        <sz val="12.0"/>
      </rPr>
      <t xml:space="preserve">(EAJDS) 1(2):53-73.                                                                                                                                                                                                                                 </t>
    </r>
    <r>
      <rPr>
        <rFont val="Calibri"/>
        <color rgb="FF000000"/>
        <sz val="12.0"/>
      </rPr>
      <t>2007</t>
    </r>
    <r>
      <rPr>
        <rFont val="Calibri"/>
        <color rgb="FF000000"/>
        <sz val="12.0"/>
      </rPr>
      <t xml:space="preserve">. Mawazo 8(2):72-88.                                                                                                                                                                                                                                                                                                                       </t>
    </r>
    <r>
      <rPr>
        <rFont val="Calibri"/>
        <color rgb="FF000000"/>
        <sz val="12.0"/>
      </rPr>
      <t>2007</t>
    </r>
    <r>
      <rPr>
        <rFont val="Calibri"/>
        <color rgb="FF000000"/>
        <sz val="12.0"/>
      </rPr>
      <t xml:space="preserve">. </t>
    </r>
    <r>
      <rPr>
        <rFont val="Calibri"/>
        <i/>
        <color rgb="FF000000"/>
        <sz val="12.0"/>
      </rPr>
      <t xml:space="preserve">Uganda Journal </t>
    </r>
    <r>
      <rPr>
        <rFont val="Calibri"/>
        <color rgb="FF000000"/>
        <sz val="12.0"/>
      </rPr>
      <t xml:space="preserve">51:27-37.                                                                                                                                                                                                                                                                                                             </t>
    </r>
    <r>
      <rPr>
        <rFont val="Calibri"/>
        <color rgb="FF000000"/>
        <sz val="12.0"/>
      </rPr>
      <t>1997</t>
    </r>
    <r>
      <rPr>
        <rFont val="Calibri"/>
        <color rgb="FF000000"/>
        <sz val="12.0"/>
      </rPr>
      <t xml:space="preserve">. Mawazo: 7(2):1-7. Plus, </t>
    </r>
    <r>
      <rPr>
        <rFont val="Calibri"/>
        <color rgb="FF000000"/>
        <sz val="12.0"/>
      </rPr>
      <t>4</t>
    </r>
    <r>
      <rPr>
        <rFont val="Calibri"/>
        <color rgb="FF000000"/>
        <sz val="12.0"/>
      </rPr>
      <t xml:space="preserve"> chapters in 4 edited volumes. </t>
    </r>
  </si>
  <si>
    <t>listed as "under review" (not checked yet): “Livelihoods, Ethnicity, and Migration Patterns in Uganda” a book chapter under review to be published in “Contemporary Sociological Issues and Problems in East Africa.”</t>
  </si>
  <si>
    <t>49</t>
  </si>
  <si>
    <t>Tamba</t>
  </si>
  <si>
    <t>Jackson</t>
  </si>
  <si>
    <t>Herb Winful</t>
  </si>
  <si>
    <t>jltamba@tubmanu.edu.lr</t>
  </si>
  <si>
    <t>Renewable energy as long term energy solution for Africa</t>
  </si>
  <si>
    <t>no academic publications (does list what appear to be textbooks for use at the university)</t>
  </si>
  <si>
    <t>50</t>
  </si>
  <si>
    <t>Tenkorang</t>
  </si>
  <si>
    <t>UCC</t>
  </si>
  <si>
    <t>MPhil, Development Studies</t>
  </si>
  <si>
    <t>Elisha Renne (Anthro/DAAS) &amp; Rebecca Hardin (SNRE)</t>
  </si>
  <si>
    <t>eytenkorang@yahoo.co.uk</t>
  </si>
  <si>
    <t>mobile: 233-244-624651</t>
  </si>
  <si>
    <t>Traditional Institutions and Environmental Governance in Mining</t>
  </si>
  <si>
    <r>
      <rPr>
        <rFont val="Calibri"/>
        <color rgb="FFFF0000"/>
        <sz val="12.0"/>
      </rPr>
      <t xml:space="preserve">(24) </t>
    </r>
    <r>
      <rPr>
        <rFont val="Calibri"/>
        <color rgb="FF000000"/>
        <sz val="12.0"/>
      </rPr>
      <t>PhD after UMAPS and before Feb 2017: Seed grant funding req rec'd Feb 2017, listing him as Dr (also per RH)</t>
    </r>
  </si>
  <si>
    <t>incoming as PhD candidate, finished some time afterward; post-UMAPS project coordinator for UCC for project w/International Center for Development and Decent Work (ICDD) at the University of Kassel, Germany; post-UMAPS became Dean of UCC School of Development Studies</t>
  </si>
  <si>
    <r>
      <rPr>
        <rFont val="Calibri"/>
        <color rgb="FF000000"/>
        <sz val="12.0"/>
      </rPr>
      <t xml:space="preserve">Wilson, M, E Renne, C Roncoli, P Agyei-Baffour, and </t>
    </r>
    <r>
      <rPr>
        <rFont val="Calibri"/>
        <color rgb="FF000000"/>
        <sz val="12.0"/>
      </rPr>
      <t>EY Tenkorang</t>
    </r>
    <r>
      <rPr>
        <rFont val="Calibri"/>
        <color rgb="FF000000"/>
        <sz val="12.0"/>
      </rPr>
      <t xml:space="preserve"> (2015) "Integrated Assessment of Artisanal and Small-Scale Gold Mining in Ghana-Part 3: Social Sciences and Economics," </t>
    </r>
    <r>
      <rPr>
        <rFont val="Calibri"/>
        <i/>
        <color rgb="FF000000"/>
        <sz val="12.0"/>
      </rPr>
      <t>International Journal of Enviromental Research and Public Health 12</t>
    </r>
    <r>
      <rPr>
        <rFont val="Calibri"/>
        <color rgb="FF000000"/>
        <sz val="12.0"/>
      </rPr>
      <t>(7), 8133-56.</t>
    </r>
  </si>
  <si>
    <r>
      <rPr>
        <rFont val="Calibri"/>
        <color rgb="FF000000"/>
        <sz val="12.0"/>
      </rPr>
      <t xml:space="preserve">Aheto, D, N Asare, B Quaynor, </t>
    </r>
    <r>
      <rPr>
        <rFont val="Calibri"/>
        <color rgb="FF000000"/>
        <sz val="12.0"/>
      </rPr>
      <t>E Tenkorang</t>
    </r>
    <r>
      <rPr>
        <rFont val="Calibri"/>
        <color rgb="FF000000"/>
        <sz val="12.0"/>
      </rPr>
      <t xml:space="preserve">, C Asare, and I Okyere. "Profitability of Small-Scale Fisheries in Elmina, Ghana." </t>
    </r>
    <r>
      <rPr>
        <rFont val="Calibri"/>
        <i/>
        <color rgb="FF000000"/>
        <sz val="12.0"/>
      </rPr>
      <t>Sustainability</t>
    </r>
    <r>
      <rPr>
        <rFont val="Calibri"/>
        <color rgb="FF000000"/>
        <sz val="12.0"/>
      </rPr>
      <t xml:space="preserve"> 4.12 (2012): 2785-794. Web. Dramanu, B. Y., &amp; </t>
    </r>
    <r>
      <rPr>
        <rFont val="Calibri"/>
        <color rgb="FF000000"/>
        <sz val="12.0"/>
      </rPr>
      <t>Tenkorang, E. Y</t>
    </r>
    <r>
      <rPr>
        <rFont val="Calibri"/>
        <color rgb="FF000000"/>
        <sz val="12.0"/>
      </rPr>
      <t xml:space="preserve">. (2011). Influence of family structure and gender on academic performance on Junior High School students in Northern Region of Ghana. UMYU </t>
    </r>
    <r>
      <rPr>
        <rFont val="Calibri"/>
        <i/>
        <color rgb="FF000000"/>
        <sz val="12.0"/>
      </rPr>
      <t>Journal of Educational Research,</t>
    </r>
    <r>
      <rPr>
        <rFont val="Calibri"/>
        <color rgb="FF000000"/>
        <sz val="12.0"/>
      </rPr>
      <t xml:space="preserve"> 3(1), 118-123.</t>
    </r>
  </si>
  <si>
    <r>
      <rPr>
        <rFont val="Calibri"/>
        <color rgb="FF000000"/>
        <sz val="12.0"/>
      </rPr>
      <t>2005</t>
    </r>
    <r>
      <rPr>
        <rFont val="Calibri"/>
        <color rgb="FF000000"/>
        <sz val="12.0"/>
      </rPr>
      <t>.</t>
    </r>
    <r>
      <rPr>
        <rFont val="Calibri"/>
        <i/>
        <color rgb="FF000000"/>
        <sz val="12.0"/>
      </rPr>
      <t xml:space="preserve"> Journal of Philosophy of Nature</t>
    </r>
    <r>
      <rPr>
        <rFont val="Calibri"/>
        <color rgb="FF000000"/>
        <sz val="12.0"/>
      </rPr>
      <t xml:space="preserve"> 2 (2): n.p. (University of Cape Coast).                                                                                                                                                                                                                                 </t>
    </r>
    <r>
      <rPr>
        <rFont val="Calibri"/>
        <color rgb="FF000000"/>
        <sz val="12.0"/>
      </rPr>
      <t>2009</t>
    </r>
    <r>
      <rPr>
        <rFont val="Calibri"/>
        <color rgb="FF000000"/>
        <sz val="12.0"/>
      </rPr>
      <t>. Flash,</t>
    </r>
    <r>
      <rPr>
        <rFont val="Calibri"/>
        <i/>
        <color rgb="FF000000"/>
        <sz val="12.0"/>
      </rPr>
      <t xml:space="preserve"> Journal of Philosophy and Religion</t>
    </r>
    <r>
      <rPr>
        <rFont val="Calibri"/>
        <color rgb="FF000000"/>
        <sz val="12.0"/>
      </rPr>
      <t xml:space="preserve">, 3 (1), 127-143. Plus </t>
    </r>
    <r>
      <rPr>
        <rFont val="Calibri"/>
        <color rgb="FF000000"/>
        <sz val="12.0"/>
      </rPr>
      <t>one</t>
    </r>
    <r>
      <rPr>
        <rFont val="Calibri"/>
        <color rgb="FF000000"/>
        <sz val="12.0"/>
      </rPr>
      <t xml:space="preserve"> chapter in edited vol.</t>
    </r>
  </si>
  <si>
    <r>
      <rPr>
        <rFont val="Calibri"/>
        <color rgb="FF000000"/>
        <sz val="12.0"/>
      </rPr>
      <t xml:space="preserve">listed as "submitted, 2008" (not checked yet): co-authored article for </t>
    </r>
    <r>
      <rPr>
        <rFont val="Calibri"/>
        <i/>
        <color rgb="FF000000"/>
        <sz val="12.0"/>
      </rPr>
      <t>Journal of Philosophy and Development.</t>
    </r>
    <r>
      <rPr>
        <rFont val="Calibri"/>
        <color rgb="FF000000"/>
        <sz val="12.0"/>
      </rPr>
      <t xml:space="preserve"> Olabisi Ona Banjo University, Ogun State, Nigeria.</t>
    </r>
  </si>
  <si>
    <t>51</t>
  </si>
  <si>
    <t>Aitpillah</t>
  </si>
  <si>
    <t>Francis</t>
  </si>
  <si>
    <t>2012-2013</t>
  </si>
  <si>
    <t>MBChB (U Ghana) Medicine</t>
  </si>
  <si>
    <t>Lisa Newman</t>
  </si>
  <si>
    <t>fraitp@yahoo.com</t>
  </si>
  <si>
    <t>233 244 8474 7433</t>
  </si>
  <si>
    <t>Chemo-resistance of breast cancer stem cells</t>
  </si>
  <si>
    <t>MBchB is terminal degree in field</t>
  </si>
  <si>
    <r>
      <rPr>
        <rFont val="Calibri"/>
        <color rgb="FF000000"/>
        <sz val="12.0"/>
      </rPr>
      <t xml:space="preserve">Jiagge, E, JK Oppong, J Bensenhaver, </t>
    </r>
    <r>
      <rPr>
        <rFont val="Calibri"/>
        <color rgb="FF000000"/>
        <sz val="12.0"/>
      </rPr>
      <t>F Aitpillah</t>
    </r>
    <r>
      <rPr>
        <rFont val="Calibri"/>
        <color rgb="FF000000"/>
        <sz val="12.0"/>
      </rPr>
      <t xml:space="preserve">, K Gyan, I Kyei, E Osei-Bonsu, E Adjei, M Ohene-Yeboah, K Toy, KE Jackson, M Akpaloo, D Acheampong, B Antwi, FO Agyeman, Z Alhassan, LA Fondjo, O Owusu-Afriyie, RN Brewer, A Gyamfuah, B Salem, T Johnson, M Wicha, S Merajver, C Kleer, J Pang, E Amankwaa-Frempong, A Stark, F Abantanga, L Newman, and B Awuah. "Breast Cancer and African Ancestry: Lessons Learned at the 10-Year Anniversary of the Ghana-Michigan Research Partnership and International Breast Registry." </t>
    </r>
    <r>
      <rPr>
        <rFont val="Calibri"/>
        <i/>
        <color rgb="FF000000"/>
        <sz val="12.0"/>
      </rPr>
      <t>Journal of Global Oncology</t>
    </r>
    <r>
      <rPr>
        <rFont val="Calibri"/>
        <color rgb="FF000000"/>
        <sz val="12.0"/>
      </rPr>
      <t xml:space="preserve"> 2.5 (2016): 302-10. Web.</t>
    </r>
  </si>
  <si>
    <t>52</t>
  </si>
  <si>
    <t>Arhin-Sam (now: Boamah)</t>
  </si>
  <si>
    <t>Vivian</t>
  </si>
  <si>
    <t>M.Pharm (KNUST, 2009), Pharmaceutical Microbiology</t>
  </si>
  <si>
    <t>Betsy Foxman</t>
  </si>
  <si>
    <t>veboamah.pharm@KNUST.edu.gh etsiapa@yahoo.com</t>
  </si>
  <si>
    <t>0244 98 11 67, cell</t>
  </si>
  <si>
    <t>Antiotiotic resistance of E. Coli in poultry</t>
  </si>
  <si>
    <r>
      <rPr>
        <rFont val="Calibri"/>
        <color rgb="FFFF0000"/>
        <sz val="12.0"/>
      </rPr>
      <t>(25)</t>
    </r>
    <r>
      <rPr>
        <rFont val="Calibri"/>
        <color rgb="FF000000"/>
        <sz val="12.0"/>
      </rPr>
      <t xml:space="preserve"> PhD 2016, KNUST</t>
    </r>
  </si>
  <si>
    <t xml:space="preserve">now Vivian Boamah; was external PhD candidate at the University of Copenhagen, Dept of Veterinary Disease Biology, where she defended her PhD in 2015; degree was granted by KNUST in 2016 tho </t>
  </si>
  <si>
    <r>
      <rPr>
        <rFont val="Calibri"/>
        <color rgb="FF000000"/>
        <sz val="12.0"/>
      </rPr>
      <t>Olarbi, AA, EO Bekoe, C. Agyare, N. Osafo, and</t>
    </r>
    <r>
      <rPr>
        <rFont val="Calibri"/>
        <color rgb="FF000000"/>
        <sz val="12.0"/>
      </rPr>
      <t xml:space="preserve"> VE Boamah</t>
    </r>
    <r>
      <rPr>
        <rFont val="Calibri"/>
        <color rgb="FF000000"/>
        <sz val="12.0"/>
      </rPr>
      <t xml:space="preserve">. "In Vivo Anti-inflammatory and Antioxidant Properties of Albizia Zygia D. C. Macbr." </t>
    </r>
    <r>
      <rPr>
        <rFont val="Calibri"/>
        <i/>
        <color rgb="FF000000"/>
        <sz val="12.0"/>
      </rPr>
      <t xml:space="preserve">Planta Medica </t>
    </r>
    <r>
      <rPr>
        <rFont val="Calibri"/>
        <color rgb="FF000000"/>
        <sz val="12.0"/>
      </rPr>
      <t xml:space="preserve">81.S 01 (2016): n. pag. Web. </t>
    </r>
    <r>
      <rPr>
        <rFont val="Calibri"/>
        <color rgb="FF000000"/>
        <sz val="12.0"/>
      </rPr>
      <t>VE, Boamah</t>
    </r>
    <r>
      <rPr>
        <rFont val="Calibri"/>
        <color rgb="FF000000"/>
        <sz val="12.0"/>
      </rPr>
      <t xml:space="preserve">, and Agyare C. "Antibiotic Practices and Factors Influencing the Use of Antibiotics in Selected Poultry Farms in Ghana." </t>
    </r>
    <r>
      <rPr>
        <rFont val="Calibri"/>
        <i/>
        <color rgb="FF000000"/>
        <sz val="12.0"/>
      </rPr>
      <t>Journal of Antimicrobial Agent</t>
    </r>
    <r>
      <rPr>
        <rFont val="Calibri"/>
        <color rgb="FF000000"/>
        <sz val="12.0"/>
      </rPr>
      <t>s 2.2 (2016): n. pag. Web.</t>
    </r>
  </si>
  <si>
    <r>
      <rPr>
        <rFont val="Calibri"/>
        <color rgb="FF000000"/>
        <sz val="12.0"/>
      </rPr>
      <t xml:space="preserve">Francis, A, HS George, A Christian, AA John, </t>
    </r>
    <r>
      <rPr>
        <rFont val="Calibri"/>
        <color rgb="FF000000"/>
        <sz val="12.0"/>
      </rPr>
      <t>VE Boamah</t>
    </r>
    <r>
      <rPr>
        <rFont val="Calibri"/>
        <color rgb="FF000000"/>
        <sz val="12.0"/>
      </rPr>
      <t>, and D. Ntinagyeimintah. "Influence of Methanol Fruit and Leaf Extracts of Myristica Fragrans (Myristicaceae) on the Activity of Some Antibiotics." A</t>
    </r>
    <r>
      <rPr>
        <rFont val="Calibri"/>
        <i/>
        <color rgb="FF000000"/>
        <sz val="12.0"/>
      </rPr>
      <t>frican Journal of Microbiology Research</t>
    </r>
    <r>
      <rPr>
        <rFont val="Calibri"/>
        <color rgb="FF000000"/>
        <sz val="12.0"/>
      </rPr>
      <t xml:space="preserve"> 8.19 (2014): 1982-986. Web.</t>
    </r>
  </si>
  <si>
    <r>
      <rPr>
        <rFont val="Calibri"/>
        <color rgb="FF000000"/>
        <sz val="12.0"/>
      </rPr>
      <t>2011</t>
    </r>
    <r>
      <rPr>
        <rFont val="Calibri"/>
        <color rgb="FF000000"/>
        <sz val="12.0"/>
      </rPr>
      <t>.</t>
    </r>
    <r>
      <rPr>
        <rFont val="Calibri"/>
        <i/>
        <color rgb="FF000000"/>
        <sz val="12.0"/>
      </rPr>
      <t xml:space="preserve"> Journal of Pharmaceutical Sciences and Research</t>
    </r>
    <r>
      <rPr>
        <rFont val="Calibri"/>
        <color rgb="FF000000"/>
        <sz val="12.0"/>
      </rPr>
      <t xml:space="preserve"> 3(3): 1087-92.                                                                                                                                                                                                                                           </t>
    </r>
    <r>
      <rPr>
        <rFont val="Calibri"/>
        <color rgb="FF000000"/>
        <sz val="12.0"/>
      </rPr>
      <t>2011</t>
    </r>
    <r>
      <rPr>
        <rFont val="Calibri"/>
        <color rgb="FF000000"/>
        <sz val="12.0"/>
      </rPr>
      <t>.</t>
    </r>
    <r>
      <rPr>
        <rFont val="Calibri"/>
        <i/>
        <color rgb="FF000000"/>
        <sz val="12.0"/>
      </rPr>
      <t xml:space="preserve"> International Journal of Pharmaceutical Sciences and Research</t>
    </r>
    <r>
      <rPr>
        <rFont val="Calibri"/>
        <color rgb="FF000000"/>
        <sz val="12.0"/>
      </rPr>
      <t xml:space="preserve"> 2(2): 282-7.                                                                                                                                                                                                                      </t>
    </r>
    <r>
      <rPr>
        <rFont val="Calibri"/>
        <color rgb="FF000000"/>
        <sz val="12.0"/>
      </rPr>
      <t>2010</t>
    </r>
    <r>
      <rPr>
        <rFont val="Calibri"/>
        <color rgb="FF000000"/>
        <sz val="12.0"/>
      </rPr>
      <t xml:space="preserve">. </t>
    </r>
    <r>
      <rPr>
        <rFont val="Calibri"/>
        <i/>
        <color rgb="FF000000"/>
        <sz val="12.0"/>
      </rPr>
      <t>International Journal of Pharmacy and Pharmaceutical Science</t>
    </r>
    <r>
      <rPr>
        <rFont val="Calibri"/>
        <color rgb="FF000000"/>
        <sz val="12.0"/>
      </rPr>
      <t xml:space="preserve">s 2(2): 98-101. </t>
    </r>
  </si>
  <si>
    <t>53</t>
  </si>
  <si>
    <t>Badu</t>
  </si>
  <si>
    <t>Mercy</t>
  </si>
  <si>
    <t>Phil Andrews</t>
  </si>
  <si>
    <t>mbadu0@gmail.com</t>
  </si>
  <si>
    <t>233 244 822 969</t>
  </si>
  <si>
    <t>Rubber biosynthetic pathway</t>
  </si>
  <si>
    <r>
      <rPr>
        <rFont val="Calibri"/>
        <color rgb="FFFF0000"/>
        <sz val="12.0"/>
      </rPr>
      <t xml:space="preserve">(26) </t>
    </r>
    <r>
      <rPr>
        <rFont val="Calibri"/>
        <color rgb="FF000000"/>
        <sz val="12.0"/>
      </rPr>
      <t>PhD 2015, KNUST</t>
    </r>
  </si>
  <si>
    <t xml:space="preserve">was awarded, in 2013, a L'Oreal UNESCO Regional Fellowship For Women in Science in Sub-Saharan Africa </t>
  </si>
  <si>
    <r>
      <rPr>
        <rFont val="Calibri"/>
        <color rgb="FF000000"/>
        <sz val="12.0"/>
      </rPr>
      <t>2011</t>
    </r>
    <r>
      <rPr>
        <rFont val="Calibri"/>
        <color rgb="FF000000"/>
        <sz val="12.0"/>
      </rPr>
      <t>.</t>
    </r>
    <r>
      <rPr>
        <rFont val="Calibri"/>
        <i/>
        <color rgb="FF000000"/>
        <sz val="12.0"/>
      </rPr>
      <t xml:space="preserve"> Food and NutritionSciences</t>
    </r>
    <r>
      <rPr>
        <rFont val="Calibri"/>
        <color rgb="FF000000"/>
        <sz val="12.0"/>
      </rPr>
      <t xml:space="preserve"> 2: 780-4.                                                                                                                                                                                                                                                                                         </t>
    </r>
    <r>
      <rPr>
        <rFont val="Calibri"/>
        <color rgb="FF000000"/>
        <sz val="12.0"/>
      </rPr>
      <t>2010</t>
    </r>
    <r>
      <rPr>
        <rFont val="Calibri"/>
        <color rgb="FF000000"/>
        <sz val="12.0"/>
      </rPr>
      <t>.</t>
    </r>
    <r>
      <rPr>
        <rFont val="Calibri"/>
        <i/>
        <color rgb="FF000000"/>
        <sz val="12.0"/>
      </rPr>
      <t xml:space="preserve"> Environmental Health Insights</t>
    </r>
    <r>
      <rPr>
        <rFont val="Calibri"/>
        <color rgb="FF000000"/>
        <sz val="12.0"/>
      </rPr>
      <t xml:space="preserve"> 4: 7-12. </t>
    </r>
    <r>
      <rPr>
        <rFont val="Calibri"/>
        <color rgb="FF000000"/>
        <sz val="12.0"/>
      </rPr>
      <t>In press</t>
    </r>
    <r>
      <rPr>
        <rFont val="Calibri"/>
        <color rgb="FF000000"/>
        <sz val="12.0"/>
      </rPr>
      <t xml:space="preserve">. </t>
    </r>
    <r>
      <rPr>
        <rFont val="Calibri"/>
        <i/>
        <color rgb="FF000000"/>
        <sz val="12.0"/>
      </rPr>
      <t>American Journal of Scientic and Industrial Research:</t>
    </r>
    <r>
      <rPr>
        <rFont val="Calibri"/>
        <color rgb="FF000000"/>
        <sz val="12.0"/>
      </rPr>
      <t xml:space="preserve"> n.d., n.p.</t>
    </r>
  </si>
  <si>
    <t>not yet checked: 2 listed as "under review" by "Food Additives and Contaminants--Part B" and "MS ID Foodchem d-11-03744" respectively</t>
  </si>
  <si>
    <t>54</t>
  </si>
  <si>
    <t>Bwambale</t>
  </si>
  <si>
    <t>MSc (Makere, 2005), Epidemiology</t>
  </si>
  <si>
    <t>Jody Lori, Cheryl Moyer</t>
  </si>
  <si>
    <t xml:space="preserve">Cheryl: I keep in touch with him and we have 1 joint pub: Bwambale F, Moyer CA, Komakech I, Mangen FW, Lori JR. “The 10 Beads Method”: A novel way to collect quantitative data from non-literate populations. Journal of Public Health Research. 2013;17(10). Same joint pub for Jodi. Also (Jodi): We submitted a grant proposal together to a call from WHO - Competitive Intraregional Grant (CIR) in 2015 that was not funded.  </t>
  </si>
  <si>
    <t>francisbmf@gmail.com</t>
  </si>
  <si>
    <t>256 772 672 355</t>
  </si>
  <si>
    <t xml:space="preserve">Abuse and disrespect of women during childbirth in Uganda </t>
  </si>
  <si>
    <r>
      <rPr>
        <rFont val="Calibri"/>
        <color rgb="FF000000"/>
        <sz val="12.0"/>
      </rPr>
      <t xml:space="preserve">Udofia, Emilia, AE Yawson, KA Aduful, and MF </t>
    </r>
    <r>
      <rPr>
        <rFont val="Calibri"/>
        <color rgb="FF000000"/>
        <sz val="12.0"/>
      </rPr>
      <t xml:space="preserve">Bwambale (2014), </t>
    </r>
    <r>
      <rPr>
        <rFont val="Calibri"/>
        <color rgb="FF000000"/>
        <sz val="12.0"/>
      </rPr>
      <t xml:space="preserve">Residential characteristics as correlates of occupants’ health in the greater Accra region, Ghana, </t>
    </r>
    <r>
      <rPr>
        <rFont val="Calibri"/>
        <i/>
        <color rgb="FF000000"/>
        <sz val="12.0"/>
      </rPr>
      <t xml:space="preserve">BMC Public Health </t>
    </r>
    <r>
      <rPr>
        <rFont val="Calibri"/>
        <color rgb="FF000000"/>
        <sz val="12.0"/>
      </rPr>
      <t xml:space="preserve"> 14(1):244;</t>
    </r>
    <r>
      <rPr>
        <rFont val="Calibri"/>
        <color rgb="FF000000"/>
        <sz val="12.0"/>
      </rPr>
      <t xml:space="preserve"> </t>
    </r>
    <r>
      <rPr>
        <rFont val="Calibri"/>
        <color rgb="FF000000"/>
        <sz val="12.0"/>
      </rPr>
      <t xml:space="preserve">Azevedo, MJ, </t>
    </r>
    <r>
      <rPr>
        <rFont val="Calibri"/>
        <color rgb="FF000000"/>
        <sz val="12.0"/>
      </rPr>
      <t>FM Bwambale</t>
    </r>
    <r>
      <rPr>
        <rFont val="Calibri"/>
        <color rgb="FF000000"/>
        <sz val="12.0"/>
      </rPr>
      <t xml:space="preserve">, TS Kiiza, V Price, S Khandekar (2014) "Health and HIV/AIDS Challenges in the East African Community: Tanzania, Uganda, and Kenya" </t>
    </r>
    <r>
      <rPr>
        <rFont val="Calibri"/>
        <i/>
        <color rgb="FF000000"/>
        <sz val="12.0"/>
      </rPr>
      <t>J of Infectious Diseases</t>
    </r>
    <r>
      <rPr>
        <rFont val="Calibri"/>
        <color rgb="FF000000"/>
        <sz val="12.0"/>
      </rPr>
      <t xml:space="preserve"> 113:239-63. </t>
    </r>
  </si>
  <si>
    <r>
      <rPr>
        <rFont val="Calibri"/>
        <color rgb="FF000000"/>
        <sz val="12.0"/>
      </rPr>
      <t>Bwambale, FM</t>
    </r>
    <r>
      <rPr>
        <rFont val="Calibri"/>
        <color rgb="FF000000"/>
        <sz val="12.0"/>
      </rPr>
      <t xml:space="preserve">, CA Moyer, I Komakech, F-W Mangen, JR Lori (2013) "The ten beads method: A novel way to collect quantitative data in Uganda" </t>
    </r>
    <r>
      <rPr>
        <rFont val="Calibri"/>
        <i/>
        <color rgb="FF000000"/>
        <sz val="12.0"/>
      </rPr>
      <t>Journal of Public Health Research</t>
    </r>
    <r>
      <rPr>
        <rFont val="Calibri"/>
        <color rgb="FF000000"/>
        <sz val="12.0"/>
      </rPr>
      <t xml:space="preserve"> 2(e6): 29-30.</t>
    </r>
  </si>
  <si>
    <r>
      <rPr>
        <rFont val="Calibri"/>
        <color rgb="FF000000"/>
        <sz val="12.0"/>
      </rPr>
      <t xml:space="preserve">2008. </t>
    </r>
    <r>
      <rPr>
        <rFont val="Calibri"/>
        <i/>
        <color rgb="FF000000"/>
        <sz val="12.0"/>
      </rPr>
      <t xml:space="preserve">BMC Public Health </t>
    </r>
    <r>
      <rPr>
        <rFont val="Calibri"/>
        <color rgb="FF000000"/>
        <sz val="12.0"/>
      </rPr>
      <t xml:space="preserve">8:263. </t>
    </r>
  </si>
  <si>
    <t>55</t>
  </si>
  <si>
    <t>Johnny</t>
  </si>
  <si>
    <t>Edna</t>
  </si>
  <si>
    <t>e_johnny53@yahoo.com ednagjohnny@yahoo.com; ednajohnny6@gmail.com</t>
  </si>
  <si>
    <t xml:space="preserve">Poverty along gender and generational lines in Liberia </t>
  </si>
  <si>
    <r>
      <rPr>
        <rFont val="Calibri"/>
        <color rgb="FFFF0000"/>
        <sz val="12.0"/>
      </rPr>
      <t xml:space="preserve">(27) </t>
    </r>
    <r>
      <rPr>
        <rFont val="Calibri"/>
        <color rgb="FF000000"/>
        <sz val="12.0"/>
      </rPr>
      <t xml:space="preserve">PhD (University of Nairobi, 2019) Economics
</t>
    </r>
  </si>
  <si>
    <t>PhD enrollment following UMAPS, first Agricultural Economics at Makerere U, Uganda then U Nairobi; received "Best Paper Award" for "Trends in Marriage and Fertility in Liberia: Implications for Policy" at 2013 Academy of Business Research Spring Conference in New Orleans, LA</t>
  </si>
  <si>
    <r>
      <rPr>
        <rFont val="Calibri"/>
        <color rgb="FF000000"/>
        <sz val="12.0"/>
      </rPr>
      <t>N.d.</t>
    </r>
    <r>
      <rPr>
        <rFont val="Calibri"/>
        <i/>
        <color rgb="FF000000"/>
        <sz val="12.0"/>
      </rPr>
      <t xml:space="preserve"> </t>
    </r>
    <r>
      <rPr>
        <rFont val="Calibri"/>
        <i/>
        <color rgb="FF000000"/>
        <sz val="12.0"/>
      </rPr>
      <t xml:space="preserve">International Journal of Economics Perspective </t>
    </r>
    <r>
      <rPr>
        <rFont val="Calibri"/>
        <color rgb="FF000000"/>
        <sz val="12.0"/>
      </rPr>
      <t xml:space="preserve">JEL M21:014. </t>
    </r>
  </si>
  <si>
    <t>received "Best Paper Award" for "Trends in Marriage and Fertility in Liberia: Implications for Policy" at 2013 Academy of Business Research Spring Conference in New Orleans, LA</t>
  </si>
  <si>
    <t>56</t>
  </si>
  <si>
    <t>Johnson</t>
  </si>
  <si>
    <t>D. Karfalah</t>
  </si>
  <si>
    <t>Math</t>
  </si>
  <si>
    <t>Divakar Viswanath</t>
  </si>
  <si>
    <t>dkarfalah59@gmail.com</t>
  </si>
  <si>
    <t xml:space="preserve">231 886 270 425 </t>
  </si>
  <si>
    <t xml:space="preserve">Mathmatical models to interpret seismic data </t>
  </si>
  <si>
    <t>May 2015: was appointed Associate Dean of the Natural Sciences Division, Thomas J. R. Faulkner College of Science and Technology, U Liberia</t>
  </si>
  <si>
    <t>57</t>
  </si>
  <si>
    <t>Mhlambi</t>
  </si>
  <si>
    <t>Innocentia</t>
  </si>
  <si>
    <t>PhD (Wits, 2008), African Languages</t>
  </si>
  <si>
    <t>this was (and continues to be) a wonderful collaborative relationship. Brenda and I (along with another South African scholar, who did not do the UMAPS program, Donato Somma--a musicology professor at Wits) published a cluster of articles in African Studies. We collaborated on the Introduction and then we each wrote a separate article and Donato published the transcription of an interview with a black South African composer, Neo Muyanga. I'm attaching the cover of the African Studies issue that has the titles and publication info.  Brenda also was a part of the conference I organized with Judy this past June in Johannesburg, Performance Arts and Political Acts. Brenda will be contributing an essay to a planned collection of published essays from that conference. There is an additional collaborative project on another South African opera (Khumalo's Princess Magogo) that Brenda will be spear-heading in the coming year (2018). I anticipate that this will lead to conference presentations and/or publications.</t>
  </si>
  <si>
    <t xml:space="preserve">innocentia.mhlambi@wits.ac.za </t>
  </si>
  <si>
    <t>27 076 883 4772</t>
  </si>
  <si>
    <t>Black South African opera</t>
  </si>
  <si>
    <t>Awarded AHHI Seed Grant for 2018-2019, with Naomi Andre, Thomas Pooley, and Donato Somma, to work on "The Intellectual Legacy of Professor James Stephen Mzilikazi Khumalo" in South Africa</t>
  </si>
  <si>
    <t>Presented at ASC's 10th anniversary symposium in March 2018</t>
  </si>
  <si>
    <r>
      <rPr>
        <rFont val="Calibri"/>
        <color rgb="FF000000"/>
        <sz val="12.0"/>
      </rPr>
      <t>Mhlambi, IJ</t>
    </r>
    <r>
      <rPr>
        <rFont val="Calibri"/>
        <color rgb="FF000000"/>
        <sz val="12.0"/>
      </rPr>
      <t xml:space="preserve">. 2013. "Music for Troubled Times: Caiphus Semenya’s Nomalanga and Zuluboy’s Nomalanga Mntakwethu". In S. Newell and O. Onoge (2013) </t>
    </r>
    <r>
      <rPr>
        <rFont val="Calibri"/>
        <i/>
        <color rgb="FF000000"/>
        <sz val="12.0"/>
      </rPr>
      <t>Readings in Popular Culture: Everyday Epistemologies</t>
    </r>
    <r>
      <rPr>
        <rFont val="Calibri"/>
        <color rgb="FF000000"/>
        <sz val="12.0"/>
      </rPr>
      <t xml:space="preserve">. London: Routlege, 341-366. </t>
    </r>
  </si>
  <si>
    <r>
      <rPr>
        <rFont val="Calibri"/>
        <color rgb="FF000000"/>
        <sz val="12.0"/>
      </rPr>
      <t xml:space="preserve">Mhlambi, IJ </t>
    </r>
    <r>
      <rPr>
        <rFont val="Calibri"/>
        <color rgb="FF000000"/>
        <sz val="12.0"/>
      </rPr>
      <t xml:space="preserve">(2016). Embodied Discordance: Vernacular Idioms in Winnie: The Opera. </t>
    </r>
    <r>
      <rPr>
        <rFont val="Calibri"/>
        <i/>
        <color rgb="FF000000"/>
        <sz val="12.0"/>
      </rPr>
      <t>African Studies</t>
    </r>
    <r>
      <rPr>
        <rFont val="Calibri"/>
        <color rgb="FF000000"/>
        <sz val="12.0"/>
      </rPr>
      <t xml:space="preserve">, 75(1), 48-73.                                                                                                                                                     </t>
    </r>
    <r>
      <rPr>
        <rFont val="Calibri"/>
        <color rgb="FF000000"/>
        <sz val="12.0"/>
      </rPr>
      <t>Mhlambi, IJ</t>
    </r>
    <r>
      <rPr>
        <rFont val="Calibri"/>
        <color rgb="FF000000"/>
        <sz val="12.0"/>
      </rPr>
      <t xml:space="preserve">. (2016). Wena ungubani (Who are you)?: Post-1994 identity and memory through ukuthakazela in the ‘new’media blog. </t>
    </r>
    <r>
      <rPr>
        <rFont val="Calibri"/>
        <i/>
        <color rgb="FF000000"/>
        <sz val="12.0"/>
      </rPr>
      <t>South African Journal of African Languages</t>
    </r>
    <r>
      <rPr>
        <rFont val="Calibri"/>
        <color rgb="FF000000"/>
        <sz val="12.0"/>
      </rPr>
      <t xml:space="preserve">, 36(1), 109-122. </t>
    </r>
  </si>
  <si>
    <r>
      <rPr>
        <rFont val="Calibri"/>
        <color rgb="FF000000"/>
        <sz val="12.0"/>
      </rPr>
      <t xml:space="preserve">Nine (9) peer-reviewed journal articles, 0ne </t>
    </r>
    <r>
      <rPr>
        <rFont val="Calibri"/>
        <color rgb="FFFF0000"/>
        <sz val="12.0"/>
      </rPr>
      <t>(1) book,</t>
    </r>
    <r>
      <rPr>
        <rFont val="Calibri"/>
        <color rgb="FF000000"/>
        <sz val="12.0"/>
      </rPr>
      <t xml:space="preserve">  one (1) chapter in edited volume (under review), one (1)  article in published conference proceedings. </t>
    </r>
  </si>
  <si>
    <t>[all 3 prepared while at the UM 2012/2013].</t>
  </si>
  <si>
    <t>58</t>
  </si>
  <si>
    <t>Munyakazi</t>
  </si>
  <si>
    <t>Justin</t>
  </si>
  <si>
    <t>PhD (UCT, 2009), Mathematics</t>
  </si>
  <si>
    <t>jmunyakazi@uwc.ac.za</t>
  </si>
  <si>
    <t>27 (0) 21 959 9738</t>
  </si>
  <si>
    <t>Numerical analysis</t>
  </si>
  <si>
    <r>
      <rPr>
        <rFont val="Calibri"/>
        <color rgb="FF000000"/>
        <sz val="12.0"/>
      </rPr>
      <t>Muyankazi, JB</t>
    </r>
    <r>
      <rPr>
        <rFont val="Calibri"/>
        <color rgb="FF000000"/>
        <sz val="12.0"/>
      </rPr>
      <t xml:space="preserve">. 2015 "A uniformly contingent nonstandard finite difference scheme for a system of convection-diffusion equations" </t>
    </r>
    <r>
      <rPr>
        <rFont val="Calibri"/>
        <i/>
        <color rgb="FF000000"/>
        <sz val="12.0"/>
      </rPr>
      <t xml:space="preserve">Computational and Applied Mathematics </t>
    </r>
    <r>
      <rPr>
        <rFont val="Calibri"/>
        <color rgb="FF000000"/>
        <sz val="12.0"/>
      </rPr>
      <t xml:space="preserve">34(3):1153-65. </t>
    </r>
    <r>
      <rPr>
        <rFont val="Calibri"/>
        <color rgb="FF000000"/>
        <sz val="12.0"/>
      </rPr>
      <t>Munyakazi, JB</t>
    </r>
    <r>
      <rPr>
        <rFont val="Calibri"/>
        <color rgb="FF000000"/>
        <sz val="12.0"/>
      </rPr>
      <t xml:space="preserve">., and KC Patidar. "A New Fitted Operator Finite Difference Method to Solve Systems of Evolutionary Reaction-diffusion Equations." </t>
    </r>
    <r>
      <rPr>
        <rFont val="Calibri"/>
        <i/>
        <color rgb="FF000000"/>
        <sz val="12.0"/>
      </rPr>
      <t>Quaestiones Mathematicae</t>
    </r>
    <r>
      <rPr>
        <rFont val="Calibri"/>
        <color rgb="FF000000"/>
        <sz val="12.0"/>
      </rPr>
      <t xml:space="preserve"> 38.1 (2015): 121-38. Web. Mickens, RE, </t>
    </r>
    <r>
      <rPr>
        <rFont val="Calibri"/>
        <color rgb="FF000000"/>
        <sz val="12.0"/>
      </rPr>
      <t>JB Munyakazi</t>
    </r>
    <r>
      <rPr>
        <rFont val="Calibri"/>
        <color rgb="FF000000"/>
        <sz val="12.0"/>
      </rPr>
      <t xml:space="preserve">, and TM Washington. "A Note on the Exact Discretization for a Cauchy-_x0080__x0093_Euler Equation: Application to the Black-Scholes Equation." </t>
    </r>
    <r>
      <rPr>
        <rFont val="Calibri"/>
        <i/>
        <color rgb="FF000000"/>
        <sz val="12.0"/>
      </rPr>
      <t>Journal of Difference Equations and Applications</t>
    </r>
    <r>
      <rPr>
        <rFont val="Calibri"/>
        <color rgb="FF000000"/>
        <sz val="12.0"/>
      </rPr>
      <t xml:space="preserve"> 21.7 (2015): 547-52. Web. Buzuzi, G, </t>
    </r>
    <r>
      <rPr>
        <rFont val="Calibri"/>
        <color rgb="FF000000"/>
        <sz val="12.0"/>
      </rPr>
      <t>JB Munyakazi</t>
    </r>
    <r>
      <rPr>
        <rFont val="Calibri"/>
        <color rgb="FF000000"/>
        <sz val="12.0"/>
      </rPr>
      <t xml:space="preserve">, and KC Patidar. "A Fitted Numerical Method to Investigate the Effect of Various Parameters on an MHD Flow over an Inclined Plate." </t>
    </r>
    <r>
      <rPr>
        <rFont val="Calibri"/>
        <i/>
        <color rgb="FF000000"/>
        <sz val="12.0"/>
      </rPr>
      <t>Numerical Methods for Partial Differential Equations</t>
    </r>
    <r>
      <rPr>
        <rFont val="Calibri"/>
        <color rgb="FF000000"/>
        <sz val="12.0"/>
      </rPr>
      <t xml:space="preserve"> 32.1 (2015): 106-20. Web.</t>
    </r>
  </si>
  <si>
    <r>
      <rPr>
        <rFont val="Calibri"/>
        <color rgb="FF000000"/>
        <sz val="12.0"/>
      </rPr>
      <t>Munyakazi, JB</t>
    </r>
    <r>
      <rPr>
        <rFont val="Calibri"/>
        <color rgb="FF000000"/>
        <sz val="12.0"/>
      </rPr>
      <t xml:space="preserve">, and KC Patidar. "Performance Of Richardson Extrapolation On Some Numerical Methods For A Singularly Perturbed Turning Point Problem Whose Solution Has Boundary Layers." </t>
    </r>
    <r>
      <rPr>
        <rFont val="Calibri"/>
        <i/>
        <color rgb="FF000000"/>
        <sz val="12.0"/>
      </rPr>
      <t>Journal of the Korean Mathematical Society</t>
    </r>
    <r>
      <rPr>
        <rFont val="Calibri"/>
        <color rgb="FF000000"/>
        <sz val="12.0"/>
      </rPr>
      <t xml:space="preserve"> 51.4 (2014): 679-702. Web. </t>
    </r>
    <r>
      <rPr>
        <rFont val="Calibri"/>
        <color rgb="FF000000"/>
        <sz val="12.0"/>
      </rPr>
      <t xml:space="preserve">Munyakazi, JB. </t>
    </r>
    <r>
      <rPr>
        <rFont val="Calibri"/>
        <color rgb="FF000000"/>
        <sz val="12.0"/>
      </rPr>
      <t xml:space="preserve">"A Robust Finite Difference Method for Two-Parameter Parabolic Convection-Diffusion Problems." </t>
    </r>
    <r>
      <rPr>
        <rFont val="Calibri"/>
        <i/>
        <color rgb="FF000000"/>
        <sz val="12.0"/>
      </rPr>
      <t>Applied Mathematics and Information Sciences</t>
    </r>
    <r>
      <rPr>
        <rFont val="Calibri"/>
        <color rgb="FF000000"/>
        <sz val="12.0"/>
      </rPr>
      <t xml:space="preserve"> 9.6 (n.d.): 2877-883. Web. Kizito, R, </t>
    </r>
    <r>
      <rPr>
        <rFont val="Calibri"/>
        <color rgb="FF000000"/>
        <sz val="12.0"/>
      </rPr>
      <t>JB Munyakazi</t>
    </r>
    <r>
      <rPr>
        <rFont val="Calibri"/>
        <color rgb="FF000000"/>
        <sz val="12.0"/>
      </rPr>
      <t xml:space="preserve">, and C Basuayi. "Factors Affecting Student Success in a First-year Mathematics Course: "South African Experience." </t>
    </r>
    <r>
      <rPr>
        <rFont val="Calibri"/>
        <i/>
        <color rgb="FF000000"/>
        <sz val="12.0"/>
      </rPr>
      <t>International Journal of Mathematical Education in Science and Technology</t>
    </r>
    <r>
      <rPr>
        <rFont val="Calibri"/>
        <color rgb="FF000000"/>
        <sz val="12.0"/>
      </rPr>
      <t xml:space="preserve"> 47.1 (2015): 100-19. Web.</t>
    </r>
  </si>
  <si>
    <r>
      <rPr>
        <rFont val="Calibri"/>
        <color rgb="FF000000"/>
        <sz val="12.0"/>
      </rPr>
      <t xml:space="preserve">2011. </t>
    </r>
    <r>
      <rPr>
        <rFont val="Calibri"/>
        <i/>
        <color rgb="FF000000"/>
        <sz val="12.0"/>
      </rPr>
      <t>Journal of Difference Equasions and Applications</t>
    </r>
    <r>
      <rPr>
        <rFont val="Calibri"/>
        <color rgb="FF000000"/>
        <sz val="12.0"/>
      </rPr>
      <t xml:space="preserve"> n.v: n.p. </t>
    </r>
    <r>
      <rPr>
        <rFont val="Calibri"/>
        <color rgb="FF000000"/>
        <sz val="12.0"/>
      </rPr>
      <t xml:space="preserve">2010. </t>
    </r>
    <r>
      <rPr>
        <rFont val="Calibri"/>
        <color rgb="FF000000"/>
        <sz val="12.0"/>
      </rPr>
      <t xml:space="preserve">Neural, Parallel, and Scientific Computations 18: 75-88. </t>
    </r>
    <r>
      <rPr>
        <rFont val="Calibri"/>
        <color rgb="FF000000"/>
        <sz val="12.0"/>
      </rPr>
      <t xml:space="preserve">2010. </t>
    </r>
    <r>
      <rPr>
        <rFont val="Calibri"/>
        <i/>
        <color rgb="FF000000"/>
        <sz val="12.0"/>
      </rPr>
      <t>Journal of Applied Mathematics and Computing</t>
    </r>
    <r>
      <rPr>
        <rFont val="Calibri"/>
        <color rgb="FF000000"/>
        <sz val="12.0"/>
      </rPr>
      <t xml:space="preserve"> 32: 219-36. </t>
    </r>
    <r>
      <rPr>
        <rFont val="Calibri"/>
        <color rgb="FF000000"/>
        <sz val="12.0"/>
      </rPr>
      <t xml:space="preserve">2008. </t>
    </r>
    <r>
      <rPr>
        <rFont val="Calibri"/>
        <color rgb="FF000000"/>
        <sz val="12.0"/>
      </rPr>
      <t xml:space="preserve">Applied Mathematics and Computing 201 (1-2): 465-80. </t>
    </r>
  </si>
  <si>
    <t>59</t>
  </si>
  <si>
    <t>Nabulya</t>
  </si>
  <si>
    <t>Eve</t>
  </si>
  <si>
    <t>MA (Makerere), Literature</t>
  </si>
  <si>
    <t>Jennifer Wenzel</t>
  </si>
  <si>
    <t>evenamala@gmail.com</t>
  </si>
  <si>
    <t>256 782 401889</t>
  </si>
  <si>
    <t>Humans and nature in Ugandan drama</t>
  </si>
  <si>
    <r>
      <rPr>
        <rFont val="Calibri"/>
        <color rgb="FFFF0000"/>
        <sz val="12.0"/>
      </rPr>
      <t>(28)</t>
    </r>
    <r>
      <rPr>
        <rFont val="Calibri"/>
        <color rgb="FF000000"/>
        <sz val="12.0"/>
      </rPr>
      <t xml:space="preserve"> PhD in Literature, Stellenbosch U, 2017</t>
    </r>
  </si>
  <si>
    <t xml:space="preserve">per email to HF 11/27/2017; PhD started after UMAPS </t>
  </si>
  <si>
    <t>60</t>
  </si>
  <si>
    <t>Sithaldeen</t>
  </si>
  <si>
    <t>Riashna</t>
  </si>
  <si>
    <t>PhD (UCT, 2011), Evolutionary Biology</t>
  </si>
  <si>
    <t>Lacey Knowles</t>
  </si>
  <si>
    <t>riashna.sithaldeen@uct.ac.za</t>
  </si>
  <si>
    <t>27 21 72 230 6373</t>
  </si>
  <si>
    <t>Modeling mammalian (baboon) population dynamics</t>
  </si>
  <si>
    <r>
      <rPr>
        <rFont val="Calibri"/>
        <color rgb="FF000000"/>
        <sz val="12.0"/>
      </rPr>
      <t>Sithaldeen, R</t>
    </r>
    <r>
      <rPr>
        <rFont val="Calibri"/>
        <color rgb="FF000000"/>
        <sz val="12.0"/>
      </rPr>
      <t xml:space="preserve">, RR Ackermann, and JM Bishop. "Pleistocene Aridification Cycles Shaped the Contemporary Genetic Architecture of Southern African Baboons." </t>
    </r>
    <r>
      <rPr>
        <rFont val="Calibri"/>
        <i/>
        <color rgb="FF000000"/>
        <sz val="12.0"/>
      </rPr>
      <t>Plos One</t>
    </r>
    <r>
      <rPr>
        <rFont val="Calibri"/>
        <color rgb="FF000000"/>
        <sz val="12.0"/>
      </rPr>
      <t xml:space="preserve"> 10.5 (2015): n. pag. Web.</t>
    </r>
  </si>
  <si>
    <r>
      <rPr>
        <rFont val="Calibri"/>
        <color rgb="FF000000"/>
        <sz val="12.0"/>
      </rPr>
      <t>2009</t>
    </r>
    <r>
      <rPr>
        <rFont val="Calibri"/>
        <color rgb="FF000000"/>
        <sz val="12.0"/>
      </rPr>
      <t>.</t>
    </r>
    <r>
      <rPr>
        <rFont val="Calibri"/>
        <i/>
        <color rgb="FF000000"/>
        <sz val="12.0"/>
      </rPr>
      <t xml:space="preserve"> Molecular Phylogenetics and Evolution</t>
    </r>
    <r>
      <rPr>
        <rFont val="Calibri"/>
        <color rgb="FF000000"/>
        <sz val="12.0"/>
      </rPr>
      <t xml:space="preserve"> 53(3):1042-48.                                                                                                                                                                                                                                                           </t>
    </r>
    <r>
      <rPr>
        <rFont val="Calibri"/>
        <color rgb="FF000000"/>
        <sz val="12.0"/>
      </rPr>
      <t>2003</t>
    </r>
    <r>
      <rPr>
        <rFont val="Calibri"/>
        <color rgb="FF000000"/>
        <sz val="12.0"/>
      </rPr>
      <t xml:space="preserve">. </t>
    </r>
    <r>
      <rPr>
        <rFont val="Calibri"/>
        <i/>
        <color rgb="FF000000"/>
        <sz val="12.0"/>
      </rPr>
      <t xml:space="preserve">Quaternary Science Review </t>
    </r>
    <r>
      <rPr>
        <rFont val="Calibri"/>
        <color rgb="FF000000"/>
        <sz val="12.0"/>
      </rPr>
      <t xml:space="preserve">22:2311-26.                                                                                                                                                                                                                                                                                     </t>
    </r>
    <r>
      <rPr>
        <rFont val="Calibri"/>
        <color rgb="FF000000"/>
        <sz val="12.0"/>
      </rPr>
      <t>2003</t>
    </r>
    <r>
      <rPr>
        <rFont val="Calibri"/>
        <color rgb="FF000000"/>
        <sz val="12.0"/>
      </rPr>
      <t>. Geophysical Research Abstracts 5:10336.</t>
    </r>
  </si>
  <si>
    <t>61</t>
  </si>
  <si>
    <t>Udofia</t>
  </si>
  <si>
    <t>Emilia</t>
  </si>
  <si>
    <r>
      <rPr>
        <rFont val="Calibri"/>
        <color rgb="FF000000"/>
        <sz val="12.0"/>
        <u/>
      </rPr>
      <t>emiliaudf@yahoo.com</t>
    </r>
    <r>
      <rPr>
        <rFont val="Calibri"/>
        <color rgb="FF000000"/>
        <sz val="12.0"/>
        <u/>
      </rPr>
      <t xml:space="preserve">; emiliaudf@yahoo.com; eudofia@ug.edu.gh  </t>
    </r>
  </si>
  <si>
    <t xml:space="preserve">233 024 64184 58                                +233 (0)24 325 9018 (mobile) </t>
  </si>
  <si>
    <t>Air pollution and birth rate patterns in Accra</t>
  </si>
  <si>
    <r>
      <rPr>
        <rFont val="Calibri"/>
        <color rgb="FFFF0000"/>
        <sz val="12.0"/>
      </rPr>
      <t xml:space="preserve">(29) </t>
    </r>
    <r>
      <rPr>
        <rFont val="Calibri"/>
        <color rgb="FF000000"/>
        <sz val="12.0"/>
      </rPr>
      <t>PhD in Public Health, Univ Ghana (UG), 2016, per email to HF 07/13/17</t>
    </r>
  </si>
  <si>
    <r>
      <rPr>
        <rFont val="Calibri"/>
        <color rgb="FF000000"/>
        <sz val="12.0"/>
      </rPr>
      <t xml:space="preserve">Nriagu, J, </t>
    </r>
    <r>
      <rPr>
        <rFont val="Calibri"/>
        <color rgb="FF000000"/>
        <sz val="12.0"/>
      </rPr>
      <t>EA Udofia</t>
    </r>
    <r>
      <rPr>
        <rFont val="Calibri"/>
        <color rgb="FF000000"/>
        <sz val="12.0"/>
      </rPr>
      <t xml:space="preserve">, I Ekong &amp; G Ebuk (2016) "Health Risks Associated with Oil Pollution in the Niger Delta, Nigeria," </t>
    </r>
    <r>
      <rPr>
        <rFont val="Calibri"/>
        <i/>
        <color rgb="FF000000"/>
        <sz val="12.0"/>
      </rPr>
      <t xml:space="preserve">Int J of Environmental Research and Public Health </t>
    </r>
    <r>
      <rPr>
        <rFont val="Calibri"/>
        <color rgb="FF000000"/>
        <sz val="12.0"/>
      </rPr>
      <t xml:space="preserve">13(346). Adeyiga, G, </t>
    </r>
    <r>
      <rPr>
        <rFont val="Calibri"/>
        <color rgb="FF000000"/>
        <sz val="12.0"/>
      </rPr>
      <t>EA Udofia</t>
    </r>
    <r>
      <rPr>
        <rFont val="Calibri"/>
        <color rgb="FF000000"/>
        <sz val="12.0"/>
      </rPr>
      <t xml:space="preserve">, and AE Yawson. "Factors Associated with Alcohol Consumption: A Survey of Women Childbearing at a National Referral Hospital in Accra, Ghana." </t>
    </r>
    <r>
      <rPr>
        <rFont val="Calibri"/>
        <i/>
        <color rgb="FF000000"/>
        <sz val="12.0"/>
      </rPr>
      <t>African Journal of Reproductive Health</t>
    </r>
    <r>
      <rPr>
        <rFont val="Calibri"/>
        <color rgb="FF000000"/>
        <sz val="12.0"/>
      </rPr>
      <t xml:space="preserve"> 18.2 (2014): 152-65. Web. Ekong, I, </t>
    </r>
    <r>
      <rPr>
        <rFont val="Calibri"/>
        <color rgb="FF000000"/>
        <sz val="12.0"/>
      </rPr>
      <t>EA Udofia</t>
    </r>
    <r>
      <rPr>
        <rFont val="Calibri"/>
        <color rgb="FF000000"/>
        <sz val="12.0"/>
      </rPr>
      <t xml:space="preserve">, OE Johnson, and O Okojie. "Menstrual Problems and Their Prevalence among Adolescents in Akwa Ibom." </t>
    </r>
    <r>
      <rPr>
        <rFont val="Calibri"/>
        <i/>
        <color rgb="FF000000"/>
        <sz val="12.0"/>
      </rPr>
      <t>International Journal of Current Research and Academic Review</t>
    </r>
    <r>
      <rPr>
        <rFont val="Calibri"/>
        <color rgb="FF000000"/>
        <sz val="12.0"/>
      </rPr>
      <t xml:space="preserve"> 3.8 (2015): 96-105. Web.                                                                                                                                                                                                                                                                                                                             Udofia, E. A., Nriagu, J. (2013). Health-care Waste in Africa: A silent crisis? Global Health Perspectives, 1 (1): 3-10.                                                                                                                                                           Udofia, E. A., Fobil, J. N., Gulis, G. (2015). Solid medical waste management in Africa. African Journal of Environmental Science and Technology, 9 (3): 244-254.                                                                          Nriagu, J, Udofia, E. A., Ekong, I, Ebuk, G. (2016) Health Risks Associated with Oil Pollution in the Niger Delta, Nigeria. International Journal of Environmental Research and Public Health, 13(3): 346.                Udofia, E. A., Gulis, G., Fobil, J. (2017). Solid medical waste: a cross sectional study of household disposal practices and reported harm in Southern Ghana. BMC Public Health, 17: 464.                               Udofia, E.A., Gulis, G., Fobil J. (2018). Making a case for diversion of solid medical waste from households: A Generation Study in Ga South Municipal Assembly, Accra, Ghana. Journal of Environmental  Protection, 9(1): 50-66.                                                                                                                                                                                                                                                                                                                           Udofia, E. A., Gulis, G., Fobil, J. (2018). Stakeholders’ Practices and Perspectives on Solid Medical Waste: A Community Based Study in Accra, Ghana. Journal of Environmental Protection, 13(9): 1295 –   1313.                                                                                                                                                                                                                                                                                                                                                            Parga, J. J., Udofia, E. A., Punguyire, D. (2011). Identification and Understanding of Pre-term Birth at Kintampo Municipal Hospital: A Qualitative Cross Sectional Study. African Journal of Reproductive  Health, 15 (4): 98-105.                                                                                                                                                                                                                                                                                                                  Oiyemhonlan, B., Udofia, E. A., Pungunyire, D. (2013). Identifying Obstetrical Emergencies at Kintampo Municipal Hospital: A perspective from Pregnant Women and Nursing Midwives. African Journal of  Reproductive Health, 17 (2): 129-140.                                                                                                                                                                                                                                                                                             Udofia, E. A., Akwaowo, C. D. (2012). Pregnancy and after: what women want from their partners – listening to women in Uyo, Nigeria. Journal of Psychosomatic Obstetrics and Gynecology, 33 (3): 112-119.                                                                                                                                                                                                                                                                                                                                                           Udofia, E. A., Akwaowo, C. D., Ekanem, U. S. (2012). Awareness, use and main source of information on preventive health exams: a survey of childbearing women in Uyo, Nigeria. African Journal of Reproductive Health, 16 (4): 149-161.                                                                                                                                                                                                                                                                                         	Udofia, E. A., Obed, S. A., Calys-Tagoe, B., Nimo, K. P. (2013). Birth and Emergency Planning: A Cross Sectional Survey of Postnatal Women at Korle Bu Teaching Hospital, Accra, Ghana. African Journal of Reproductive Health, 17 (1): 27-40.                                                                                                                                                                                                                                                                                                     Udofia, E. A., Yawson, A. E., Aduful, K. A., Bwambale, F. M. (2014). Residential characteristics as correlates of occupants’ health in the Greater Accra Region, Ghana. BMC Public Health, 14 (1): 244. Doi: 10.1186/1471-2458-14-244.                                                                                                                                                                                                                                                                                                              Adeyiga, G., Udofia, E. A., Yawson, A. E. (2014). Factors Associated with Alcohol Consumption: A Survey of Childbearing Women at a National Referral Hospital in Accra, Ghana. African Journal of Reproductive Health, 18 (2): 152-165.                                                                                                                                                                                                                                                                                                 Ekong, I., Udofia, E., Johnson, O., Ekanem, U. S, Okojie, O. (2015). Menstrual problems and their prevalence among adolescents in Akwa Ibom. International Journal of Current Research and Academic Review, 3 (8): 96-105.   	                                                                                                                                                                                                                                                                                                                      Dunyo, P., Effah, K., Udofia, E. A. (2018) Factors associated with Late Presentation of Cervical Cancer Cases at a District Hospital: A Retrospective Study. BMC Public Health 18: 1156.                                 Mensah, I. T., Udofia, E. A. (2018). Biosand Filtration as a Green Approach to Septic Tank Effluent Management in a Tertiary Institution in Ghana. West African Journal of Applied Ecology. 26(S1):203-216. 17.	Udofia, E. A., Aheto, A. M., Mensah, G., Biritwum, R., Yawson, A. E. (2019) Prevalence and risk factors associated with non-traffic related injury in the older population in Ghana: Wave 2 of the WHO Study on Global AGEing and adult health (SAGE). Preventive Medicine Reports. 15(100934): 1-7.
</t>
    </r>
  </si>
  <si>
    <r>
      <rPr>
        <rFont val="Calibri"/>
        <color rgb="FF000000"/>
        <sz val="12.0"/>
      </rPr>
      <t xml:space="preserve">Nriagu, J, </t>
    </r>
    <r>
      <rPr>
        <rFont val="Calibri"/>
        <color rgb="FF000000"/>
        <sz val="12.0"/>
      </rPr>
      <t>EA Udofia</t>
    </r>
    <r>
      <rPr>
        <rFont val="Calibri"/>
        <color rgb="FF000000"/>
        <sz val="12.0"/>
      </rPr>
      <t xml:space="preserve">, I Ekong &amp; G Ebuk (2016) "Health Risks Associated with Oil Pollution in the Niger Delta, Nigeria," </t>
    </r>
    <r>
      <rPr>
        <rFont val="Calibri"/>
        <i/>
        <color rgb="FF000000"/>
        <sz val="12.0"/>
      </rPr>
      <t xml:space="preserve">Int J of Environmental Research and Public Health </t>
    </r>
    <r>
      <rPr>
        <rFont val="Calibri"/>
        <color rgb="FF000000"/>
        <sz val="12.0"/>
      </rPr>
      <t xml:space="preserve">13(346). </t>
    </r>
    <r>
      <rPr>
        <rFont val="Calibri"/>
        <color rgb="FF000000"/>
        <sz val="12.0"/>
      </rPr>
      <t>Udofia, EA</t>
    </r>
    <r>
      <rPr>
        <rFont val="Calibri"/>
        <color rgb="FF000000"/>
        <sz val="12.0"/>
      </rPr>
      <t xml:space="preserve">, AE Yawson, KA Aduful, and FM Bwambale. "Residential Characteristics as Correlates of Occupants'_x0080__x0099_ Health in the Greater Accra Region, Ghana." BMC Public Health 14.1 (2014): n. pag. Web.
</t>
    </r>
  </si>
  <si>
    <r>
      <rPr>
        <rFont val="Calibri"/>
        <color rgb="FF000000"/>
        <sz val="12.0"/>
      </rPr>
      <t>1999</t>
    </r>
    <r>
      <rPr>
        <rFont val="Calibri"/>
        <color rgb="FF000000"/>
        <sz val="12.0"/>
      </rPr>
      <t xml:space="preserve">. </t>
    </r>
    <r>
      <rPr>
        <rFont val="Calibri"/>
        <i/>
        <color rgb="FF000000"/>
        <sz val="12.0"/>
      </rPr>
      <t>Nigerian Quarterly Journal of Hospital Medicine</t>
    </r>
    <r>
      <rPr>
        <rFont val="Calibri"/>
        <color rgb="FF000000"/>
        <sz val="12.0"/>
      </rPr>
      <t xml:space="preserve"> 9(1): 58-61.                                                                                                                                                                                                                                                     </t>
    </r>
    <r>
      <rPr>
        <rFont val="Calibri"/>
        <color rgb="FF000000"/>
        <sz val="12.0"/>
      </rPr>
      <t>1999</t>
    </r>
    <r>
      <rPr>
        <rFont val="Calibri"/>
        <color rgb="FF000000"/>
        <sz val="12.0"/>
      </rPr>
      <t xml:space="preserve">. World Health Organization Newsletter, </t>
    </r>
    <r>
      <rPr>
        <rFont val="Calibri"/>
        <i/>
        <color rgb="FF000000"/>
        <sz val="12.0"/>
      </rPr>
      <t xml:space="preserve">Quarterly Journal of the World Health Organization </t>
    </r>
    <r>
      <rPr>
        <rFont val="Calibri"/>
        <color rgb="FF000000"/>
        <sz val="12.0"/>
      </rPr>
      <t xml:space="preserve">(WHO) Lagos, Nigeria. 14(1): n.p.                                                                                                                             </t>
    </r>
    <r>
      <rPr>
        <rFont val="Calibri"/>
        <color rgb="FF000000"/>
        <sz val="12.0"/>
      </rPr>
      <t>2000</t>
    </r>
    <r>
      <rPr>
        <rFont val="Calibri"/>
        <color rgb="FF000000"/>
        <sz val="12.0"/>
      </rPr>
      <t xml:space="preserve">. </t>
    </r>
    <r>
      <rPr>
        <rFont val="Calibri"/>
        <i/>
        <color rgb="FF000000"/>
        <sz val="12.0"/>
      </rPr>
      <t>Tropical Journal of Medical Research</t>
    </r>
    <r>
      <rPr>
        <rFont val="Calibri"/>
        <color rgb="FF000000"/>
        <sz val="12.0"/>
      </rPr>
      <t xml:space="preserve"> 4(1): 31-7. </t>
    </r>
  </si>
  <si>
    <t>62</t>
  </si>
  <si>
    <t>Adi-Dako</t>
  </si>
  <si>
    <t>Ofosua</t>
  </si>
  <si>
    <t>2013-2014</t>
  </si>
  <si>
    <t>M. Pharm (Pharmaceutics)</t>
  </si>
  <si>
    <t>Steven P. Schwendemann</t>
  </si>
  <si>
    <t xml:space="preserve">oadi-dako@ug.edu.gh daaako6007@gmail.com </t>
  </si>
  <si>
    <t>A Study of the Release of Modifying Property of a Natual Polymer from the Theobroma Cacao</t>
  </si>
  <si>
    <r>
      <rPr>
        <rFont val="Calibri"/>
        <color rgb="FFFF0000"/>
        <sz val="12.0"/>
      </rPr>
      <t xml:space="preserve">(30) </t>
    </r>
    <r>
      <rPr>
        <rFont val="Calibri"/>
        <sz val="12.0"/>
      </rPr>
      <t xml:space="preserve">PhD, UG, 2017 </t>
    </r>
  </si>
  <si>
    <t>PhD in progress prior to UMAPS; (per email to HF)</t>
  </si>
  <si>
    <t>63</t>
  </si>
  <si>
    <t>Adjei</t>
  </si>
  <si>
    <t>Godwin</t>
  </si>
  <si>
    <t>PhD (UG, XX), African Studies</t>
  </si>
  <si>
    <t>Kwasi Ampene</t>
  </si>
  <si>
    <t>gkadjei@ug.edu.gh</t>
  </si>
  <si>
    <t>233(0)244 487 331</t>
  </si>
  <si>
    <t>Drums and the Dynamics Chiefship in the Akuapem State of Ghana</t>
  </si>
  <si>
    <r>
      <rPr>
        <rFont val="Calibri"/>
        <color rgb="FF000000"/>
        <sz val="12.0"/>
      </rPr>
      <t>2007</t>
    </r>
    <r>
      <rPr>
        <rFont val="Calibri"/>
        <color rgb="FF000000"/>
        <sz val="12.0"/>
      </rPr>
      <t xml:space="preserve">. </t>
    </r>
    <r>
      <rPr>
        <rFont val="Calibri"/>
        <i/>
        <color rgb="FF000000"/>
        <sz val="12.0"/>
      </rPr>
      <t xml:space="preserve">Research Review </t>
    </r>
    <r>
      <rPr>
        <rFont val="Calibri"/>
        <color rgb="FF000000"/>
        <sz val="12.0"/>
      </rPr>
      <t xml:space="preserve">23(2): n.p. </t>
    </r>
  </si>
  <si>
    <r>
      <rPr>
        <rFont val="Calibri"/>
        <color rgb="FF000000"/>
        <sz val="12.0"/>
      </rPr>
      <t xml:space="preserve">Not yet checked. Listed as "accepted": Music and the Challenge of Democracy‘ Joint publication with Dr. Kojo Opoku Aidoo, Journal of Intra-African studies, Ibadan, Nigeria. Plus two articles listed as "submitted for peer review": Kwabena Nketia and the Genesis of Archival collections at the Institute of African Studies‘‘ and "Music, Profanity, and Alcoholism in the era of HIV/AIDS." (doesn't say </t>
    </r>
    <r>
      <rPr>
        <rFont val="Calibri"/>
        <i/>
        <color rgb="FF000000"/>
        <sz val="12.0"/>
      </rPr>
      <t xml:space="preserve">where </t>
    </r>
    <r>
      <rPr>
        <rFont val="Calibri"/>
        <color rgb="FF000000"/>
        <sz val="12.0"/>
      </rPr>
      <t>submitted).</t>
    </r>
  </si>
  <si>
    <t>64</t>
  </si>
  <si>
    <t>Alatinga</t>
  </si>
  <si>
    <t>Kennedy</t>
  </si>
  <si>
    <t>UDS</t>
  </si>
  <si>
    <t>PhD Candidate, Public Policy</t>
  </si>
  <si>
    <t>Dean Yang</t>
  </si>
  <si>
    <t>kalatinga@gmail.com</t>
  </si>
  <si>
    <t>Health Insurance Policy in Ghana: The Challenge of Identifying and Including the Poor</t>
  </si>
  <si>
    <r>
      <rPr>
        <rFont val="Calibri"/>
        <color rgb="FFFF0000"/>
        <sz val="12.0"/>
      </rPr>
      <t xml:space="preserve">(31) </t>
    </r>
    <r>
      <rPr>
        <rFont val="Calibri"/>
        <color rgb="FF000000"/>
        <sz val="12.0"/>
      </rPr>
      <t>PhD 2014, UWC (Public Policy and Administration)</t>
    </r>
  </si>
  <si>
    <t>Update email to HF May 2021: Appointment As Dean-Faculty of Planning and Land Management at UDS Wa campus, newly called SD Dombo University of Business &amp; Integrated Development Studies; Updated CV Oct 2017: Serves as Postgraduate Coordinator of Graduate Programmes, Faculty of Planning and Land Management, at U Development Studies (UDS), Ghana, 2017-2018; Member of the Academic Board, UDS, 2015-2018; CODESRIA post-doctoral fellow, 2016; Advanced Research Institutes Fellow in Population and Development at Brown, 2015; Visiting Lecturer at Bonn-Rhein-Sieg University of Applied Sciences, Germany, 2015--now; Population Reference Bureau’s Policy Communication Fellow, Washington, 2014-2015</t>
  </si>
  <si>
    <r>
      <rPr>
        <rFont val="Calibri"/>
        <color rgb="FF000000"/>
        <sz val="12.0"/>
      </rPr>
      <t>Alatinga, KA</t>
    </r>
    <r>
      <rPr>
        <rFont val="Calibri"/>
        <color rgb="FF000000"/>
        <sz val="12.0"/>
      </rPr>
      <t xml:space="preserve">, and JJ Williams. "Towards Universal Health Coverage: Exploring the Determinants of Household Enrolment into National Health Insurance in the Kassena Nankana District, Ghana." </t>
    </r>
    <r>
      <rPr>
        <rFont val="Calibri"/>
        <i/>
        <color rgb="FF000000"/>
        <sz val="12.0"/>
      </rPr>
      <t>Ghana Journal of Development Studies</t>
    </r>
    <r>
      <rPr>
        <rFont val="Calibri"/>
        <color rgb="FF000000"/>
        <sz val="12.0"/>
      </rPr>
      <t xml:space="preserve"> 12.1-2 (2015): 88-105 Web. </t>
    </r>
  </si>
  <si>
    <r>
      <rPr>
        <rFont val="Calibri"/>
        <color rgb="FF000000"/>
        <sz val="12.0"/>
      </rPr>
      <t>Alatinga, KA</t>
    </r>
    <r>
      <rPr>
        <rFont val="Calibri"/>
        <color rgb="FF000000"/>
        <sz val="12.0"/>
      </rPr>
      <t xml:space="preserve">, and JJ Williams. "Achieving Universal Health Coverage: Finding new ways to identify and include the Indigent in Health Insurance in Ghana— A Participatory Methodology." </t>
    </r>
    <r>
      <rPr>
        <rFont val="Calibri"/>
        <i/>
        <color rgb="FF000000"/>
        <sz val="12.0"/>
      </rPr>
      <t>Asian Journal of Social Sciences, Arts, and Humanities</t>
    </r>
    <r>
      <rPr>
        <rFont val="Calibri"/>
        <color rgb="FF000000"/>
        <sz val="12.0"/>
      </rPr>
      <t xml:space="preserve"> 3.2 (2015): n. pag. Web. </t>
    </r>
    <r>
      <rPr>
        <rFont val="Calibri"/>
        <color rgb="FF000000"/>
        <sz val="12.0"/>
      </rPr>
      <t>Alatinga, KA</t>
    </r>
    <r>
      <rPr>
        <rFont val="Calibri"/>
        <color rgb="FF000000"/>
        <sz val="12.0"/>
      </rPr>
      <t xml:space="preserve">, and JJ Williams. "Mixed Methods Research for Health Policy Development in Africa: The Case of Identifying Very Poor Households for Health Insurance Premium Exemptions in Ghana." </t>
    </r>
    <r>
      <rPr>
        <rFont val="Calibri"/>
        <i/>
        <color rgb="FF000000"/>
        <sz val="12.0"/>
      </rPr>
      <t>Journal of Mixed Methods Research</t>
    </r>
    <r>
      <rPr>
        <rFont val="Calibri"/>
        <color rgb="FF000000"/>
        <sz val="12.0"/>
      </rPr>
      <t xml:space="preserve"> 3 (2016): 1-16. </t>
    </r>
  </si>
  <si>
    <r>
      <rPr>
        <rFont val="Calibri"/>
        <color rgb="FF000000"/>
        <sz val="12.0"/>
      </rPr>
      <t>2012</t>
    </r>
    <r>
      <rPr>
        <rFont val="Calibri"/>
        <color rgb="FF000000"/>
        <sz val="12.0"/>
      </rPr>
      <t xml:space="preserve">. </t>
    </r>
    <r>
      <rPr>
        <rFont val="Calibri"/>
        <i/>
        <color rgb="FF000000"/>
        <sz val="12.0"/>
      </rPr>
      <t>European Journal of Business and Social Sciences</t>
    </r>
    <r>
      <rPr>
        <rFont val="Calibri"/>
        <color rgb="FF000000"/>
        <sz val="12.0"/>
      </rPr>
      <t xml:space="preserve">; 1(3):103-118.                                                                                                                                                                                                                                         </t>
    </r>
    <r>
      <rPr>
        <rFont val="Calibri"/>
        <color rgb="FF000000"/>
        <sz val="12.0"/>
      </rPr>
      <t>2011</t>
    </r>
    <r>
      <rPr>
        <rFont val="Calibri"/>
        <color rgb="FF000000"/>
        <sz val="12.0"/>
      </rPr>
      <t xml:space="preserve">. </t>
    </r>
    <r>
      <rPr>
        <rFont val="Calibri"/>
        <i/>
        <color rgb="FF000000"/>
        <sz val="12.0"/>
      </rPr>
      <t>World Journal of Young Researchers</t>
    </r>
    <r>
      <rPr>
        <rFont val="Calibri"/>
        <color rgb="FF000000"/>
        <sz val="12.0"/>
      </rPr>
      <t xml:space="preserve"> 1(4):45.                                                                                                                                                                                                                                                                              </t>
    </r>
    <r>
      <rPr>
        <rFont val="Calibri"/>
        <color rgb="FF000000"/>
        <sz val="12.0"/>
      </rPr>
      <t>2011</t>
    </r>
    <r>
      <rPr>
        <rFont val="Calibri"/>
        <color rgb="FF000000"/>
        <sz val="12.0"/>
      </rPr>
      <t xml:space="preserve">. </t>
    </r>
    <r>
      <rPr>
        <rFont val="Calibri"/>
        <i/>
        <color rgb="FF000000"/>
        <sz val="12.0"/>
      </rPr>
      <t>Journal of Sustainable Development;</t>
    </r>
    <r>
      <rPr>
        <rFont val="Calibri"/>
        <color rgb="FF000000"/>
        <sz val="12.0"/>
      </rPr>
      <t xml:space="preserve"> 4 (5):125.</t>
    </r>
  </si>
  <si>
    <t>65</t>
  </si>
  <si>
    <t>Boateng</t>
  </si>
  <si>
    <t>Mphil, Political Science</t>
  </si>
  <si>
    <t>Anne Pitcher</t>
  </si>
  <si>
    <t>jboateng@ucc.edu.gh  serwanies@yahoo.com</t>
  </si>
  <si>
    <t>233244658385/233281037914</t>
  </si>
  <si>
    <t>Local Level Participation for Sustainable Development and Maintenance of Peace in Ghana: Alternative Mechanisms by Development Agents in Ghana</t>
  </si>
  <si>
    <r>
      <rPr>
        <rFont val="Calibri"/>
        <color rgb="FFFF0000"/>
        <sz val="12.0"/>
      </rPr>
      <t xml:space="preserve">(32) </t>
    </r>
    <r>
      <rPr>
        <rFont val="Calibri"/>
        <color rgb="FF000000"/>
        <sz val="12.0"/>
      </rPr>
      <t>PhD 2017, Edith Cowan U, Australia (Political Science)</t>
    </r>
  </si>
  <si>
    <t>enrolled in PhD program following UMAPS: in School of Psychology and Social Science at the Edith Cowan U in Western Australia; other update, in email to SS on 03/25/17, established a school, Global Educational Institute (GEI), at Nkawkaw, in the Eastern Region</t>
  </si>
  <si>
    <r>
      <rPr>
        <rFont val="Calibri"/>
        <color rgb="FF000000"/>
        <sz val="12.0"/>
      </rPr>
      <t xml:space="preserve">Kosi, I, I Sulemana, </t>
    </r>
    <r>
      <rPr>
        <rFont val="Calibri"/>
        <color rgb="FF000000"/>
        <sz val="12.0"/>
      </rPr>
      <t>J Boateng</t>
    </r>
    <r>
      <rPr>
        <rFont val="Calibri"/>
        <color rgb="FF000000"/>
        <sz val="12.0"/>
      </rPr>
      <t>, and R Mensah. "Teacher Motivation and Job Satisfaction on Intention to Quit: An Empirical Study in Public Second Cycle Schools in Tamale Metropolis, Ghana." </t>
    </r>
    <r>
      <rPr>
        <rFont val="Calibri"/>
        <i/>
        <color rgb="FF000000"/>
        <sz val="12.0"/>
      </rPr>
      <t>International Journal of Scientific and Research Publications</t>
    </r>
    <r>
      <rPr>
        <rFont val="Calibri"/>
        <color rgb="FF000000"/>
        <sz val="12.0"/>
      </rPr>
      <t> 5.5 (2015): n. pag. Web.</t>
    </r>
  </si>
  <si>
    <r>
      <rPr>
        <rFont val="Calibri"/>
        <color rgb="FF000000"/>
        <sz val="12.0"/>
      </rPr>
      <t xml:space="preserve">Kosi, I, and </t>
    </r>
    <r>
      <rPr>
        <rFont val="Calibri"/>
        <color rgb="FF000000"/>
        <sz val="12.0"/>
      </rPr>
      <t>J Boateng</t>
    </r>
    <r>
      <rPr>
        <rFont val="Calibri"/>
        <color rgb="FF000000"/>
        <sz val="12.0"/>
      </rPr>
      <t xml:space="preserve">. "Women’s Representation and Participation in District Assemblies in Ghana: Analysis of Supply-Side and Demand-Side Framework." </t>
    </r>
    <r>
      <rPr>
        <rFont val="Calibri"/>
        <i/>
        <color rgb="FF000000"/>
        <sz val="12.0"/>
      </rPr>
      <t>International Journal of Scientific and Research Publications</t>
    </r>
    <r>
      <rPr>
        <rFont val="Calibri"/>
        <color rgb="FF000000"/>
        <sz val="12.0"/>
      </rPr>
      <t xml:space="preserve"> 5.10 (2015): n. pag. Web.</t>
    </r>
  </si>
  <si>
    <r>
      <rPr>
        <rFont val="Calibri"/>
        <color rgb="FF000000"/>
        <sz val="12.0"/>
      </rPr>
      <t xml:space="preserve">Two (2) chapters in two (2) edited volumes, </t>
    </r>
    <r>
      <rPr>
        <rFont val="Calibri"/>
        <color rgb="FF000000"/>
        <sz val="12.0"/>
      </rPr>
      <t>2009</t>
    </r>
    <r>
      <rPr>
        <rFont val="Calibri"/>
        <color rgb="FF000000"/>
        <sz val="12.0"/>
      </rPr>
      <t xml:space="preserve"> and </t>
    </r>
    <r>
      <rPr>
        <rFont val="Calibri"/>
        <color rgb="FF000000"/>
        <sz val="12.0"/>
      </rPr>
      <t>2010</t>
    </r>
    <r>
      <rPr>
        <rFont val="Calibri"/>
        <color rgb="FF000000"/>
        <sz val="12.0"/>
      </rPr>
      <t>.</t>
    </r>
  </si>
  <si>
    <r>
      <rPr>
        <rFont val="Calibri"/>
        <color rgb="FF000000"/>
        <sz val="12.0"/>
      </rPr>
      <t>not yet checked: Mensah, J.V. and Boateng J.S. Economic, Social and Political Empowerment of Women in Ghana (</t>
    </r>
    <r>
      <rPr>
        <rFont val="Calibri"/>
        <color rgb="FF000000"/>
        <sz val="12.0"/>
      </rPr>
      <t>forth coming</t>
    </r>
    <r>
      <rPr>
        <rFont val="Calibri"/>
        <color rgb="FF000000"/>
        <sz val="12.0"/>
      </rPr>
      <t>) (Book?)</t>
    </r>
  </si>
  <si>
    <t>66</t>
  </si>
  <si>
    <t>Duku (now: Boateng)</t>
  </si>
  <si>
    <t>Lilian</t>
  </si>
  <si>
    <t>MSc, Biomedical Science</t>
  </si>
  <si>
    <t>Andrew Campbell</t>
  </si>
  <si>
    <t>akosboak@yahoo.com</t>
  </si>
  <si>
    <t>Study of Blood Donor and Recipient Extended Red Blood Cell Phenotypes and Alloantibody Identification in Transfused Persons from the Ashanti, Ghana Region</t>
  </si>
  <si>
    <t>PhD program in progress after UMAPS residency</t>
  </si>
  <si>
    <t>Spring 2021: currently working on a project with Dr. Robertson Dave Davenport, director of the UofM Health systems. Also see succes story on UMAPS page; currently doing research on STEM-Africa seed grant awarded to Andrew Campbell; Nov 2017 update: currently PhD candidate in UK</t>
  </si>
  <si>
    <t>67</t>
  </si>
  <si>
    <t>Kemausuor</t>
  </si>
  <si>
    <t>Mphil, Engineering for Sustainable Development</t>
  </si>
  <si>
    <t xml:space="preserve">Shellie Miller (primary) ; Greg Keoleain (secondary mentor) </t>
  </si>
  <si>
    <t>have infrequently kept in touch with him. Most of our interactions have been to finish up the paper we were working on (reference under Publications) and to get updates on his career progress. </t>
  </si>
  <si>
    <t>fkemausuor.soe@knust.edu.gh kemausuor@gmail.com</t>
  </si>
  <si>
    <t>Modelling Socio-Economic Impact of Second-Generation Bioenergy in Ghana</t>
  </si>
  <si>
    <r>
      <rPr>
        <rFont val="Calibri"/>
        <color rgb="FFFF0000"/>
        <sz val="12.0"/>
      </rPr>
      <t xml:space="preserve">(33) </t>
    </r>
    <r>
      <rPr>
        <rFont val="Calibri"/>
        <color rgb="FF000000"/>
        <sz val="12.0"/>
      </rPr>
      <t>PhD 2015, KNUST, Bioengineering</t>
    </r>
  </si>
  <si>
    <t>38 (per Google Scholar Profile, 21 April 2021 HF)</t>
  </si>
  <si>
    <r>
      <rPr>
        <rFont val="Calibri"/>
        <color rgb="FF000000"/>
        <sz val="12.0"/>
      </rPr>
      <t>Kemausuor F,</t>
    </r>
    <r>
      <rPr>
        <rFont val="Calibri"/>
        <color rgb="FF000000"/>
        <sz val="12.0"/>
      </rPr>
      <t xml:space="preserve"> Bollweg S, Miller S, Modelling the socio-economic impacts of modern bioenergy in rural communities in Ghana, </t>
    </r>
    <r>
      <rPr>
        <rFont val="Calibri"/>
        <i/>
        <color rgb="FF000000"/>
        <sz val="12.0"/>
      </rPr>
      <t>Sustainable Energy</t>
    </r>
    <r>
      <rPr>
        <rFont val="Calibri"/>
        <i/>
        <color rgb="FF000000"/>
        <sz val="12.0"/>
      </rPr>
      <t xml:space="preserve"> </t>
    </r>
    <r>
      <rPr>
        <rFont val="Calibri"/>
        <i/>
        <color rgb="FF000000"/>
        <sz val="12.0"/>
      </rPr>
      <t>Technologies and Assessments</t>
    </r>
    <r>
      <rPr>
        <rFont val="Calibri"/>
        <color rgb="FF000000"/>
        <sz val="12.0"/>
      </rPr>
      <t>, 2016, 14: 9-20.</t>
    </r>
    <r>
      <rPr>
        <rFont val="Calibri"/>
        <color rgb="FF000000"/>
        <sz val="12.0"/>
      </rPr>
      <t xml:space="preserve">
Kemausuor, F.</t>
    </r>
    <r>
      <rPr>
        <rFont val="Calibri"/>
        <color rgb="FF000000"/>
        <sz val="12.0"/>
      </rPr>
      <t xml:space="preserve">, Nygaard, I., and Mackenzie, G. (2015). Prospects for bioenergy use in Ghana using Long Range Energy Alternative Planning model. </t>
    </r>
    <r>
      <rPr>
        <rFont val="Calibri"/>
        <i/>
        <color rgb="FF000000"/>
        <sz val="12.0"/>
      </rPr>
      <t xml:space="preserve">Energy ? </t>
    </r>
    <r>
      <rPr>
        <rFont val="Calibri"/>
        <color rgb="FF000000"/>
        <sz val="12.0"/>
      </rPr>
      <t xml:space="preserve">EC Bensah, </t>
    </r>
    <r>
      <rPr>
        <rFont val="Calibri"/>
        <color rgb="FF000000"/>
        <sz val="12.0"/>
      </rPr>
      <t>F Kemausuor</t>
    </r>
    <r>
      <rPr>
        <rFont val="Calibri"/>
        <color rgb="FF000000"/>
        <sz val="12.0"/>
      </rPr>
      <t xml:space="preserve">, K Mieza, Z Kádárd, and M Mensah. (2015). African perspective on cellulosic ethanol production. </t>
    </r>
    <r>
      <rPr>
        <rFont val="Calibri"/>
        <i/>
        <color rgb="FF000000"/>
        <sz val="12.0"/>
      </rPr>
      <t>Renewable and Sustainable Energy Reviews</t>
    </r>
    <r>
      <rPr>
        <rFont val="Calibri"/>
        <color rgb="FF000000"/>
        <sz val="12.0"/>
      </rPr>
      <t xml:space="preserve"> 49, 1-11. Ayamga, E. A., </t>
    </r>
    <r>
      <rPr>
        <rFont val="Calibri"/>
        <color rgb="FF000000"/>
        <sz val="12.0"/>
      </rPr>
      <t>Kemausuor</t>
    </r>
    <r>
      <rPr>
        <rFont val="Calibri"/>
        <color rgb="FF000000"/>
        <sz val="12.0"/>
      </rPr>
      <t xml:space="preserve">, F. and Addo, A. (2015). Technical analysis of crop residue biomass energy in an agricultural region of Ghana. </t>
    </r>
    <r>
      <rPr>
        <rFont val="Calibri"/>
        <i/>
        <color rgb="FF000000"/>
        <sz val="12.0"/>
      </rPr>
      <t>Resources, Recycling and Conservation</t>
    </r>
    <r>
      <rPr>
        <rFont val="Calibri"/>
        <color rgb="FF000000"/>
        <sz val="12.0"/>
      </rPr>
      <t xml:space="preserve"> 96, 51-60. </t>
    </r>
    <r>
      <rPr>
        <rFont val="Calibri"/>
        <color rgb="FF000000"/>
        <sz val="12.0"/>
      </rPr>
      <t>Kemausuor, F</t>
    </r>
    <r>
      <rPr>
        <rFont val="Calibri"/>
        <color rgb="FF000000"/>
        <sz val="12.0"/>
      </rPr>
      <t xml:space="preserve">., Yakah, E. and Kamp, A. (2014). Regional assessment of agricultural residue for bioenergy production in Ghana. In: Roscoe, C. (ed), </t>
    </r>
    <r>
      <rPr>
        <rFont val="Calibri"/>
        <i/>
        <color rgb="FF000000"/>
        <sz val="12.0"/>
      </rPr>
      <t>Ghana: Social, Economic and Political Issues</t>
    </r>
    <r>
      <rPr>
        <rFont val="Calibri"/>
        <color rgb="FF000000"/>
        <sz val="12.0"/>
      </rPr>
      <t xml:space="preserve">, 147-174. Nova Science Publishers Inc. </t>
    </r>
    <r>
      <rPr>
        <rFont val="Calibri"/>
        <color rgb="FF000000"/>
        <sz val="12.0"/>
      </rPr>
      <t>Kemausuor, F</t>
    </r>
    <r>
      <rPr>
        <rFont val="Calibri"/>
        <color rgb="FF000000"/>
        <sz val="12.0"/>
      </rPr>
      <t xml:space="preserve">, Kamp, A, Thomsen, ST, Bensah, EC and Østergård, H (2014). Assessment of biomass residue availability and bioenergy yields in Ghana. </t>
    </r>
    <r>
      <rPr>
        <rFont val="Calibri"/>
        <i/>
        <color rgb="FF000000"/>
        <sz val="12.0"/>
      </rPr>
      <t>Resources, Recycling and Conservation</t>
    </r>
    <r>
      <rPr>
        <rFont val="Calibri"/>
        <color rgb="FF000000"/>
        <sz val="12.0"/>
      </rPr>
      <t xml:space="preserve"> 86: 28–37. </t>
    </r>
    <r>
      <rPr>
        <rFont val="Calibri"/>
        <color rgb="FF000000"/>
        <sz val="12.0"/>
      </rPr>
      <t xml:space="preserve">Kemausuor, </t>
    </r>
    <r>
      <rPr>
        <rFont val="Calibri"/>
        <color rgb="FF000000"/>
        <sz val="12.0"/>
      </rPr>
      <t>F., Bukari, D., Quansah, D., Adaramolad, M.S. Towards accelerating the deployment of decentralised renewable energy mini-grids in Ghana: Review and analysis of barriers. (2021). Volume 135, January 2021, 110408 (Science Direct).</t>
    </r>
  </si>
  <si>
    <r>
      <rPr>
        <rFont val="Calibri"/>
        <color rgb="FF000000"/>
        <sz val="12.0"/>
      </rPr>
      <t>Kemausuor, F.</t>
    </r>
    <r>
      <rPr>
        <rFont val="Calibri"/>
        <color rgb="FF000000"/>
        <sz val="12.0"/>
      </rPr>
      <t xml:space="preserve">, Adkins, E., Adu-Poku, I., Brew-Hammond, A. and Modi, V. (2014). Electrification planning using Network Planner tool: The case of Ghana. </t>
    </r>
    <r>
      <rPr>
        <rFont val="Calibri"/>
        <i/>
        <color rgb="FF000000"/>
        <sz val="12.0"/>
      </rPr>
      <t>Energy for Sustainable Development</t>
    </r>
    <r>
      <rPr>
        <rFont val="Calibri"/>
        <color rgb="FF000000"/>
        <sz val="12.0"/>
      </rPr>
      <t xml:space="preserve"> 19: 92–101; Mensah, G. S., </t>
    </r>
    <r>
      <rPr>
        <rFont val="Calibri"/>
        <color rgb="FF000000"/>
        <sz val="12.0"/>
      </rPr>
      <t>Kemausuor, F</t>
    </r>
    <r>
      <rPr>
        <rFont val="Calibri"/>
        <color rgb="FF000000"/>
        <sz val="12.0"/>
      </rPr>
      <t xml:space="preserve">., and Brew-Hammond, A. (2014). Energy Access Indicators and Trends in Ghana. </t>
    </r>
    <r>
      <rPr>
        <rFont val="Calibri"/>
        <i/>
        <color rgb="FF000000"/>
        <sz val="12.0"/>
      </rPr>
      <t>Renewable and Sustainable Energy Reviews</t>
    </r>
    <r>
      <rPr>
        <rFont val="Calibri"/>
        <color rgb="FF000000"/>
        <sz val="12.0"/>
      </rPr>
      <t xml:space="preserve"> 30: 317-323; </t>
    </r>
    <r>
      <rPr>
        <rFont val="Calibri"/>
        <color rgb="FF000000"/>
        <sz val="12.0"/>
      </rPr>
      <t>Kemausuor, F</t>
    </r>
    <r>
      <rPr>
        <rFont val="Calibri"/>
        <color rgb="FF000000"/>
        <sz val="12.0"/>
      </rPr>
      <t xml:space="preserve">, S Bolwig, and S Miller. "Modelling the Socio-economic Impacts of Modern Bioenergy in Rural Communities in Ghana." </t>
    </r>
    <r>
      <rPr>
        <rFont val="Calibri"/>
        <i/>
        <color rgb="FF000000"/>
        <sz val="12.0"/>
      </rPr>
      <t>Sustainable Energy Technologies and Assessments</t>
    </r>
    <r>
      <rPr>
        <rFont val="Calibri"/>
        <color rgb="FF000000"/>
        <sz val="12.0"/>
      </rPr>
      <t xml:space="preserve"> 14 (2016): 9-20. Web; </t>
    </r>
    <r>
      <rPr>
        <rFont val="Calibri"/>
        <color rgb="FF000000"/>
        <sz val="12.0"/>
      </rPr>
      <t>Kemausuor, F</t>
    </r>
    <r>
      <rPr>
        <rFont val="Calibri"/>
        <color rgb="FF000000"/>
        <sz val="12.0"/>
      </rPr>
      <t xml:space="preserve">, and E Ackom. "Toward Universal Electrification in Ghana." </t>
    </r>
    <r>
      <rPr>
        <rFont val="Calibri"/>
        <i/>
        <color rgb="FF000000"/>
        <sz val="12.0"/>
      </rPr>
      <t>Wiley Interdisciplinary Reviews: Energy and Environment</t>
    </r>
    <r>
      <rPr>
        <rFont val="Calibri"/>
        <color rgb="FF000000"/>
        <sz val="12.0"/>
      </rPr>
      <t xml:space="preserve"> 6.1 (2016): n. pag. Web; Arranz-Piera, P, </t>
    </r>
    <r>
      <rPr>
        <rFont val="Calibri"/>
        <color rgb="FF000000"/>
        <sz val="12.0"/>
      </rPr>
      <t>F Kemausuor</t>
    </r>
    <r>
      <rPr>
        <rFont val="Calibri"/>
        <color rgb="FF000000"/>
        <sz val="12.0"/>
      </rPr>
      <t xml:space="preserve">, A Addo, and E Velo. "Electricity Generation Prospects from Clustered Smallholder and Irrigated Rice Farms in Ghana." </t>
    </r>
    <r>
      <rPr>
        <rFont val="Calibri"/>
        <i/>
        <color rgb="FF000000"/>
        <sz val="12.0"/>
      </rPr>
      <t>Energy</t>
    </r>
    <r>
      <rPr>
        <rFont val="Calibri"/>
        <color rgb="FF000000"/>
        <sz val="12.0"/>
      </rPr>
      <t xml:space="preserve"> 121 (2017): 246-55. Web.</t>
    </r>
  </si>
  <si>
    <r>
      <rPr>
        <rFont val="Calibri"/>
        <color rgb="FF000000"/>
        <sz val="12.0"/>
      </rPr>
      <t xml:space="preserve">N.d (accepted) </t>
    </r>
    <r>
      <rPr>
        <rFont val="Calibri"/>
        <i/>
        <color rgb="FF000000"/>
        <sz val="12.0"/>
      </rPr>
      <t>International Journal of Energy and Environmental Engineering</t>
    </r>
    <r>
      <rPr>
        <rFont val="Calibri"/>
        <color rgb="FF000000"/>
        <sz val="12.0"/>
      </rPr>
      <t xml:space="preserve">: n.p.                                                                                                                                                                                                                  </t>
    </r>
    <r>
      <rPr>
        <rFont val="Calibri"/>
        <color rgb="FF000000"/>
        <sz val="12.0"/>
      </rPr>
      <t>2012</t>
    </r>
    <r>
      <rPr>
        <rFont val="Calibri"/>
        <color rgb="FF000000"/>
        <sz val="12.0"/>
      </rPr>
      <t xml:space="preserve">. </t>
    </r>
    <r>
      <rPr>
        <rFont val="Calibri"/>
        <i/>
        <color rgb="FF000000"/>
        <sz val="12.0"/>
      </rPr>
      <t>CASS Journal of Humanities</t>
    </r>
    <r>
      <rPr>
        <rFont val="Calibri"/>
        <color rgb="FF000000"/>
        <sz val="12.0"/>
      </rPr>
      <t xml:space="preserve"> 2(1): 1-31.                                                                                                                                                                                                                                                                                       </t>
    </r>
    <r>
      <rPr>
        <rFont val="Calibri"/>
        <color rgb="FF000000"/>
        <sz val="12.0"/>
      </rPr>
      <t>2012</t>
    </r>
    <r>
      <rPr>
        <rFont val="Calibri"/>
        <color rgb="FF000000"/>
        <sz val="12.0"/>
      </rPr>
      <t xml:space="preserve">. </t>
    </r>
    <r>
      <rPr>
        <rFont val="Calibri"/>
        <i/>
        <color rgb="FF000000"/>
        <sz val="12.0"/>
      </rPr>
      <t xml:space="preserve">Journal of Agricultural and Biological Sciences </t>
    </r>
    <r>
      <rPr>
        <rFont val="Calibri"/>
        <color rgb="FF000000"/>
        <sz val="12.0"/>
      </rPr>
      <t xml:space="preserve">7(1):42-6.                                                                                                                                                                                                                                                        </t>
    </r>
    <r>
      <rPr>
        <rFont val="Calibri"/>
        <color rgb="FF000000"/>
        <sz val="12.0"/>
      </rPr>
      <t>2011</t>
    </r>
    <r>
      <rPr>
        <rFont val="Calibri"/>
        <color rgb="FF000000"/>
        <sz val="12.0"/>
      </rPr>
      <t xml:space="preserve">. Renewable and Sustainable Energy Reviews 15: 5143-54.                                                                                                                                                                                                                                                                                                                 </t>
    </r>
    <r>
      <rPr>
        <rFont val="Calibri"/>
        <color rgb="FF000000"/>
        <sz val="12.0"/>
      </rPr>
      <t>2011</t>
    </r>
    <r>
      <rPr>
        <rFont val="Calibri"/>
        <color rgb="FF000000"/>
        <sz val="12.0"/>
      </rPr>
      <t xml:space="preserve">. </t>
    </r>
    <r>
      <rPr>
        <rFont val="Calibri"/>
        <i/>
        <color rgb="FF000000"/>
        <sz val="12.0"/>
      </rPr>
      <t xml:space="preserve">Research Journal of Agricultural Science </t>
    </r>
    <r>
      <rPr>
        <rFont val="Calibri"/>
        <color rgb="FF000000"/>
        <sz val="12.0"/>
      </rPr>
      <t xml:space="preserve">43(4): 186-95.                                                                                                                                                                                                                                                         </t>
    </r>
    <r>
      <rPr>
        <rFont val="Calibri"/>
        <color rgb="FF000000"/>
        <sz val="12.0"/>
      </rPr>
      <t>2011</t>
    </r>
    <r>
      <rPr>
        <rFont val="Calibri"/>
        <color rgb="FF000000"/>
        <sz val="12.0"/>
      </rPr>
      <t xml:space="preserve">. </t>
    </r>
    <r>
      <rPr>
        <rFont val="Calibri"/>
        <i/>
        <color rgb="FF000000"/>
        <sz val="12.0"/>
      </rPr>
      <t xml:space="preserve">Journal of Agricultural and Biological Sciences </t>
    </r>
    <r>
      <rPr>
        <rFont val="Calibri"/>
        <color rgb="FF000000"/>
        <sz val="12.0"/>
      </rPr>
      <t xml:space="preserve">6(10):26-37.                                                                                                                                                                                                                                                   </t>
    </r>
    <r>
      <rPr>
        <rFont val="Calibri"/>
        <color rgb="FF000000"/>
        <sz val="12.0"/>
      </rPr>
      <t>2009</t>
    </r>
    <r>
      <rPr>
        <rFont val="Calibri"/>
        <color rgb="FF000000"/>
        <sz val="12.0"/>
      </rPr>
      <t xml:space="preserve">. Current Opinion in Environmental Sustainability 1: 83-8.                                                                                                                                                                                                                                                       </t>
    </r>
    <r>
      <rPr>
        <rFont val="Calibri"/>
        <color rgb="FF000000"/>
        <sz val="12.0"/>
      </rPr>
      <t>2009</t>
    </r>
    <r>
      <rPr>
        <rFont val="Calibri"/>
        <color rgb="FF000000"/>
        <sz val="12.0"/>
      </rPr>
      <t xml:space="preserve">. </t>
    </r>
    <r>
      <rPr>
        <rFont val="Calibri"/>
        <i/>
        <color rgb="FF000000"/>
        <sz val="12.0"/>
      </rPr>
      <t>ChemSusChem</t>
    </r>
    <r>
      <rPr>
        <rFont val="Calibri"/>
        <color rgb="FF000000"/>
        <sz val="12.0"/>
      </rPr>
      <t xml:space="preserve"> 2: 278-300. Plus, </t>
    </r>
    <r>
      <rPr>
        <rFont val="Calibri"/>
        <color rgb="FF000000"/>
        <sz val="12.0"/>
      </rPr>
      <t xml:space="preserve">4 </t>
    </r>
    <r>
      <rPr>
        <rFont val="Calibri"/>
        <color rgb="FF000000"/>
        <sz val="12.0"/>
      </rPr>
      <t xml:space="preserve">chapters in 4 edited volumes and </t>
    </r>
    <r>
      <rPr>
        <rFont val="Calibri"/>
        <color rgb="FF000000"/>
        <sz val="12.0"/>
      </rPr>
      <t xml:space="preserve">5 </t>
    </r>
    <r>
      <rPr>
        <rFont val="Calibri"/>
        <color rgb="FF000000"/>
        <sz val="12.0"/>
      </rPr>
      <t>chapters in published conference proceedings.</t>
    </r>
  </si>
  <si>
    <t>68</t>
  </si>
  <si>
    <t>Lekgoathi</t>
  </si>
  <si>
    <t>Sekibakiba</t>
  </si>
  <si>
    <t>PhD (U Minnesota, 2006), History</t>
  </si>
  <si>
    <t>Adam Ashforth/ Derek Peterson (History/DAAS)</t>
  </si>
  <si>
    <t>He’s in the final stages of writing a book, which he’s submitting to the book series that I edit</t>
  </si>
  <si>
    <t>sekibakiba.lekgoathi@wits.ac.za</t>
  </si>
  <si>
    <t>Tel: +27 11 717 4315
Fax: +27 86 553 3449                      Mobile: +27 82 560 5526</t>
  </si>
  <si>
    <t>The Crystallization and Bifurcation of Ndebele Ethnicity in South Africa, 1960-2010</t>
  </si>
  <si>
    <t>promoted to Head of Department, Dept of History, Wits; served 2013-18 (per communication to AC in Aug 2018)</t>
  </si>
  <si>
    <r>
      <rPr>
        <rFont val="Calibri"/>
        <color rgb="FF000000"/>
        <sz val="12.0"/>
      </rPr>
      <t>Lekgoathi, SP</t>
    </r>
    <r>
      <rPr>
        <rFont val="Calibri"/>
        <color rgb="FF000000"/>
        <sz val="12.0"/>
      </rPr>
      <t xml:space="preserve"> (2015) "'Sikhuluma Isikhethu': Ndebele Radio, Ethnicity and Cultural Identity in South Africa, 1983-94" </t>
    </r>
    <r>
      <rPr>
        <rFont val="Calibri"/>
        <i/>
        <color rgb="FF000000"/>
        <sz val="12.0"/>
      </rPr>
      <t xml:space="preserve">Oral History J of S Afr </t>
    </r>
    <r>
      <rPr>
        <rFont val="Calibri"/>
        <color rgb="FF000000"/>
        <sz val="12.0"/>
      </rPr>
      <t xml:space="preserve">2(2):21-35.                                                                                </t>
    </r>
    <r>
      <rPr>
        <rFont val="Calibri"/>
        <color rgb="FF000000"/>
        <sz val="12.0"/>
      </rPr>
      <t xml:space="preserve">Lekgoathi, S.P </t>
    </r>
    <r>
      <rPr>
        <rFont val="Calibri"/>
        <color rgb="FF000000"/>
        <sz val="12.0"/>
      </rPr>
      <t xml:space="preserve">.(No date was provided in H.'s e-mail)The Road to Democracy in SA Vol 8: South African Diaspora in southern and Eastern Africa in precolonial times, Part 1.                                                                                                                          </t>
    </r>
    <r>
      <rPr>
        <rFont val="Calibri"/>
        <color rgb="FF000000"/>
        <sz val="12.0"/>
      </rPr>
      <t>PUBLICATIONS IN ISI-LISTED JOURNALS</t>
    </r>
    <r>
      <rPr>
        <rFont val="Calibri"/>
        <color rgb="FF000000"/>
        <sz val="12.0"/>
      </rPr>
      <t xml:space="preserve">
1. ‘Laphosikhonakunokukhanya’:IkwekweziFMinPost-apartheidSouthAfrica,1996- 2013. December 2018. Bulletin of the National Library of South Africa Vol. 72, No. 2, Pages 151-166.
2. RuralYouthandChangingPatternsofPoliticalMobilisationintheNorthern Transvaal Village of Zebediela, 1976 – 1990. 2018. Journal for Contemporary History Vol. 43, No. 1, Pages 21-42.
3. FromHomeboyNetworkstoBroaderEthnicAffiliations:MigrantsfromZebediela and Shifting Identities on the Rand, 1930s–1970s. 2014. African Studies Vol. 73, No. 3, Pages 432-454.
4. Ethnic Separatism or Cultural Preservation? Ndebele Radio under Apartheid, 1983- 1994. 2012. South African Historical Journal Vol. 64, No. 1 (March), Pages 59-80.
5. The History Workshop, Teacher Development and Outcomes-Based Education over the Past Seven Years. 2010. African Studies Vol. 69 No. 1. Pages 103-123.
6. TheAfricanNationalCongress’sRadioFreedomanditsAudiencesinApartheid South Africa, 1963-1991. 2010. Journal of African Media Studies Vol. 2 No. 2. Pages 139-153.
7. ‘Colonial’Experts,LocalInterlocutors,InformantsandtheMakingofanArchiveon the Transvaal Ndebele, 1930-89. 2009. Journal of African History Vol. 50 No. 1. Pages 61-80.
8. ‘YouarelisteningtoRadioLebowaoftheSouthAfricanBroadcastingCorporation’: Vernacular Radio, Bantustan Identity, and Listenership, 1960-1994. 2009. Journal of Southern African Studies Vol. 35 No. 3. Pages 575-594.
9. TeacherMilitancyintheRuralNorthernTransvaalCommunityofZebediela,1986- 1994. 2007. South African Historical Journal Vol. 58 No.1. Pages 226-252.
10. Chiefs, Migrants and North Ndebele Ethnicity in the Context of Surrounding Homelands Politics, 1965-1978. 2007. African Studies Vol. 62 No. 1. Pages 53-77.
11. An Accessible History of Rural Society: Review of Peter Delius, A Lion amongst Cattle. 1997. South African Historical Journal Vol. 37 No. 1. Pages 214-17. (Book review).</t>
    </r>
    <r>
      <rPr>
        <rFont val="Calibri"/>
        <color rgb="FF000000"/>
        <sz val="12.0"/>
      </rPr>
      <t xml:space="preserve">
</t>
    </r>
  </si>
  <si>
    <r>
      <rPr>
        <rFont val="Calibri"/>
        <color rgb="FF000000"/>
        <sz val="12.0"/>
      </rPr>
      <t>2012</t>
    </r>
    <r>
      <rPr>
        <rFont val="Calibri"/>
        <color rgb="FF000000"/>
        <sz val="12.0"/>
      </rPr>
      <t xml:space="preserve">: </t>
    </r>
    <r>
      <rPr>
        <rFont val="Calibri"/>
        <i/>
        <color rgb="FF000000"/>
        <sz val="12.0"/>
      </rPr>
      <t xml:space="preserve">South African Historical Journal </t>
    </r>
    <r>
      <rPr>
        <rFont val="Calibri"/>
        <color rgb="FF000000"/>
        <sz val="12.0"/>
      </rPr>
      <t xml:space="preserve">64(1):59-80.                                                                                                                                                                                                                                                                                                          </t>
    </r>
    <r>
      <rPr>
        <rFont val="Calibri"/>
        <color rgb="FF000000"/>
        <sz val="12.0"/>
      </rPr>
      <t>2010</t>
    </r>
    <r>
      <rPr>
        <rFont val="Calibri"/>
        <color rgb="FF000000"/>
        <sz val="12.0"/>
      </rPr>
      <t xml:space="preserve">: </t>
    </r>
    <r>
      <rPr>
        <rFont val="Calibri"/>
        <i/>
        <color rgb="FF000000"/>
        <sz val="12.0"/>
      </rPr>
      <t>African Studies</t>
    </r>
    <r>
      <rPr>
        <rFont val="Calibri"/>
        <color rgb="FF000000"/>
        <sz val="12.0"/>
      </rPr>
      <t xml:space="preserve"> 69(1):103-23.                                                                                                                                                                                                                                                                                                       </t>
    </r>
    <r>
      <rPr>
        <rFont val="Calibri"/>
        <color rgb="FF000000"/>
        <sz val="12.0"/>
      </rPr>
      <t>2010</t>
    </r>
    <r>
      <rPr>
        <rFont val="Calibri"/>
        <color rgb="FF000000"/>
        <sz val="12.0"/>
      </rPr>
      <t xml:space="preserve">: </t>
    </r>
    <r>
      <rPr>
        <rFont val="Calibri"/>
        <i/>
        <color rgb="FF000000"/>
        <sz val="12.0"/>
      </rPr>
      <t xml:space="preserve">Journal of African Media Studies </t>
    </r>
    <r>
      <rPr>
        <rFont val="Calibri"/>
        <color rgb="FF000000"/>
        <sz val="12.0"/>
      </rPr>
      <t xml:space="preserve">2(2):139-53.                                                                                                                                                                                                                                                                           </t>
    </r>
    <r>
      <rPr>
        <rFont val="Calibri"/>
        <color rgb="FF000000"/>
        <sz val="12.0"/>
      </rPr>
      <t>2009</t>
    </r>
    <r>
      <rPr>
        <rFont val="Calibri"/>
        <color rgb="FF000000"/>
        <sz val="12.0"/>
      </rPr>
      <t xml:space="preserve">: </t>
    </r>
    <r>
      <rPr>
        <rFont val="Calibri"/>
        <i/>
        <color rgb="FF000000"/>
        <sz val="12.0"/>
      </rPr>
      <t xml:space="preserve">Journal of Southern African Studies </t>
    </r>
    <r>
      <rPr>
        <rFont val="Calibri"/>
        <color rgb="FF000000"/>
        <sz val="12.0"/>
      </rPr>
      <t xml:space="preserve">35(3):575-94.                                                                                                                                                                                                                                                                   </t>
    </r>
    <r>
      <rPr>
        <rFont val="Calibri"/>
        <color rgb="FF000000"/>
        <sz val="12.0"/>
      </rPr>
      <t>2009</t>
    </r>
    <r>
      <rPr>
        <rFont val="Calibri"/>
        <color rgb="FF000000"/>
        <sz val="12.0"/>
      </rPr>
      <t xml:space="preserve">. Cross Cultural Poetics 2009:85-116.                                                                                                                                                                                                                                                                                           </t>
    </r>
    <r>
      <rPr>
        <rFont val="Calibri"/>
        <color rgb="FF000000"/>
        <sz val="12.0"/>
      </rPr>
      <t>2007</t>
    </r>
    <r>
      <rPr>
        <rFont val="Calibri"/>
        <color rgb="FF000000"/>
        <sz val="12.0"/>
      </rPr>
      <t>:</t>
    </r>
    <r>
      <rPr>
        <rFont val="Calibri"/>
        <i/>
        <color rgb="FF000000"/>
        <sz val="12.0"/>
      </rPr>
      <t xml:space="preserve"> South African Historical Journal</t>
    </r>
    <r>
      <rPr>
        <rFont val="Calibri"/>
        <color rgb="FF000000"/>
        <sz val="12.0"/>
      </rPr>
      <t xml:space="preserve"> 58(1):226-52.                                                                                                                                                                                                                                                                            </t>
    </r>
    <r>
      <rPr>
        <rFont val="Calibri"/>
        <color rgb="FF000000"/>
        <sz val="12.0"/>
      </rPr>
      <t>2007</t>
    </r>
    <r>
      <rPr>
        <rFont val="Calibri"/>
        <color rgb="FF000000"/>
        <sz val="12.0"/>
      </rPr>
      <t xml:space="preserve">: </t>
    </r>
    <r>
      <rPr>
        <rFont val="Calibri"/>
        <i/>
        <color rgb="FF000000"/>
        <sz val="12.0"/>
      </rPr>
      <t xml:space="preserve">African Studies </t>
    </r>
    <r>
      <rPr>
        <rFont val="Calibri"/>
        <color rgb="FF000000"/>
        <sz val="12.0"/>
      </rPr>
      <t xml:space="preserve">62(1):53-77. 2011. Book chapter in edited vol, Radio in Africa (Wits UP);                                                                                                                                                                                               </t>
    </r>
    <r>
      <rPr>
        <rFont val="Calibri"/>
        <color rgb="FF000000"/>
        <sz val="12.0"/>
      </rPr>
      <t>2010</t>
    </r>
    <r>
      <rPr>
        <rFont val="Calibri"/>
        <color rgb="FF000000"/>
        <sz val="12.0"/>
      </rPr>
      <t xml:space="preserve">, 2 book chapters in (1) edited vol, South African Democracy Education Trust (Unisa Press).                                                                                                                                                                                             </t>
    </r>
    <r>
      <rPr>
        <rFont val="Calibri"/>
        <color rgb="FF000000"/>
        <sz val="12.0"/>
      </rPr>
      <t>2004</t>
    </r>
    <r>
      <rPr>
        <rFont val="Calibri"/>
        <color rgb="FF000000"/>
        <sz val="12.0"/>
      </rPr>
      <t xml:space="preserve">, book chapter in Turning Points in History, Book 1: STE Publishers. </t>
    </r>
  </si>
  <si>
    <t>Submittted to South African Historical Journal: "Revisiting the Dr NJ van Warmelo Manuscript Collection: Iron and Copper Mining and Smelting in the Zoutpansberg Region in the Precolonial Period. Plus five (5) book chapters "in press" at time of UMAPS application</t>
  </si>
  <si>
    <t>69</t>
  </si>
  <si>
    <t>McClain</t>
  </si>
  <si>
    <t>James</t>
  </si>
  <si>
    <t>MSc, Physical Chemistry</t>
  </si>
  <si>
    <t>Levi Thompson</t>
  </si>
  <si>
    <t>mcclainja@ul.edu.lr; mcclajam@gmail.com</t>
  </si>
  <si>
    <t>Preparation of Hydrogen Fuel using Solid State Water Oxidation Catalysts</t>
  </si>
  <si>
    <r>
      <rPr>
        <rFont val="Calibri"/>
        <color rgb="FFFF0000"/>
        <sz val="12.0"/>
      </rPr>
      <t>(34)</t>
    </r>
    <r>
      <rPr>
        <rFont val="Calibri"/>
        <color rgb="FF000000"/>
        <sz val="12.0"/>
      </rPr>
      <t xml:space="preserve"> PhD 2020, Indiana U, Environmental Health</t>
    </r>
  </si>
  <si>
    <t>started PhD program post-UMAPS; promoted to Chair, Dept. of Chemistry, College of Science &amp; Technology, U. Liberia; PhD received per email sent to SS 02/16/2020 Environmental Health</t>
  </si>
  <si>
    <t>70</t>
  </si>
  <si>
    <t>Nakigudde</t>
  </si>
  <si>
    <t>PhD (Makerere U, 2011), Psychology</t>
  </si>
  <si>
    <t xml:space="preserve"> Bruno Giordani</t>
  </si>
  <si>
    <t>jnakigudde@chs.mak.ac.ug, janetnakigudde@gmail.com</t>
  </si>
  <si>
    <t>Addressing Trauma and Grief in Children in Sub-Saharan Africa</t>
  </si>
  <si>
    <t>AEWG Chair 2020/2021, part of NeuroGenE, a global research and capacity-building initiative exploring the multi-layered ethical challenges around psychiatry and neurodevelopmental diagnosis, prevention and intervention. . Medal awardee at 2015 Uganda International Women’s day cerebrations for her work during the 2013 Ebola and Maburg virus outbreaks in Uganda in 2012-13</t>
  </si>
  <si>
    <r>
      <rPr>
        <rFont val="Calibri"/>
        <color rgb="FF000000"/>
        <sz val="12.0"/>
      </rPr>
      <t>2007</t>
    </r>
    <r>
      <rPr>
        <rFont val="Calibri"/>
        <color rgb="FF000000"/>
        <sz val="12.0"/>
      </rPr>
      <t xml:space="preserve">. </t>
    </r>
    <r>
      <rPr>
        <rFont val="Calibri"/>
        <i/>
        <color rgb="FF000000"/>
        <sz val="12.0"/>
      </rPr>
      <t>African Health Sciences</t>
    </r>
    <r>
      <rPr>
        <rFont val="Calibri"/>
        <color rgb="FF000000"/>
        <sz val="12.0"/>
      </rPr>
      <t xml:space="preserve"> 7(4).n.p.                                                                                                                                                                                                                                                                                                    </t>
    </r>
    <r>
      <rPr>
        <rFont val="Calibri"/>
        <color rgb="FF000000"/>
        <sz val="12.0"/>
      </rPr>
      <t>2009</t>
    </r>
    <r>
      <rPr>
        <rFont val="Calibri"/>
        <color rgb="FF000000"/>
        <sz val="12.0"/>
      </rPr>
      <t xml:space="preserve">. African Health Sciences, special supplement: n.p. </t>
    </r>
  </si>
  <si>
    <t>71</t>
  </si>
  <si>
    <t>Ngabaza</t>
  </si>
  <si>
    <t>Sisa</t>
  </si>
  <si>
    <t>PhD (UWC, 2011), Women's and Gender Studies</t>
  </si>
  <si>
    <t>Sarah Fenstermaker</t>
  </si>
  <si>
    <t>sngabaza@uwc.ac.za</t>
  </si>
  <si>
    <t>27726317682/27219138253</t>
  </si>
  <si>
    <t xml:space="preserve">Adolescent Pregnancy in South African Schools </t>
  </si>
  <si>
    <r>
      <rPr>
        <rFont val="Calibri"/>
        <color rgb="FF000000"/>
        <sz val="12.0"/>
      </rPr>
      <t xml:space="preserve">Shefer, T and </t>
    </r>
    <r>
      <rPr>
        <rFont val="Calibri"/>
        <color rgb="FF000000"/>
        <sz val="12.0"/>
      </rPr>
      <t>Ngabaza S</t>
    </r>
    <r>
      <rPr>
        <rFont val="Calibri"/>
        <color rgb="FF000000"/>
        <sz val="12.0"/>
      </rPr>
      <t xml:space="preserve"> (2015) ‘And I have been told that there is nothing fun about having sex while you are still in high school’: Dominant discourses on women’s sexual practices and desires in Life Orientation programmes at school. </t>
    </r>
    <r>
      <rPr>
        <rFont val="Calibri"/>
        <i/>
        <color rgb="FF000000"/>
        <sz val="12.0"/>
      </rPr>
      <t>Perspectives in Education</t>
    </r>
    <r>
      <rPr>
        <rFont val="Calibri"/>
        <color rgb="FF000000"/>
        <sz val="12.0"/>
      </rPr>
      <t>. 33(2), 63-76.</t>
    </r>
  </si>
  <si>
    <r>
      <rPr>
        <rFont val="Calibri"/>
        <color rgb="FF000000"/>
        <sz val="12.0"/>
      </rPr>
      <t>Ngabaza, S</t>
    </r>
    <r>
      <rPr>
        <rFont val="Calibri"/>
        <color rgb="FF000000"/>
        <sz val="12.0"/>
      </rPr>
      <t xml:space="preserve">, T Shefer, and CI Macleod. "Girls Need to Behave like Girls You Know": The Complexities of Applying a Gender Justice Goal within Sexuality Education in South African Schools." </t>
    </r>
    <r>
      <rPr>
        <rFont val="Calibri"/>
        <i/>
        <color rgb="FF000000"/>
        <sz val="12.0"/>
      </rPr>
      <t>Reproductive Health Matters</t>
    </r>
    <r>
      <rPr>
        <rFont val="Calibri"/>
        <color rgb="FF000000"/>
        <sz val="12.0"/>
      </rPr>
      <t xml:space="preserve"> 24.48 (2016): 71-78. Web.                                                                                                                                                                                                                                                                                          Shefer, T, and </t>
    </r>
    <r>
      <rPr>
        <rFont val="Calibri"/>
        <color rgb="FF000000"/>
        <sz val="12.0"/>
      </rPr>
      <t>S Ngabaza</t>
    </r>
    <r>
      <rPr>
        <rFont val="Calibri"/>
        <color rgb="FF000000"/>
        <sz val="12.0"/>
      </rPr>
      <t>. "'And I Have Been Told That There Is Nothing Fun about Having Sex While You Are Still in High School': Dominant Discourses on Women's Sexual Practices and Desires in Life Orientation Programmes at School." Report? (2015): n. pag. Web.</t>
    </r>
  </si>
  <si>
    <r>
      <rPr>
        <rFont val="Calibri"/>
        <color rgb="FF000000"/>
        <sz val="12.0"/>
      </rPr>
      <t>2012</t>
    </r>
    <r>
      <rPr>
        <rFont val="Calibri"/>
        <color rgb="FF000000"/>
        <sz val="12.0"/>
      </rPr>
      <t xml:space="preserve">. chapter in edited vol, Books and/or Babies, Cape Town: HSRC Press.                                                                                                                                                                                                                                                                                                  </t>
    </r>
    <r>
      <rPr>
        <rFont val="Calibri"/>
        <color rgb="FF000000"/>
        <sz val="12.0"/>
      </rPr>
      <t>2011</t>
    </r>
    <r>
      <rPr>
        <rFont val="Calibri"/>
        <color rgb="FF000000"/>
        <sz val="12.0"/>
      </rPr>
      <t xml:space="preserve">. Agenda 25: 42-57.                                                                                                                                                                                                                                                                                                                           </t>
    </r>
    <r>
      <rPr>
        <rFont val="Calibri"/>
        <color rgb="FF000000"/>
        <sz val="12.0"/>
      </rPr>
      <t>2010</t>
    </r>
    <r>
      <rPr>
        <rFont val="Calibri"/>
        <color rgb="FF000000"/>
        <sz val="12.0"/>
      </rPr>
      <t xml:space="preserve">. </t>
    </r>
    <r>
      <rPr>
        <rFont val="Calibri"/>
        <i/>
        <color rgb="FF000000"/>
        <sz val="12.0"/>
      </rPr>
      <t>Culture, Health, and Society</t>
    </r>
    <r>
      <rPr>
        <rFont val="Calibri"/>
        <color rgb="FF000000"/>
        <sz val="12.0"/>
      </rPr>
      <t xml:space="preserve"> 12(8): 871-83. </t>
    </r>
  </si>
  <si>
    <t>72</t>
  </si>
  <si>
    <t>Ngabirano</t>
  </si>
  <si>
    <t>Evarist</t>
  </si>
  <si>
    <t>Mountains of the Moon U</t>
  </si>
  <si>
    <t>MA (KU Leuven), Theology and Religion</t>
  </si>
  <si>
    <t>he and I have continued to work together in the running of an ongoing project to rescue and digitise endangered government records in Uganda. Evarist is now a PhD student at the Makerere Institute for Social Research; I regularly read his work and comment on it</t>
  </si>
  <si>
    <t>ngabiranoe2002@yahoo.com; engabirano@gmail.com</t>
  </si>
  <si>
    <t>Edited African Cultural Heritage: A Case Study of Kiga Politics in Kigezi, Uganda, East Africa</t>
  </si>
  <si>
    <r>
      <rPr>
        <rFont val="Calibri"/>
        <color rgb="FFFF0000"/>
        <sz val="12.0"/>
      </rPr>
      <t>(35)</t>
    </r>
    <r>
      <rPr>
        <rFont val="Calibri"/>
        <color rgb="FF000000"/>
        <sz val="12.0"/>
      </rPr>
      <t xml:space="preserve"> PhD 2020, Makerere U, History</t>
    </r>
  </si>
  <si>
    <t>started PhD post-UMAPS (2015); was awarded Next Generation Social Sciences in Africa a dissertation research fellowship for 2018-19 (per email to DP 3/30/18)</t>
  </si>
  <si>
    <r>
      <rPr>
        <rFont val="Calibri"/>
        <color rgb="FF000000"/>
        <sz val="12.0"/>
      </rPr>
      <t xml:space="preserve">2008. </t>
    </r>
    <r>
      <rPr>
        <rFont val="Calibri"/>
        <color rgb="FF000000"/>
        <sz val="12.0"/>
      </rPr>
      <t xml:space="preserve">Book (or report?--not checked yet), </t>
    </r>
    <r>
      <rPr>
        <rFont val="Calibri"/>
        <i/>
        <color rgb="FF000000"/>
        <sz val="12.0"/>
      </rPr>
      <t xml:space="preserve">The Environment in Uganda: An Ethical and Theological Assessment of the Conservation-Preservation Controversy. </t>
    </r>
    <r>
      <rPr>
        <rFont val="Calibri"/>
        <color rgb="FF000000"/>
        <sz val="12.0"/>
      </rPr>
      <t>Saarbrucken: VDM Verlag.</t>
    </r>
  </si>
  <si>
    <t>73</t>
  </si>
  <si>
    <t>Sali</t>
  </si>
  <si>
    <t>Wolobah</t>
  </si>
  <si>
    <t>MA (Wits, XX), Physics</t>
  </si>
  <si>
    <t>Larry Ruff</t>
  </si>
  <si>
    <t>wolobah@yahoo.com</t>
  </si>
  <si>
    <t>Mathematical models to image subsurface densities</t>
  </si>
  <si>
    <t xml:space="preserve">   </t>
  </si>
  <si>
    <t>Listed as "submitted to" Electronic Letters, 2008 (not checked yet, but seems very late not to have heard by 2012!)</t>
  </si>
  <si>
    <t>74</t>
  </si>
  <si>
    <t>Boakye-Gyasi</t>
  </si>
  <si>
    <t>Mariam</t>
  </si>
  <si>
    <t>2014-2015</t>
  </si>
  <si>
    <t>MPhil (Pharmaceutics)</t>
  </si>
  <si>
    <t>Steven Schwendeman</t>
  </si>
  <si>
    <t>melboakyegyasi@gmail.com</t>
  </si>
  <si>
    <t>Formulation, physiocochemical evaluation and bioavailability assessment of rectal suppositories of selected antimalarial medicines</t>
  </si>
  <si>
    <r>
      <rPr>
        <rFont val="Calibri"/>
        <color rgb="FFFF0000"/>
        <sz val="12.0"/>
      </rPr>
      <t xml:space="preserve">(36) </t>
    </r>
    <r>
      <rPr>
        <rFont val="Calibri"/>
        <color rgb="FF000000"/>
        <sz val="12.0"/>
      </rPr>
      <t>PhD 2016, KNUST, Pharmaceutics</t>
    </r>
  </si>
  <si>
    <t>PhD in progress prior to UMAPS</t>
  </si>
  <si>
    <r>
      <rPr>
        <rFont val="Calibri"/>
        <color rgb="FF000000"/>
        <sz val="12.0"/>
      </rPr>
      <t xml:space="preserve">Bonsu, MA, K Ofori-Kwakye, SL Kipo, </t>
    </r>
    <r>
      <rPr>
        <rFont val="Calibri"/>
        <color rgb="FF000000"/>
        <sz val="12.0"/>
      </rPr>
      <t>M El Boakye-Gyasi</t>
    </r>
    <r>
      <rPr>
        <rFont val="Calibri"/>
        <color rgb="FF000000"/>
        <sz val="12.0"/>
      </rPr>
      <t xml:space="preserve">, and M Fosu. "Development of Oral Dissolvable Films of Diclofenac Sodium for Osteoarthritis UsingAlbiziaandKhayaGums as Hydrophilic Film Formers." </t>
    </r>
    <r>
      <rPr>
        <rFont val="Calibri"/>
        <i/>
        <color rgb="FF000000"/>
        <sz val="12.0"/>
      </rPr>
      <t xml:space="preserve">Journal of Drug Delivery </t>
    </r>
    <r>
      <rPr>
        <rFont val="Calibri"/>
        <color rgb="FF000000"/>
        <sz val="12.0"/>
      </rPr>
      <t xml:space="preserve">2016 (2016): 1-11. Web.
</t>
    </r>
  </si>
  <si>
    <r>
      <rPr>
        <rFont val="Calibri"/>
        <color rgb="FF000000"/>
        <sz val="12.0"/>
      </rPr>
      <t xml:space="preserve">Adi-Dako, O, K Ofori-Kwakye, SF Manso, </t>
    </r>
    <r>
      <rPr>
        <rFont val="Calibri"/>
        <color rgb="FF000000"/>
        <sz val="12.0"/>
      </rPr>
      <t>M El Boakye-Gyasi</t>
    </r>
    <r>
      <rPr>
        <rFont val="Calibri"/>
        <color rgb="FF000000"/>
        <sz val="12.0"/>
      </rPr>
      <t xml:space="preserve">, C Sasu, and M Pobee. "Physicochemical and Antimicrobial Properties of Cocoa Pod Husk Pectin Intended as a Versatile Pharmaceutical Excipient and Nutraceutical." </t>
    </r>
    <r>
      <rPr>
        <rFont val="Calibri"/>
        <i/>
        <color rgb="FF000000"/>
        <sz val="12.0"/>
      </rPr>
      <t>Journal of Pharmaceutics</t>
    </r>
    <r>
      <rPr>
        <rFont val="Calibri"/>
        <color rgb="FF000000"/>
        <sz val="12.0"/>
      </rPr>
      <t xml:space="preserve"> 2016 (2016): 1-12. Web.                                                                                                                                                                                                                          Osei-Asare, C, S Kipo, K Ofori-Kwakye, and </t>
    </r>
    <r>
      <rPr>
        <rFont val="Calibri"/>
        <color rgb="FF000000"/>
        <sz val="12.0"/>
      </rPr>
      <t>M Boakye-Gyasi</t>
    </r>
    <r>
      <rPr>
        <rFont val="Calibri"/>
        <color rgb="FF000000"/>
        <sz val="12.0"/>
      </rPr>
      <t xml:space="preserve">. "Comparative in Vitro Dissolution of Commercially Available Sustained Release Nifedipine Tablet Brands in the Kumasi Metropolis, Ghana." </t>
    </r>
    <r>
      <rPr>
        <rFont val="Calibri"/>
        <i/>
        <color rgb="FF000000"/>
        <sz val="12.0"/>
      </rPr>
      <t xml:space="preserve">Journal of Applied Pharmaceutical Science </t>
    </r>
    <r>
      <rPr>
        <rFont val="Calibri"/>
        <color rgb="FF000000"/>
        <sz val="12.0"/>
      </rPr>
      <t>(2015): 054-60. Web.</t>
    </r>
  </si>
  <si>
    <r>
      <rPr>
        <rFont val="Calibri"/>
        <color rgb="FF000000"/>
        <sz val="12.0"/>
      </rPr>
      <t>2012</t>
    </r>
    <r>
      <rPr>
        <rFont val="Calibri"/>
        <color rgb="FF000000"/>
        <sz val="12.0"/>
      </rPr>
      <t>.</t>
    </r>
    <r>
      <rPr>
        <rFont val="Calibri"/>
        <i/>
        <color rgb="FF000000"/>
        <sz val="12.0"/>
      </rPr>
      <t xml:space="preserve"> Asian Journal of Pharmaceutical and Clinical Research</t>
    </r>
    <r>
      <rPr>
        <rFont val="Calibri"/>
        <color rgb="FF000000"/>
        <sz val="12.0"/>
      </rPr>
      <t xml:space="preserve"> 5 (4), 62-68.                                                                                                                                                                                                                                                </t>
    </r>
    <r>
      <rPr>
        <rFont val="Calibri"/>
        <color rgb="FF000000"/>
        <sz val="12.0"/>
      </rPr>
      <t>2012</t>
    </r>
    <r>
      <rPr>
        <rFont val="Calibri"/>
        <color rgb="FF000000"/>
        <sz val="12.0"/>
      </rPr>
      <t xml:space="preserve">. </t>
    </r>
    <r>
      <rPr>
        <rFont val="Calibri"/>
        <i/>
        <color rgb="FF000000"/>
        <sz val="12.0"/>
      </rPr>
      <t xml:space="preserve">Journal of Vector Borne Diseases </t>
    </r>
    <r>
      <rPr>
        <rFont val="Calibri"/>
        <color rgb="FF000000"/>
        <sz val="12.0"/>
      </rPr>
      <t xml:space="preserve">49, 131-139.                                                                                                                                                                                                                                                                          </t>
    </r>
    <r>
      <rPr>
        <rFont val="Calibri"/>
        <color rgb="FF000000"/>
        <sz val="12.0"/>
      </rPr>
      <t>2010</t>
    </r>
    <r>
      <rPr>
        <rFont val="Calibri"/>
        <color rgb="FF000000"/>
        <sz val="12.0"/>
      </rPr>
      <t xml:space="preserve">. </t>
    </r>
    <r>
      <rPr>
        <rFont val="Calibri"/>
        <i/>
        <color rgb="FF000000"/>
        <sz val="12.0"/>
      </rPr>
      <t>Cancer Prevention Research</t>
    </r>
    <r>
      <rPr>
        <rFont val="Calibri"/>
        <color rgb="FF000000"/>
        <sz val="12.0"/>
      </rPr>
      <t>; 3(1) Suppl. 1:B16. DOI: 10.1158/1940-6207. PREV-09-B16</t>
    </r>
  </si>
  <si>
    <t>75</t>
  </si>
  <si>
    <t>John</t>
  </si>
  <si>
    <t>PhD (Penn State, 2006), Agricultural and Extension Education</t>
  </si>
  <si>
    <t>Cary Engleberg</t>
  </si>
  <si>
    <t>jkboat2009@gmail.com</t>
  </si>
  <si>
    <t>Continuing and Distance Education: Exploring Mechanisms for effective e-learning integration into a centre-based adult education
program</t>
  </si>
  <si>
    <t>Current positions (Feb, 2017): Lecturer: School of Continuing and Distance Education Department of Adult Education and Human Resource Studies; Head: Cape Coast Learning Centre; U Ghana Learning Centres; Oversight responsibility for the Takoradi Learning Centre; President; Seven Hearts Ghana</t>
  </si>
  <si>
    <r>
      <rPr>
        <rFont val="Calibri"/>
        <color rgb="FF000000"/>
        <sz val="12.0"/>
      </rPr>
      <t>Boateng, JK</t>
    </r>
    <r>
      <rPr>
        <rFont val="Calibri"/>
        <color rgb="FF000000"/>
        <sz val="12.0"/>
      </rPr>
      <t xml:space="preserve"> &amp; YA Arthur (2014) "Influence of Risk Management Practices on Service Quality in Health Care Delivery" </t>
    </r>
    <r>
      <rPr>
        <rFont val="Calibri"/>
        <i/>
        <color rgb="FF000000"/>
        <sz val="12.0"/>
      </rPr>
      <t xml:space="preserve">J of Economics and Sustainable Development </t>
    </r>
    <r>
      <rPr>
        <rFont val="Calibri"/>
        <color rgb="FF000000"/>
        <sz val="12.0"/>
      </rPr>
      <t xml:space="preserve">5(14); Tutu, RA, </t>
    </r>
    <r>
      <rPr>
        <rFont val="Calibri"/>
        <color rgb="FF000000"/>
        <sz val="12.0"/>
      </rPr>
      <t>JK Boateng</t>
    </r>
    <r>
      <rPr>
        <rFont val="Calibri"/>
        <color rgb="FF000000"/>
        <sz val="12.0"/>
      </rPr>
      <t xml:space="preserve">, EE Ameyaw, and JD Busingye. ""Togetherness in Difference": Perceived Personal Discrimination and Acculturation Preferences among Internal Migrants in a Poor Urban Community in Accra." </t>
    </r>
    <r>
      <rPr>
        <rFont val="Calibri"/>
        <i/>
        <color rgb="FF000000"/>
        <sz val="12.0"/>
      </rPr>
      <t>Journal of Asian and African Studies</t>
    </r>
    <r>
      <rPr>
        <rFont val="Calibri"/>
        <color rgb="FF000000"/>
        <sz val="12.0"/>
      </rPr>
      <t xml:space="preserve"> (2016): 1-17.</t>
    </r>
  </si>
  <si>
    <r>
      <rPr>
        <rFont val="Calibri"/>
        <color rgb="FF000000"/>
        <sz val="12.0"/>
      </rPr>
      <t xml:space="preserve">Tutu, RA, </t>
    </r>
    <r>
      <rPr>
        <rFont val="Calibri"/>
        <color rgb="FF000000"/>
        <sz val="12.0"/>
      </rPr>
      <t>JK Boateng</t>
    </r>
    <r>
      <rPr>
        <rFont val="Calibri"/>
        <color rgb="FF000000"/>
        <sz val="12.0"/>
      </rPr>
      <t>, JD Busingye, and E Ameyaw. "Asymmetry in an Uneven Place: Migrants'_x0080__x0099_ Lifestyles, Social Capital, and Self-rated Health Status in James Town, Accra." </t>
    </r>
    <r>
      <rPr>
        <rFont val="Calibri"/>
        <i/>
        <color rgb="FF000000"/>
        <sz val="12.0"/>
      </rPr>
      <t>GeoJournal </t>
    </r>
    <r>
      <rPr>
        <rFont val="Calibri"/>
        <color rgb="FF000000"/>
        <sz val="12.0"/>
      </rPr>
      <t xml:space="preserve">(2016): n. pag. Web; Tutu, RA, </t>
    </r>
    <r>
      <rPr>
        <rFont val="Calibri"/>
        <color rgb="FF000000"/>
        <sz val="12.0"/>
      </rPr>
      <t>JK Boateng</t>
    </r>
    <r>
      <rPr>
        <rFont val="Calibri"/>
        <color rgb="FF000000"/>
        <sz val="12.0"/>
      </rPr>
      <t xml:space="preserve">, EE Ameyaw, and JD Busingye. "Acculturation Inclinations and Subjective Health Status of Internal Migrants in James Town, an Urban Slum Settlement in Accra." </t>
    </r>
    <r>
      <rPr>
        <rFont val="Calibri"/>
        <i/>
        <color rgb="FF000000"/>
        <sz val="12.0"/>
      </rPr>
      <t>Journal of Population Research</t>
    </r>
    <r>
      <rPr>
        <rFont val="Calibri"/>
        <color rgb="FF000000"/>
        <sz val="12.0"/>
      </rPr>
      <t xml:space="preserve"> (2016): n. pag. Web.</t>
    </r>
  </si>
  <si>
    <r>
      <rPr>
        <rFont val="Calibri"/>
        <color rgb="FF000000"/>
        <sz val="12.0"/>
      </rPr>
      <t>2008</t>
    </r>
    <r>
      <rPr>
        <rFont val="Calibri"/>
        <color rgb="FF000000"/>
        <sz val="12.0"/>
      </rPr>
      <t xml:space="preserve">. Biodemography and Social Biology; 1948-5573, Volume 54, Issue 1, pp 56-73.                                                                                                                                                                                                                 </t>
    </r>
    <r>
      <rPr>
        <rFont val="Calibri"/>
        <color rgb="FF000000"/>
        <sz val="12.0"/>
      </rPr>
      <t>2012</t>
    </r>
    <r>
      <rPr>
        <rFont val="Calibri"/>
        <color rgb="FF000000"/>
        <sz val="12.0"/>
      </rPr>
      <t xml:space="preserve">. </t>
    </r>
    <r>
      <rPr>
        <rFont val="Calibri"/>
        <i/>
        <color rgb="FF000000"/>
        <sz val="12.0"/>
      </rPr>
      <t xml:space="preserve">International Journal of Educational Leadership </t>
    </r>
    <r>
      <rPr>
        <rFont val="Calibri"/>
        <color rgb="FF000000"/>
        <sz val="12.0"/>
      </rPr>
      <t xml:space="preserve">(IJEL); 4, 4, 125-132.                                                                                                                                                                                                                                 </t>
    </r>
    <r>
      <rPr>
        <rFont val="Calibri"/>
        <color rgb="FF000000"/>
        <sz val="12.0"/>
      </rPr>
      <t>2013</t>
    </r>
    <r>
      <rPr>
        <rFont val="Calibri"/>
        <color rgb="FF000000"/>
        <sz val="12.0"/>
      </rPr>
      <t xml:space="preserve">. </t>
    </r>
    <r>
      <rPr>
        <rFont val="Calibri"/>
        <i/>
        <color rgb="FF000000"/>
        <sz val="12.0"/>
      </rPr>
      <t xml:space="preserve">Journal of Research on Humanities </t>
    </r>
    <r>
      <rPr>
        <rFont val="Calibri"/>
        <color rgb="FF000000"/>
        <sz val="12.0"/>
      </rPr>
      <t>and Social Sciences, ISSN (Paper)2224-5766 ISSN (Online)2225-0484.</t>
    </r>
  </si>
  <si>
    <t>not yet checked: 3 pubs listed as "in press": 1) Boateng J.K. (2013). The role of Education, Religion and Politics in Resolving the Dilemma of the Modern African State. Developing Country Studies (in press). 2) Boateng J.K. (2013). Quality Assurance and Internationalization in a Private University College. Journal of Education Practice (in press).                                                                                                                         3) Boateng J.K. (2013). Effect of Education and Social Factors on Hygiene and Prevention Behavior of Women in Ghana. Research on Humanities and Social Sciences (in press).</t>
  </si>
  <si>
    <t>76</t>
  </si>
  <si>
    <t>Chirawurah</t>
  </si>
  <si>
    <t>Dennis</t>
  </si>
  <si>
    <t>MS (KNUST), Health Services Planning and Management</t>
  </si>
  <si>
    <t>Elisha P. Renne</t>
  </si>
  <si>
    <t>sebagnabu@yahoo.com</t>
  </si>
  <si>
    <t>Building Synergy and Complementarity in Midwifery in Africa;  The Indigenous Midwifery of the Kasena in Northern Ghana</t>
  </si>
  <si>
    <r>
      <rPr>
        <rFont val="Calibri"/>
        <color rgb="FFFF0000"/>
        <sz val="12.0"/>
      </rPr>
      <t xml:space="preserve">(37) </t>
    </r>
    <r>
      <rPr>
        <rFont val="Calibri"/>
        <color rgb="FF000000"/>
        <sz val="12.0"/>
      </rPr>
      <t>PhD 2016, UDS</t>
    </r>
  </si>
  <si>
    <t>PhD in progress prior to UMAPS (Endogenous Development, UDS)</t>
  </si>
  <si>
    <r>
      <rPr>
        <rFont val="Calibri"/>
        <color rgb="FF000000"/>
        <sz val="12.0"/>
      </rPr>
      <t xml:space="preserve">Derbile, E. K., Chirawurah, D., &amp; Naab, F. X. (2021). Vulnerability of smallholder agriculture to environmental change in North-Western Ghana and implications for development planning. Climate and Development, 1-13. Apanga, S., Addebah, G. T., &amp; </t>
    </r>
    <r>
      <rPr>
        <rFont val="Calibri"/>
        <color rgb="FF000000"/>
        <sz val="12.0"/>
      </rPr>
      <t>Chirawurah</t>
    </r>
    <r>
      <rPr>
        <rFont val="Calibri"/>
        <color rgb="FF000000"/>
        <sz val="12.0"/>
      </rPr>
      <t>, D. (2017). Listening to the Voices of the People: Community’s Assessment of Disaster Responder Agency Performance During Disaster Situations in Rural Northern Ghana. PLoS currents, 9.</t>
    </r>
  </si>
  <si>
    <t>no academic publications, although does have "baseline" and "evaluation" reports</t>
  </si>
  <si>
    <t>77</t>
  </si>
  <si>
    <t>DeWet</t>
  </si>
  <si>
    <t>Nicole</t>
  </si>
  <si>
    <t>PhD (WITS, 2013), Demography and Population Studies</t>
  </si>
  <si>
    <t>Barbara A. Anderson</t>
  </si>
  <si>
    <t xml:space="preserve">nic_dewet@yahoo.com Nicole.DeWet@wits.ac.za </t>
  </si>
  <si>
    <t>Socioeconomic Status and Youth Health Outcomes in South Africa</t>
  </si>
  <si>
    <t xml:space="preserve">received a fellowship under the Global Fellowship Programme of the Berlin Social Science Center and International Social Science Council in 2016 (4 months at WZB, Berlin Soc Sc Cen); lecturer at Wits, coordinator of the Masters programme in Demography and Population Studies; recipient of two Mellon Grants and the National Research Foundation Thuthuka Post-Doctoral Grant; collaborations w/U Southampton, U Hong Kong, U-M, Obafemi Awolowo University, Nigeria, Federal University Oye-Ekiti and U Johannesburg. </t>
  </si>
  <si>
    <r>
      <rPr>
        <rFont val="Calibri"/>
        <color rgb="FF000000"/>
        <sz val="12.0"/>
      </rPr>
      <t>Wet, N De</t>
    </r>
    <r>
      <rPr>
        <rFont val="Calibri"/>
        <color rgb="FF000000"/>
        <sz val="12.0"/>
      </rPr>
      <t xml:space="preserve">. "Gendered Differences in AIDS and AIDS-related Cause of Death among Youth with Secondary Education in South Africa, 2009-2011." </t>
    </r>
    <r>
      <rPr>
        <rFont val="Calibri"/>
        <i/>
        <color rgb="FF000000"/>
        <sz val="12.0"/>
      </rPr>
      <t>SAHARA-J: Journal of Social Aspects of HIV/AIDS</t>
    </r>
    <r>
      <rPr>
        <rFont val="Calibri"/>
        <color rgb="FF000000"/>
        <sz val="12.0"/>
      </rPr>
      <t xml:space="preserve"> 13.1 (2016): 170-77. Web. Akinyemi, J, </t>
    </r>
    <r>
      <rPr>
        <rFont val="Calibri"/>
        <color rgb="FF000000"/>
        <sz val="12.0"/>
      </rPr>
      <t>N De Wet</t>
    </r>
    <r>
      <rPr>
        <rFont val="Calibri"/>
        <color rgb="FF000000"/>
        <sz val="12.0"/>
      </rPr>
      <t xml:space="preserve">, and C Odimegwu. "Review of Sexuality Studies in Africa: Setting a New Post-2015 Research Agenda." Report? (2016): n. pag. Web. Mpofu, S, C Odimegwu, </t>
    </r>
    <r>
      <rPr>
        <rFont val="Calibri"/>
        <color rgb="FF000000"/>
        <sz val="12.0"/>
      </rPr>
      <t>N De Wet</t>
    </r>
    <r>
      <rPr>
        <rFont val="Calibri"/>
        <color rgb="FF000000"/>
        <sz val="12.0"/>
      </rPr>
      <t xml:space="preserve">, S Adedini, and J Akinyemi. "The Relation of Female Circumcision to Sexual Behavior in Kenya and Nigeria." </t>
    </r>
    <r>
      <rPr>
        <rFont val="Calibri"/>
        <i/>
        <color rgb="FF000000"/>
        <sz val="12.0"/>
      </rPr>
      <t>Women &amp; Health</t>
    </r>
    <r>
      <rPr>
        <rFont val="Calibri"/>
        <color rgb="FF000000"/>
        <sz val="12.0"/>
      </rPr>
      <t xml:space="preserve"> (2016): 1-18. Web. </t>
    </r>
    <r>
      <rPr>
        <rFont val="Calibri"/>
        <color rgb="FF000000"/>
        <sz val="12.0"/>
      </rPr>
      <t>Wet, N De</t>
    </r>
    <r>
      <rPr>
        <rFont val="Calibri"/>
        <color rgb="FF000000"/>
        <sz val="12.0"/>
      </rPr>
      <t xml:space="preserve">, and J Gumbo. "“Let’s Live Together First”: A Longitudinal Investigation into Whether Cohabitation Is a Precursor to Marriage among Young Urban South Africans." </t>
    </r>
    <r>
      <rPr>
        <rFont val="Calibri"/>
        <i/>
        <color rgb="FF000000"/>
        <sz val="12.0"/>
      </rPr>
      <t>African Population Studies</t>
    </r>
    <r>
      <rPr>
        <rFont val="Calibri"/>
        <color rgb="FF000000"/>
        <sz val="12.0"/>
      </rPr>
      <t xml:space="preserve"> (2016): n. pag. Web.</t>
    </r>
  </si>
  <si>
    <r>
      <rPr>
        <rFont val="Calibri"/>
        <color rgb="FF000000"/>
        <sz val="12.0"/>
      </rPr>
      <t>Wet, N De</t>
    </r>
    <r>
      <rPr>
        <rFont val="Calibri"/>
        <color rgb="FF000000"/>
        <sz val="12.0"/>
      </rPr>
      <t xml:space="preserve">. "Pregnancy and Death: An Examination of Pregnancyrelated Deaths among Adolescents in South Africa." </t>
    </r>
    <r>
      <rPr>
        <rFont val="Calibri"/>
        <i/>
        <color rgb="FF000000"/>
        <sz val="12.0"/>
      </rPr>
      <t>South African Journal of Child Health</t>
    </r>
    <r>
      <rPr>
        <rFont val="Calibri"/>
        <color rgb="FF000000"/>
        <sz val="12.0"/>
      </rPr>
      <t xml:space="preserve"> 10.3 (2016): 151. Web; Odimegwu, CO, </t>
    </r>
    <r>
      <rPr>
        <rFont val="Calibri"/>
        <color rgb="FF000000"/>
        <sz val="12.0"/>
      </rPr>
      <t>N De Wet</t>
    </r>
    <r>
      <rPr>
        <rFont val="Calibri"/>
        <color rgb="FF000000"/>
        <sz val="12.0"/>
      </rPr>
      <t xml:space="preserve">, and PC Banda. "Risky Sexual Behaviour among Women: Does Economic Empowerment Matter? Case of Gabon, Mozambique, Sierra-Leone and Zambia." </t>
    </r>
    <r>
      <rPr>
        <rFont val="Calibri"/>
        <i/>
        <color rgb="FF000000"/>
        <sz val="12.0"/>
      </rPr>
      <t>African Journal of AIDS Research</t>
    </r>
    <r>
      <rPr>
        <rFont val="Calibri"/>
        <color rgb="FF000000"/>
        <sz val="12.0"/>
      </rPr>
      <t xml:space="preserve"> 15.4 (2016): 333-40. Web; Mosley, EA, EJ King, AJ Schulz, LH Harris, </t>
    </r>
    <r>
      <rPr>
        <rFont val="Calibri"/>
        <color rgb="FF000000"/>
        <sz val="12.0"/>
      </rPr>
      <t>N De Wet</t>
    </r>
    <r>
      <rPr>
        <rFont val="Calibri"/>
        <color rgb="FF000000"/>
        <sz val="12.0"/>
      </rPr>
      <t xml:space="preserve">, and BA Anderson. "Abortion Attitudes among South Africans: Findings from the 2013 Social Attitudes Survey." </t>
    </r>
    <r>
      <rPr>
        <rFont val="Calibri"/>
        <i/>
        <color rgb="FF000000"/>
        <sz val="12.0"/>
      </rPr>
      <t>Culture, Health &amp; Sexuality</t>
    </r>
    <r>
      <rPr>
        <rFont val="Calibri"/>
        <color rgb="FF000000"/>
        <sz val="12.0"/>
      </rPr>
      <t xml:space="preserve"> (2017): 1-16. Web; Chisumpa, VH, CO Odimegwu, and </t>
    </r>
    <r>
      <rPr>
        <rFont val="Calibri"/>
        <color rgb="FF000000"/>
        <sz val="12.0"/>
      </rPr>
      <t>N De Wet</t>
    </r>
    <r>
      <rPr>
        <rFont val="Calibri"/>
        <color rgb="FF000000"/>
        <sz val="12.0"/>
      </rPr>
      <t>. "Adult Mortality in Sub-saharan Africa, Zambia: Where Do Adults Die?"</t>
    </r>
    <r>
      <rPr>
        <rFont val="Calibri"/>
        <i/>
        <color rgb="FF000000"/>
        <sz val="12.0"/>
      </rPr>
      <t xml:space="preserve"> SSM - Population Health</t>
    </r>
    <r>
      <rPr>
        <rFont val="Calibri"/>
        <color rgb="FF000000"/>
        <sz val="12.0"/>
      </rPr>
      <t xml:space="preserve"> (2017): n. pag. Web.</t>
    </r>
  </si>
  <si>
    <r>
      <rPr>
        <rFont val="Calibri"/>
        <color rgb="FF000000"/>
        <sz val="12.0"/>
      </rPr>
      <t>2013</t>
    </r>
    <r>
      <rPr>
        <rFont val="Calibri"/>
        <color rgb="FF000000"/>
        <sz val="12.0"/>
      </rPr>
      <t xml:space="preserve">. Journal of Interdisciplinary Social Sciences.                                                                                                                                                                                                                                                                              </t>
    </r>
    <r>
      <rPr>
        <rFont val="Calibri"/>
        <color rgb="FF000000"/>
        <sz val="12.0"/>
      </rPr>
      <t>2013</t>
    </r>
    <r>
      <rPr>
        <rFont val="Calibri"/>
        <color rgb="FF000000"/>
        <sz val="12.0"/>
      </rPr>
      <t xml:space="preserve">. African Population Studies: A Special Edition on South Africa.                                                                                                                                                                                                                                              </t>
    </r>
    <r>
      <rPr>
        <rFont val="Calibri"/>
        <color rgb="FF000000"/>
        <sz val="12.0"/>
      </rPr>
      <t>2013</t>
    </r>
    <r>
      <rPr>
        <rFont val="Calibri"/>
        <color rgb="FF000000"/>
        <sz val="12.0"/>
      </rPr>
      <t xml:space="preserve">. African Population Studies Vol 27(1).                                                                                                                                                                                                                                                                                         </t>
    </r>
    <r>
      <rPr>
        <rFont val="Calibri"/>
        <color rgb="FF000000"/>
        <sz val="12.0"/>
      </rPr>
      <t>2013</t>
    </r>
    <r>
      <rPr>
        <rFont val="Calibri"/>
        <color rgb="FF000000"/>
        <sz val="12.0"/>
      </rPr>
      <t xml:space="preserve">. Journal of Health and Social Behaviour. Plus </t>
    </r>
    <r>
      <rPr>
        <rFont val="Calibri"/>
        <color rgb="FF000000"/>
        <sz val="12.0"/>
      </rPr>
      <t>1</t>
    </r>
    <r>
      <rPr>
        <rFont val="Calibri"/>
        <color rgb="FF000000"/>
        <sz val="12.0"/>
      </rPr>
      <t xml:space="preserve"> chapter in edited volume.</t>
    </r>
  </si>
  <si>
    <r>
      <rPr>
        <rFont val="Calibri"/>
        <color rgb="FF000000"/>
        <sz val="12.0"/>
      </rPr>
      <t xml:space="preserve">not yet checked, in various stages of review: "Linkages between autonomy, poverty and contraceptive use in two sub-Saharan African Countries" to African Population Studies. "School dropout due to pregnancy and parent presence in the household” to Journal of Youth and Adolescence. “Child and adolescent deaths due to disease in South Africa” To </t>
    </r>
    <r>
      <rPr>
        <rFont val="Calibri"/>
        <i/>
        <color rgb="FF000000"/>
        <sz val="12.0"/>
      </rPr>
      <t>South African Medical Journal</t>
    </r>
    <r>
      <rPr>
        <rFont val="Calibri"/>
        <color rgb="FF000000"/>
        <sz val="12.0"/>
      </rPr>
      <t xml:space="preserve">. “Youth Mortality due to HIV/AIDS in South Africa: an application of life table techniques” Under review by </t>
    </r>
    <r>
      <rPr>
        <rFont val="Calibri"/>
        <i/>
        <color rgb="FF000000"/>
        <sz val="12.0"/>
      </rPr>
      <t>African Journal of AIDS research</t>
    </r>
    <r>
      <rPr>
        <rFont val="Calibri"/>
        <color rgb="FF000000"/>
        <sz val="12.0"/>
      </rPr>
      <t>. “Coerced First Sexual Experience among Female Youth and its Association with Risky Sexual Behaviour in Zimbabwe" under review by International Perspectives on Sexual and Reproductive Health.</t>
    </r>
  </si>
  <si>
    <t>78</t>
  </si>
  <si>
    <t>Fondjo</t>
  </si>
  <si>
    <t>Linda</t>
  </si>
  <si>
    <t>PhD (KNUST, 2010), Chemical Pathology (Molecular Medicine)</t>
  </si>
  <si>
    <t>Frank Anderson, Cosmas Van de Ven and Timothy Johnson</t>
  </si>
  <si>
    <t>dammylee@yahoo.com</t>
  </si>
  <si>
    <t>Correlation between Placental Malaria Parasitaemia and the occurrence of Pregnancy-Induced Hypertension in Ghanaian Pregnant women</t>
  </si>
  <si>
    <t xml:space="preserve">updated bio Oct 2017: International travel grant recipient to participate in conferences in Belgium (2017), Senegal (2017), Cameroon (2017) and California, USA (2017); additional conference participation in Ghana (2015); Reviewer for J Clinical Biochemistry (2017) and J Medicine and Medical Sciences (2017); served as external programme assessor of Mountain View College, Kumasi, Ghana (2017); served as mentor through African Research Academies for Women (2016-current). </t>
  </si>
  <si>
    <r>
      <rPr>
        <rFont val="Calibri"/>
        <color rgb="FF000000"/>
        <sz val="12.0"/>
      </rPr>
      <t xml:space="preserve">Jiagge, E, JK Oppong, J Bensenhaver, F Aitpillah, K Gyan, I Kyei, E Osei-Bonsu, E Adjei, M Ohene-Yeboah, K Toy, KE Jackson, M Akpaloo, D Acheampong, B Antwi, FO Agyeman, Z Alhassan, </t>
    </r>
    <r>
      <rPr>
        <rFont val="Calibri"/>
        <color rgb="FF000000"/>
        <sz val="12.0"/>
      </rPr>
      <t>LA Fondjo</t>
    </r>
    <r>
      <rPr>
        <rFont val="Calibri"/>
        <color rgb="FF000000"/>
        <sz val="12.0"/>
      </rPr>
      <t xml:space="preserve">, O Owusu-Afriyie, RN Brewer, A Gyamfuah, B Salem, T Johnson, M Wicha, S Merajver, C Kleer, J Pang, E Amankwaa-Frempong, A Stark, F Abantanga, L Newman, and B Awuah. "Breast Cancer and African Ancestry: Lessons Learned at the 10-Year Anniversary of the Ghana-Michigan Research Partnership and International Breast Registry." </t>
    </r>
    <r>
      <rPr>
        <rFont val="Calibri"/>
        <i/>
        <color rgb="FF000000"/>
        <sz val="12.0"/>
      </rPr>
      <t>Journal of Global Oncology</t>
    </r>
    <r>
      <rPr>
        <rFont val="Calibri"/>
        <color rgb="FF000000"/>
        <sz val="12.0"/>
      </rPr>
      <t xml:space="preserve"> 2.5 (2016): 302-10. Web.</t>
    </r>
  </si>
  <si>
    <r>
      <rPr>
        <rFont val="Calibri"/>
        <color rgb="FF000000"/>
        <sz val="12.0"/>
      </rPr>
      <t>2012</t>
    </r>
    <r>
      <rPr>
        <rFont val="Calibri"/>
        <color rgb="FF000000"/>
        <sz val="12.0"/>
      </rPr>
      <t xml:space="preserve">. </t>
    </r>
    <r>
      <rPr>
        <rFont val="Calibri"/>
        <i/>
        <color rgb="FF000000"/>
        <sz val="12.0"/>
      </rPr>
      <t>Journal of Medical and Biomedical Sciences</t>
    </r>
    <r>
      <rPr>
        <rFont val="Calibri"/>
        <color rgb="FF000000"/>
        <sz val="12.0"/>
      </rPr>
      <t xml:space="preserve"> 1(3): 62-76.                                                                                                                                                                                                                                                        </t>
    </r>
    <r>
      <rPr>
        <rFont val="Calibri"/>
        <color rgb="FF000000"/>
        <sz val="12.0"/>
      </rPr>
      <t>2010</t>
    </r>
    <r>
      <rPr>
        <rFont val="Calibri"/>
        <color rgb="FF000000"/>
        <sz val="12.0"/>
      </rPr>
      <t xml:space="preserve">. </t>
    </r>
    <r>
      <rPr>
        <rFont val="Calibri"/>
        <i/>
        <color rgb="FF000000"/>
        <sz val="12.0"/>
      </rPr>
      <t>Journal of Ghana Science Association</t>
    </r>
    <r>
      <rPr>
        <rFont val="Calibri"/>
        <color rgb="FF000000"/>
        <sz val="12.0"/>
      </rPr>
      <t xml:space="preserve">.,12(1):48-58.                                                                                                                                                                                                                                                                </t>
    </r>
    <r>
      <rPr>
        <rFont val="Calibri"/>
        <color rgb="FF000000"/>
        <sz val="12.0"/>
      </rPr>
      <t>2008</t>
    </r>
    <r>
      <rPr>
        <rFont val="Calibri"/>
        <color rgb="FF000000"/>
        <sz val="12.0"/>
      </rPr>
      <t xml:space="preserve">. </t>
    </r>
    <r>
      <rPr>
        <rFont val="Calibri"/>
        <i/>
        <color rgb="FF000000"/>
        <sz val="12.0"/>
      </rPr>
      <t>J.Med.Sci.</t>
    </r>
    <r>
      <rPr>
        <rFont val="Calibri"/>
        <color rgb="FF000000"/>
        <sz val="12.0"/>
      </rPr>
      <t xml:space="preserve">,8(8):707-714.                                                                                                                                                                                                                                                                                                                   </t>
    </r>
    <r>
      <rPr>
        <rFont val="Calibri"/>
        <color rgb="FF000000"/>
        <sz val="12.0"/>
      </rPr>
      <t>2008</t>
    </r>
    <r>
      <rPr>
        <rFont val="Calibri"/>
        <color rgb="FF000000"/>
        <sz val="12.0"/>
      </rPr>
      <t xml:space="preserve">. </t>
    </r>
    <r>
      <rPr>
        <rFont val="Calibri"/>
        <i/>
        <color rgb="FF000000"/>
        <sz val="12.0"/>
      </rPr>
      <t>J.Med.Sci.</t>
    </r>
    <r>
      <rPr>
        <rFont val="Calibri"/>
        <color rgb="FF000000"/>
        <sz val="12.0"/>
      </rPr>
      <t xml:space="preserve">,8(5):443-451. </t>
    </r>
  </si>
  <si>
    <t>79</t>
  </si>
  <si>
    <t>Gerring</t>
  </si>
  <si>
    <t>Renee</t>
  </si>
  <si>
    <t>BS (York College, NY), Engineering</t>
  </si>
  <si>
    <t>Dimitrios Zekkos</t>
  </si>
  <si>
    <t>reneegerring@yahoo.com</t>
  </si>
  <si>
    <t>Advanced Laboratory Techniques</t>
  </si>
  <si>
    <t>Incoming position: Lab supervisor</t>
  </si>
  <si>
    <t>no data</t>
  </si>
  <si>
    <t>80</t>
  </si>
  <si>
    <t>Ikpe</t>
  </si>
  <si>
    <t>MS (UNISA), Applied Mathematics</t>
  </si>
  <si>
    <t>Erhan Bayraktar and Sergey Nadtochiy</t>
  </si>
  <si>
    <t>denmaths@yahoo.com and ikpedenn@msu.edu</t>
  </si>
  <si>
    <t>517-884-1923</t>
  </si>
  <si>
    <t>Information Based Asset Pricing</t>
  </si>
  <si>
    <r>
      <rPr>
        <rFont val="Calibri"/>
        <color rgb="FFFF0000"/>
        <sz val="12.0"/>
      </rPr>
      <t xml:space="preserve">(38) </t>
    </r>
    <r>
      <rPr>
        <rFont val="Calibri"/>
        <color rgb="FF000000"/>
        <sz val="12.0"/>
      </rPr>
      <t>PhD 2016, UCT</t>
    </r>
  </si>
  <si>
    <t>MSU: Assistant Professor: Statistics and Probability
Coordinator: African Engagement in Data Science, College of Natural Science</t>
  </si>
  <si>
    <t>no academic publications in "published" category (but one is "submitted")</t>
  </si>
  <si>
    <r>
      <rPr>
        <rFont val="Calibri"/>
        <color rgb="FF000000"/>
        <sz val="12.0"/>
      </rPr>
      <t xml:space="preserve">not yet checked: D.C Ikpe , and E. Rapoo. Hybrid numerical methods for SDEs . </t>
    </r>
    <r>
      <rPr>
        <rFont val="Calibri"/>
        <i/>
        <color rgb="FF000000"/>
        <sz val="12.0"/>
      </rPr>
      <t xml:space="preserve">Applied Probability Journal </t>
    </r>
    <r>
      <rPr>
        <rFont val="Calibri"/>
        <color rgb="FF000000"/>
        <sz val="12.0"/>
      </rPr>
      <t xml:space="preserve">. 2011. </t>
    </r>
    <r>
      <rPr>
        <rFont val="Calibri"/>
        <color rgb="FF000000"/>
        <sz val="12.0"/>
      </rPr>
      <t>Submitted</t>
    </r>
    <r>
      <rPr>
        <rFont val="Calibri"/>
        <color rgb="FF000000"/>
        <sz val="12.0"/>
      </rPr>
      <t>.</t>
    </r>
  </si>
  <si>
    <t>81</t>
  </si>
  <si>
    <t>Murray</t>
  </si>
  <si>
    <t>Gesler</t>
  </si>
  <si>
    <t>MA (U Liberia), International Relations; now working in Geology and Mining Engineering</t>
  </si>
  <si>
    <t>Adam Simon</t>
  </si>
  <si>
    <t>gesleremurray@yahoo.com</t>
  </si>
  <si>
    <t>The Paynesville Sandstone: Its Usefulness as a Water Reservoir Rock and an Academic Study</t>
  </si>
  <si>
    <t xml:space="preserve">Incoming position: Head of Department. Per Feb 2018, appointed as MINISTER of Lands, Mines, and Energy of Liberia (email to KA and HF, 2/14/18)
</t>
  </si>
  <si>
    <t>82</t>
  </si>
  <si>
    <t>Musemwa</t>
  </si>
  <si>
    <t>Muchaparara</t>
  </si>
  <si>
    <t>WITS University</t>
  </si>
  <si>
    <t>PhD (UMinnesota, 2003), History</t>
  </si>
  <si>
    <t>Derek Peterson</t>
  </si>
  <si>
    <t>we are in close contact, since he is dean of Graduate Students and Wits has recently hired one of my doctoral students</t>
  </si>
  <si>
    <t>mucha.musemwa@wits.ac.za, musemwa@yahoo.com</t>
  </si>
  <si>
    <t xml:space="preserve"> +27 (0) 11-717-4430/4051</t>
  </si>
  <si>
    <t xml:space="preserve">Water Scarcity: Colonial and Postcolonial Hydraulic Interventions in South-western Matabeleland, Zimbabwe, 1945-1992. </t>
  </si>
  <si>
    <t xml:space="preserve">Updated bio Oct 2017: Received NRF Incentive Award, Wits, in 2015; served as Assistant Dean for Postgraduate Studies, Faculty of Humanities, Wits, 2015-17; served as president of the South African Historical Society, 2015-17; elected as board member of ICEHO, 2016-19; advisory board member for WiSER, 2017-20; appointed as Head of School of Social Sciences, Wits, 2017-22. Was part of the Toxity workshop as part of the Mellon UM-WiSER grant, with resulting paper to appear in on-line journal Somatosphere. Updated November 2020: Currently, Associate Professor, Dept. of History Postgraduate Affairs, Faculty of Humanities, Wits University. Updated bio/achievement 2020: serve on the Scholarship Selection Committee of the European Forum Alpbach (EFA) Foundation (EFA is an interdisciplinary platform for science, politics, business and culture to addresses the relevant socio-economic questions of our time, inviting more than 25 postgraduate students from Africa on its Africa Scholarship Programme to attend its annual two-week conference held in Austria). 2019: Invited by the Academy of Science of South Africa (ASSAf) to serve on the ASSAf Ad hoc Consensus Panel Review Committee to peer review new journal applications and re-applications for the Department of Higher Education and Training, South Africa. 2017-2022: Member of the National Research Foundation (NRF) Rating Panel for Historical Studies. 2018- Member of the Wits University Internal NRF-Rating Panel. 2020: Invited to participate in the first roundtable Zoom Webinar organized by the Zimbabwe Historical Association re: “Remembering Mugabe” 22nd September; ‘From Liberation Struggle to Independence: A History of Zimbabwe’s Environmental Pathway of Development, 1980-2017’, paper presented at the International Consortium of Environmental Organizations (ICEHO)’s Third World Congress of EnvironmentalHistory to be held in Florianópolis, Brazil, 22-26 July (Also on the Conference Program organizing committee). 2018: Invited to participate in the Higher Education Leadership and Management Programme for Heads of Schools/Academic Departments implemented by the Department of Higher Education and Training’s University Capacity Development Programme. 2018: ‘Zimbabwe’s drift towards authoritarianism and its environmental consequences, 2000-2017’, paper presented at the NRF Programme in Local Histories and Present Realities, History Workshop. Chaired and helped to conceptualize (with Prof. Edwin Etieyibo and Dr. Obvious Katsaura) the concept for the 42nd World Congress of the International Institute of Sociology held jointly with the School of Social Sciences and themed: “The Social Sciences, New Conservatisms and New Radicalisms” held at Wits University. 2018: Presented paper entitled ‘Water Politics in Zimbabwe’ at the Watershed Symposium Territorial Waters, Politics and Regional Commons. 2018: ‘Water, Power and Justice in the City of Bulawayo, Zimbabwe, during the era of the Government of National Unity and beyond’, Paper presented at the American Society for Environmental History hosted by the University of California – Riverside and the Claremont University Consortium, Riverside, California. 2018: Invited to participate, as a Senior Scholar/Advisor of the African Humanities Program (AHP) of the American Council of Learned Societies, at an AHP Consultative Regional Assembly to rethink the AHP, University of Ghana, Accra, Ghana. 2017: The Political Economy of Zimbabwe’s Environmental Decline in a Time of Crisis, 2000-2017. Paper presented at the conference: Commanding the Environment or Green Dictatorships? Nature-Culture-Nature- Society Relationships in Authoritarian Regimes, University of Helsinki, Finland. 2017: Flows of Water/Flows of Power/ Flows of History: History and Historians without Borders? Presidential address presented at the Southern African Historical Society 26th Biennial Conference held at the University of the Witwatersrand. (also Chair of the Conference Organizing Committee). 2017: Invited to open the South African Institute of International Affairs (SAIIA) Johannesburg Model UN Conference – 2nd Annual Young Researcher’s Symposium/Wildlife Youth Forum at SAIIA. 2017: Invited to act as one of the adjudicators at the South African Institute of International Affairs (SAIIA) Johannesburg Model UN Conference. 2016: Presented a paper entitled Bruma Lake: Waterfront: The Making and Unmaking of a Toxic Waterscape in East Johannesburg, South Africa, 1989-2015 at the University of Michigan-WISER workshop on the theme: Toxicity, Detritus and Waste in Durban, 7-8th July. 2016: Invited to participate in a fully-funded University of Minnesota’s Summer Institute on international rivers on the specific theme: Grasping Waters: Rivers and Human Systems in China, Africa and North America, as part of the inaugural event of a Chiang Ching-kuo Foundation (CCKF) and Consortium for Humanities Centers and Institutes program of Summer Institutes in Chinese Studies and Global Humanities. I will serve as one of the leaders of a roundtable on Geographies and Hydrologies. 2016: Invited to participate in a fully-funded workshop to specifically give ‘a view from Africa by sharing a case-study’ at the Peri-urban Water Conflicts: Perspectives &amp; Issues of Water Justice in South Asia Workshop organized by the South Asia Consortium for Interdisciplinary Water Resources Studies, Hyderabad, India. 2016. Presentation: Prepaid Meters in Zimbabwe: Hijacking a Human Right to Water: A View from Bulawayo, Zimbabwe. 2015: presentation: Water and Settler Colonialism in Zimbabwe: A History of Hydropolitics in Southwestern Matabeleland, 1890-1965, at the 25th Biennial Conference of the Southern African Historical Society, University of Western Cape, South Africa. 2015: Gave the Baraza Lecture at the Center for African Studies, University of Florida, Gainesville, Florida, USA, ‘Climate and Societal Interaction in Southwestern Matabeleland, Colonial Zimbabwe: The Drought of 1964-66 and its Antecedents’. 2014: Presented a paper entitled: ‘Climate and Societal Interaction in Southwestern Matabeleland, Colonial Zimbabwe: The Drought of 1964-66 and its Antecedents’, 2014-2015 University of Michigan African Presidential Scholars (UMAPS) Research Symposium, organized by the African Studies Centre. 2014: Presented a paper entitled: 'Climate and Societal Interaction in Southwestern Matabeleland, Colonial Zimbabwe: The Drought of 1964-66 and its Antecedents’, at the African History and Anthropology Workshop, University of Michigan. 2014: Presented paper entitled, ‘Sic utere tu out alienam non laedas: From Wanton Destruction of Timber Forests to Environmentalism: The rise of colonial environmental practices in Southern Rhodesia, 1938-1961’, to the University of Michigan Environmental History Interest Group Student Workshop.                                                                                                                                                        </t>
  </si>
  <si>
    <r>
      <rPr>
        <rFont val="Calibri"/>
        <color rgb="FFFF0000"/>
        <sz val="12.0"/>
      </rPr>
      <t>Book</t>
    </r>
    <r>
      <rPr>
        <rFont val="Calibri"/>
        <color rgb="FF000000"/>
        <sz val="12.0"/>
      </rPr>
      <t xml:space="preserve"> Musemwa, M. WATER, HISTORY AND POLITICS IN ZIMBABWE: BULAWAYO'S STRUGGLES WITH THE ENVIRONMENT, 1894-2008 (TREETON, NEW JERSEY: AFRICA WORLD PRESS, 2014). Musemwa, M. "Narratives of Scarcity: Colonial State Responses to Water Scarcity in Southern Rhodesia, 1890-1965." Environmental History in the Making/ Environmental History (2016): 263-90. Web. </t>
    </r>
    <r>
      <rPr>
        <rFont val="Calibri"/>
        <color rgb="FFFF0000"/>
        <sz val="12.0"/>
      </rPr>
      <t>Co-edited Books</t>
    </r>
    <r>
      <rPr>
        <rFont val="Calibri"/>
        <color rgb="FF000000"/>
        <sz val="12.0"/>
      </rPr>
      <t xml:space="preserve">: 2020 (In Press): Edwin Etieyibo, Muchaparara Musemwa and Obvious Katsaura (eds.) Edited volume entitled: African Radicalisms and Conservatisms: Africa and the World (Leiden: Brill). 2012 M. Musemwa and Sarah Chiumbu (eds.): Crisis! What Crisis? Exploring the Multiple Dimensions of the Zimbabwe Crisis (Cape Town: HSRC Press, June 2012). </t>
    </r>
    <r>
      <rPr>
        <rFont val="Calibri"/>
        <color rgb="FF000000"/>
        <sz val="12.0"/>
      </rPr>
      <t>Chapters in Edited Volumes</t>
    </r>
    <r>
      <rPr>
        <rFont val="Calibri"/>
        <color rgb="FF000000"/>
        <sz val="12.0"/>
      </rPr>
      <t>: 1. (In Press): Edwin Etieyibo, Muchaparara Musemwa and Obvious Katsaura, “Introduction”, Edwin Etieyibo, Muchaparara Musemwa and Obvious Katsaura (eds.), Edited Volume One entitled: African Radicalisms and Conservatisms: Africa and the World (Leiden: Brill, 2020). 2. M. Musemwa (2019), ‘Zimbabwe’s drift towards authoritarianism and its environmental consequences, 2000-2017’, in Stephen Brain and Viktor Pál (eds.) Environmentalism under Authoritarian Regimes: Myth, Propaganda and Reality, Routledge Environmental Humanities Series (Routledge: Taylor &amp; Francis Group), pp. 191-213. e-Link: https://doi.org/10.4324/9781351007061 3. M. Musemwa (2016), ‘Narratives of Scarcity: Colonial State Responses to Water Scarcity in Southern Rhodesia, 1890-1972’. Cristina Joanez de Melo, Estelita Vaz and Lígio Pinto (eds.) Environmental History in the Making, Volume II (Springer), Chapter 15, pp. 263-290. E-Link:https://link.springer.com/chapter/10.1007/978-3-319-41139-2_15 4. M. Musemwa (2016), ‘Contestation over Resources: The Miners-Farmers Dispute in Colonial Zimbabwe, 1903-1939’, Sarah Johnson (ed.) Farming: Themes in Environmental History, (The White Horse Press,), Volume 6 in the Reader Series, Themes in Environmental History. ISBN-13: 9781874267898. INDIVIDUAL and COLLABORATIVE RESEARCH PROJECTS: (a) I am involved in a collaborative book project titled Managing Water: Lessons from History to be published by Pittsburgh University Press as part of the History of Urban Environments Series involving leading environmental and water historians from universities such as, Monash, Western Australia, Northwestern, Wageningen, etc</t>
    </r>
  </si>
  <si>
    <r>
      <rPr>
        <rFont val="Calibri"/>
        <color rgb="FFFF0000"/>
        <sz val="12.0"/>
      </rPr>
      <t>Updated Nov. 2020</t>
    </r>
    <r>
      <rPr>
        <rFont val="Calibri"/>
        <color rgb="FF000000"/>
        <sz val="12.0"/>
      </rPr>
      <t xml:space="preserve">:                                                                                                                                                                                                                                                                                                                                                                    </t>
    </r>
    <r>
      <rPr>
        <rFont val="Calibri"/>
        <color rgb="FF000000"/>
        <sz val="12.0"/>
      </rPr>
      <t>Articles Published in Peer Reviewed Accredited Journal Articles (ISI, IBSS</t>
    </r>
    <r>
      <rPr>
        <rFont val="Calibri"/>
        <color rgb="FF000000"/>
        <sz val="12.0"/>
      </rPr>
      <t xml:space="preserve">):
1. Innocent Dande, Elijah Doro, Muchaparara Musemwa &amp; Thembani Dube (2020)
“Remembering Mugabe”, South African Historical Journal, 72:2, 321-344, DOI: 10.1080/02582473.2020.1769962
2. M. Musemwa (2019), ‘Flows of water/Flows of power/ Flows of history: Current trends and transdisciplinary insights and future directions’, South African Historical Journal, 71:2, pp. 139-149. e-Link:
https://www.tandfonline.com/eprint/YDDFGUPJFQJ9ZX4VBDNN/full?target=10.1080 /02582473.2019.1650100
3. M. Musemwa (2019), ‘Climate and Societal Interaction in Southwestern Matabeleland, Colonial Zimbabwe: The Drought of 1964-66 and its Antecedents’, Human Geography: A New Radical Journal, Special Issue: Hydro-Social Intersections, Vol. 12, No. 1, 5-18. e- Link: https://doi.org/10.1177%2F194277861901200111
4. M. Musemwa (2017), ‘Lake’, published in a Special Issue of Somatosphere, Gabrielle Hecht and Pamila Gupta (eds.). Toxicity, Waste and Detritus in the Global South: Africa and Beyond. Website link: http://somatosphere.net/toxicity (NB: NOT DHET accredited but highly influential journal).
5. Lucy Rodina, Mucha Musemwa, Lawrence Baker, et. al (2017). ‘Water, Equity and Resilience in Southern Africa: Future Directions for Research and Practice’, Current Opinion in Environmental Sustainability, No. 26/27, 143-151. Available at e-link: https://doi.org/10.1016/j.cosust.2017.09.001 Impact Factor: 4.258.
6. M. Musemwa (2016), ‘Sic utere tu out alienam non laedas: From Wanton Destruction of Timber Forests to Environmentalism: The rise of colonial environmental practices in Southern Rhodesia, 1938-1961’. Environment and History, Number 4 (November, 2016), pp.521-559. (NB: Impact factor of journal in 2018 – 0.800 and a 5-year impact factor of 0.918, and now ranked 5th out of 87 history journals). e-Link: </t>
    </r>
    <r>
      <rPr>
        <rFont val="Calibri"/>
        <color rgb="FF1155CC"/>
        <sz val="12.0"/>
        <u/>
      </rPr>
      <t>http://www.whpress.co.uk/EH/EH2216.html.</t>
    </r>
    <r>
      <rPr>
        <rFont val="Calibri"/>
        <color rgb="FF000000"/>
        <sz val="12.0"/>
      </rPr>
      <t xml:space="preserve">                                                                                                                                                                                                                                                                
</t>
    </r>
    <r>
      <rPr>
        <rFont val="Calibri"/>
        <color rgb="FF000000"/>
        <sz val="12.0"/>
      </rPr>
      <t xml:space="preserve">                                                                                                                                                                                                                                                                                                                                                                          INDIVIDUAL and COLLABORATIVE RESEARCH PROJECTS:                                                                                                                                                                                                                                                                </t>
    </r>
    <r>
      <rPr>
        <rFont val="Calibri"/>
        <color rgb="FF000000"/>
        <sz val="12.0"/>
      </rPr>
      <t xml:space="preserve">Co-editing (with Regents Professor Allen Isaacman, University of Minnesota, USA) a special issue of Daedalus, a journal of the American Academy of the Arts and Sciences (AAAS) on the theme: Water Security in the Age of Climate Crisis. Duration of project: 2019-2021.      </t>
    </r>
    <r>
      <rPr>
        <rFont val="Calibri"/>
        <color rgb="FF000000"/>
        <sz val="12.0"/>
      </rPr>
      <t xml:space="preserve">                                                                                                                                                                                                                                                Works in Progress</t>
    </r>
    <r>
      <rPr>
        <rFont val="Calibri"/>
        <color rgb="FF000000"/>
        <sz val="12.0"/>
      </rPr>
      <t xml:space="preserve">:
(Now going through the publication process with Wits Press).
M. Musemwa, ‘From ‘Nature Study’ to ‘Nature’s Archives’: Reflections on a Journey into Environmental History’. John Wright and Cynthia Kros (eds). Ezakudala/Tsa Kgale: Exploring the Archive of Times Past (Johannesburg: Wits University Press, 2020).
(Now going through the publication process with Wits Press).
M. Musemwa (2020), ‘Foreword’ to edited volume, Hilton Judin (ed.) Falling Monuments, Reluctant Ruins: Persistence of the past in the architecture and infrastructure of apartheid (Wits University Press, 2020).
M. Musemwa, “Water and the Making of the City of Mutare, Zimbabwe, 1891-1950,” Frost and Martin Shanahan (eds.), Managing Water and the Urban Environment: Lessons from History (University of Pittsburgh Press, 2021).
(Forthcoming)M. Musemwa, “Land, water and race: In Search of Truth and the search for environmental justice in Southern Rhodesia,” in Graeme Wynn, Nancy Jacobs and Jane Carruthers, Environment, Power and Justice in Southern Africa (Ohio University Press, 2020).
</t>
    </r>
    <r>
      <rPr>
        <rFont val="Calibri"/>
        <color rgb="FF000000"/>
        <sz val="12.0"/>
      </rPr>
      <t xml:space="preserve">                                                                                                                                                                                                                                                                                                                                                                 Works currently being edited</t>
    </r>
    <r>
      <rPr>
        <rFont val="Calibri"/>
        <color rgb="FF000000"/>
        <sz val="12.0"/>
      </rPr>
      <t>:
Arising out of the 42nd World Congress of the International Institute of Sociology held jointly with the School of Social Sciences at the University of the Witwatersrand, 5-7 September, 2018, Professor Edwin Etieyibo, Dr. Obvious Katsaura and I as the main organizers of the Conference are now editing the following expected outputs:
(1) Edwin Etieyibo, Muchaparara Musemwa and Obvious Katsaura (eds.), Edited Volume Two entitled: Radicalisms and Conservatisms: Africa and the World (Leiden: Brill, 2020). [NB: Please see copy of the book contract with Brill).
(2) Special issue on “Politics and Decolonization,” in the journal, Africa Today (Edwin Etieyibo, Muchaparara Musemwa and Obvious Katsaura).
(3) Special issue on “Identities, Exclusionism and Politics in Africa,” in the journal, African Studies (Edwin Etieyibo, Obvious Katsaura and Muchaparara Musemwa).
(4) Special issue on “Identities and Exclusionism in Africa,” in the journal, Africa Review (Edwin Etieyibo, Obvious Katsaura and Muchaparara Musemwa).
NB: Submissions are currently in the peer review process stages.</t>
    </r>
  </si>
  <si>
    <r>
      <rPr>
        <rFont val="Calibri"/>
        <color rgb="FF000000"/>
        <sz val="12.0"/>
      </rPr>
      <t xml:space="preserve">2012. </t>
    </r>
    <r>
      <rPr>
        <rFont val="Calibri"/>
        <color rgb="FF000000"/>
        <sz val="12.0"/>
      </rPr>
      <t xml:space="preserve">co-edited volume, </t>
    </r>
    <r>
      <rPr>
        <rFont val="Calibri"/>
        <i/>
        <color rgb="FF000000"/>
        <sz val="12.0"/>
      </rPr>
      <t>Crisis? What Crisis. The Multiple Dimensions of the Zimbabwan Crisis</t>
    </r>
    <r>
      <rPr>
        <rFont val="Calibri"/>
        <color rgb="FF000000"/>
        <sz val="12.0"/>
      </rPr>
      <t xml:space="preserve">. Cape Town: HSRC Press. </t>
    </r>
    <r>
      <rPr>
        <rFont val="Calibri"/>
        <color rgb="FF000000"/>
        <sz val="12.0"/>
      </rPr>
      <t xml:space="preserve">8 </t>
    </r>
    <r>
      <rPr>
        <rFont val="Calibri"/>
        <color rgb="FF000000"/>
        <sz val="12.0"/>
      </rPr>
      <t xml:space="preserve">chapters in (8) edited volumes. </t>
    </r>
    <r>
      <rPr>
        <rFont val="Calibri"/>
        <color rgb="FF000000"/>
        <sz val="12.0"/>
      </rPr>
      <t>2011.</t>
    </r>
    <r>
      <rPr>
        <rFont val="Calibri"/>
        <color rgb="FF000000"/>
        <sz val="12.0"/>
      </rPr>
      <t>Transformation:</t>
    </r>
    <r>
      <rPr>
        <rFont val="Calibri"/>
        <i/>
        <color rgb="FF000000"/>
        <sz val="12.0"/>
      </rPr>
      <t xml:space="preserve"> Critical Perspectives on Southern Africa</t>
    </r>
    <r>
      <rPr>
        <rFont val="Calibri"/>
        <color rgb="FF000000"/>
        <sz val="12.0"/>
      </rPr>
      <t xml:space="preserve"> 75: 122-31. </t>
    </r>
    <r>
      <rPr>
        <rFont val="Calibri"/>
        <color rgb="FF000000"/>
        <sz val="12.0"/>
      </rPr>
      <t>2010</t>
    </r>
    <r>
      <rPr>
        <rFont val="Calibri"/>
        <color rgb="FF000000"/>
        <sz val="12.0"/>
      </rPr>
      <t xml:space="preserve">. </t>
    </r>
    <r>
      <rPr>
        <rFont val="Calibri"/>
        <i/>
        <color rgb="FF000000"/>
        <sz val="12.0"/>
      </rPr>
      <t>Journal of Developing Societies</t>
    </r>
    <r>
      <rPr>
        <rFont val="Calibri"/>
        <color rgb="FF000000"/>
        <sz val="12.0"/>
      </rPr>
      <t xml:space="preserve"> 26(2): 165-206. </t>
    </r>
    <r>
      <rPr>
        <rFont val="Calibri"/>
        <color rgb="FF000000"/>
        <sz val="12.0"/>
      </rPr>
      <t>2009</t>
    </r>
    <r>
      <rPr>
        <rFont val="Calibri"/>
        <color rgb="FF000000"/>
        <sz val="12.0"/>
      </rPr>
      <t xml:space="preserve">. </t>
    </r>
    <r>
      <rPr>
        <rFont val="Calibri"/>
        <i/>
        <color rgb="FF000000"/>
        <sz val="12.0"/>
      </rPr>
      <t>Environment and History</t>
    </r>
    <r>
      <rPr>
        <rFont val="Calibri"/>
        <color rgb="FF000000"/>
        <sz val="12.0"/>
      </rPr>
      <t xml:space="preserve"> 15: 79-107. </t>
    </r>
    <r>
      <rPr>
        <rFont val="Calibri"/>
        <color rgb="FF000000"/>
        <sz val="12.0"/>
      </rPr>
      <t>2009</t>
    </r>
    <r>
      <rPr>
        <rFont val="Calibri"/>
        <color rgb="FF000000"/>
        <sz val="12.0"/>
      </rPr>
      <t xml:space="preserve">. </t>
    </r>
    <r>
      <rPr>
        <rFont val="Calibri"/>
        <i/>
        <color rgb="FF000000"/>
        <sz val="12.0"/>
      </rPr>
      <t>Water History Journa</t>
    </r>
    <r>
      <rPr>
        <rFont val="Calibri"/>
        <color rgb="FF000000"/>
        <sz val="12.0"/>
      </rPr>
      <t xml:space="preserve">l 1: 1-8. </t>
    </r>
    <r>
      <rPr>
        <rFont val="Calibri"/>
        <color rgb="FF000000"/>
        <sz val="12.0"/>
      </rPr>
      <t>2008</t>
    </r>
    <r>
      <rPr>
        <rFont val="Calibri"/>
        <color rgb="FF000000"/>
        <sz val="12.0"/>
      </rPr>
      <t>.</t>
    </r>
    <r>
      <rPr>
        <rFont val="Calibri"/>
        <i/>
        <color rgb="FF000000"/>
        <sz val="12.0"/>
      </rPr>
      <t xml:space="preserve"> Journal of Southern African Studies </t>
    </r>
    <r>
      <rPr>
        <rFont val="Calibri"/>
        <color rgb="FF000000"/>
        <sz val="12.0"/>
      </rPr>
      <t xml:space="preserve">34(4): 881-98. </t>
    </r>
    <r>
      <rPr>
        <rFont val="Calibri"/>
        <color rgb="FF000000"/>
        <sz val="12.0"/>
      </rPr>
      <t>2006</t>
    </r>
    <r>
      <rPr>
        <rFont val="Calibri"/>
        <color rgb="FF000000"/>
        <sz val="12.0"/>
      </rPr>
      <t xml:space="preserve">. </t>
    </r>
    <r>
      <rPr>
        <rFont val="Calibri"/>
        <i/>
        <color rgb="FF000000"/>
        <sz val="12.0"/>
      </rPr>
      <t>Journal of Southern African Studies</t>
    </r>
    <r>
      <rPr>
        <rFont val="Calibri"/>
        <color rgb="FF000000"/>
        <sz val="12.0"/>
      </rPr>
      <t xml:space="preserve"> 32(2): 239-54. </t>
    </r>
    <r>
      <rPr>
        <rFont val="Calibri"/>
        <color rgb="FF000000"/>
        <sz val="12.0"/>
      </rPr>
      <t>2006</t>
    </r>
    <r>
      <rPr>
        <rFont val="Calibri"/>
        <color rgb="FF000000"/>
        <sz val="12.0"/>
      </rPr>
      <t xml:space="preserve">. </t>
    </r>
    <r>
      <rPr>
        <rFont val="Calibri"/>
        <i/>
        <color rgb="FF000000"/>
        <sz val="12.0"/>
      </rPr>
      <t xml:space="preserve">Southern African Historical Journal </t>
    </r>
    <r>
      <rPr>
        <rFont val="Calibri"/>
        <color rgb="FF000000"/>
        <sz val="12.0"/>
      </rPr>
      <t xml:space="preserve">55: 186-209. </t>
    </r>
    <r>
      <rPr>
        <rFont val="Calibri"/>
        <color rgb="FF000000"/>
        <sz val="12.0"/>
      </rPr>
      <t>1997</t>
    </r>
    <r>
      <rPr>
        <rFont val="Calibri"/>
        <color rgb="FF000000"/>
        <sz val="12.0"/>
      </rPr>
      <t xml:space="preserve">. KLEIO (now: African Historical Review) 29(1): 92-114. </t>
    </r>
    <r>
      <rPr>
        <rFont val="Calibri"/>
        <color rgb="FF000000"/>
        <sz val="12.0"/>
      </rPr>
      <t>1996</t>
    </r>
    <r>
      <rPr>
        <rFont val="Calibri"/>
        <color rgb="FF000000"/>
        <sz val="12.0"/>
      </rPr>
      <t xml:space="preserve">. KLEIO (now: African Historical Review) 28: 137-52. </t>
    </r>
    <r>
      <rPr>
        <rFont val="Calibri"/>
        <color rgb="FF000000"/>
        <sz val="12.0"/>
      </rPr>
      <t>1995</t>
    </r>
    <r>
      <rPr>
        <rFont val="Calibri"/>
        <color rgb="FF000000"/>
        <sz val="12.0"/>
      </rPr>
      <t xml:space="preserve">. Transformation: Critical Perspectives on Southern Africa 26: 31-46. </t>
    </r>
  </si>
  <si>
    <r>
      <rPr>
        <rFont val="Calibri"/>
        <color rgb="FF000000"/>
        <sz val="12.0"/>
      </rPr>
      <t xml:space="preserve">forthcoming in </t>
    </r>
    <r>
      <rPr>
        <rFont val="Calibri"/>
        <color rgb="FF000000"/>
        <sz val="12.0"/>
      </rPr>
      <t>2013</t>
    </r>
    <r>
      <rPr>
        <rFont val="Calibri"/>
        <color rgb="FF000000"/>
        <sz val="12.0"/>
      </rPr>
      <t xml:space="preserve"> [checked HF], </t>
    </r>
    <r>
      <rPr>
        <rFont val="Calibri"/>
        <i/>
        <color rgb="FF000000"/>
        <sz val="12.0"/>
      </rPr>
      <t>Water, History, and Politics in Zimbabwe.</t>
    </r>
    <r>
      <rPr>
        <rFont val="Calibri"/>
        <color rgb="FF000000"/>
        <sz val="12.0"/>
      </rPr>
      <t xml:space="preserve"> Africa World Press. </t>
    </r>
  </si>
  <si>
    <t>83</t>
  </si>
  <si>
    <t>Niang</t>
  </si>
  <si>
    <t>Amy</t>
  </si>
  <si>
    <t>old: WITS new: Mohammed VI Polytechnic University, Morocco</t>
  </si>
  <si>
    <t>PhD (U Edinburgh, 2011), Politics and International Relations</t>
  </si>
  <si>
    <t>Gabrielle Hecht</t>
  </si>
  <si>
    <t>not remained in touch. No to all other Qs also</t>
  </si>
  <si>
    <t>aniang@gmail.com; amy.niang@um6p.ma</t>
  </si>
  <si>
    <t>Rethinking Africa and/in the constitution of the international: Against Recurrence and Repetition</t>
  </si>
  <si>
    <t>was awarded an ACLS African Humanities Fellowship in 2014-15, a Mercator Fellowship at the U of Halle for 2015-16, a Fung fellowship at Princeton, and is senior lecturer at Wits. Per LinkedIn Sept 2018 has an additional position as Visiting Professor at University of São Paulo, Brazil</t>
  </si>
  <si>
    <r>
      <rPr>
        <rFont val="Calibri"/>
        <color rgb="FFFF0000"/>
        <sz val="12.0"/>
      </rPr>
      <t xml:space="preserve">Book: </t>
    </r>
    <r>
      <rPr>
        <rFont val="Calibri"/>
        <color rgb="FF000000"/>
        <sz val="12.0"/>
      </rPr>
      <t xml:space="preserve">Niang, A, </t>
    </r>
    <r>
      <rPr>
        <rFont val="Calibri"/>
        <color rgb="FF000000"/>
        <sz val="12.0"/>
      </rPr>
      <t xml:space="preserve">2018, </t>
    </r>
    <r>
      <rPr>
        <rFont val="Calibri"/>
        <i/>
        <color rgb="FF000000"/>
        <sz val="12.0"/>
      </rPr>
      <t>The Postcolonial African State in Transition: Stateness and Modes of Sovereignty</t>
    </r>
    <r>
      <rPr>
        <rFont val="Calibri"/>
        <color rgb="FF000000"/>
        <sz val="12.0"/>
      </rPr>
      <t xml:space="preserve"> (Rowland &amp; Little).                                                                                                                                          </t>
    </r>
    <r>
      <rPr>
        <rFont val="Calibri"/>
        <color rgb="FF000000"/>
        <sz val="12.0"/>
      </rPr>
      <t>Niang, A</t>
    </r>
    <r>
      <rPr>
        <rFont val="Calibri"/>
        <color rgb="FF000000"/>
        <sz val="12.0"/>
      </rPr>
      <t xml:space="preserve">, and L Mawuko-Yevugah. "Dialectics of Subversion: Protest Art and Political Dissidence in West Africa" in: </t>
    </r>
    <r>
      <rPr>
        <rFont val="Calibri"/>
        <i/>
        <color rgb="FF000000"/>
        <sz val="12.0"/>
      </rPr>
      <t>African Youth Cultures in the Age of Globalization: Challenges, Agency, and Resistance</t>
    </r>
    <r>
      <rPr>
        <rFont val="Calibri"/>
        <color rgb="FF000000"/>
        <sz val="12.0"/>
      </rPr>
      <t xml:space="preserve">. Ed. Paul Ugor and L Mawuko-Yevugah. Ashgate, 2015. 149-64. 2018 blog posts mentions publications (no titles) in Alternatives; Politics; African Studies; J of Ritual Studies; African Economic History; Afrique contemporaine and many edited collections.  2018 forthcoming publications include “Rehistoricising the sovereignty principle with reference to Africa: stature, decline, and anxieties of a foundational norm”, in Zubairu Wai and Marta Iniguez de Heredia (eds.) </t>
    </r>
    <r>
      <rPr>
        <rFont val="Calibri"/>
        <i/>
        <color rgb="FF000000"/>
        <sz val="12.0"/>
      </rPr>
      <t>Bringing Africa “Back In”: World Politics and Theories of Africa’s Nonfulfillment</t>
    </r>
    <r>
      <rPr>
        <rFont val="Calibri"/>
        <color rgb="FF000000"/>
        <sz val="12.0"/>
      </rPr>
      <t xml:space="preserve"> (Palgrave Macmillan).                                                </t>
    </r>
    <r>
      <rPr>
        <rFont val="Calibri"/>
        <color rgb="FF000000"/>
        <sz val="12.0"/>
      </rPr>
      <t>Niang, A</t>
    </r>
    <r>
      <rPr>
        <rFont val="Calibri"/>
        <color rgb="FF000000"/>
        <sz val="12.0"/>
      </rPr>
      <t xml:space="preserve">., C. Efstathopoulos, M. Kurki, A. Shepherd  (2020). Facing human interconnections: thinking International Relations into the future. </t>
    </r>
    <r>
      <rPr>
        <rFont val="Calibri"/>
        <i/>
        <color rgb="FF000000"/>
        <sz val="12.0"/>
      </rPr>
      <t>International Relations</t>
    </r>
    <r>
      <rPr>
        <rFont val="Calibri"/>
        <color rgb="FF000000"/>
        <sz val="12.0"/>
      </rPr>
      <t xml:space="preserve">. 267.  </t>
    </r>
    <r>
      <rPr>
        <rFont val="Calibri"/>
        <color rgb="FF1155CC"/>
        <sz val="12.0"/>
        <u/>
      </rPr>
      <t>https://doi.org/10.1177/0047117820948587</t>
    </r>
    <r>
      <rPr>
        <rFont val="Calibri"/>
        <color rgb="FF000000"/>
        <sz val="12.0"/>
      </rPr>
      <t xml:space="preserve">                                                                                                                                                                                                                                                                                     </t>
    </r>
    <r>
      <rPr>
        <rFont val="Calibri"/>
        <color rgb="FF000000"/>
        <sz val="12.0"/>
      </rPr>
      <t xml:space="preserve">Niang, A., </t>
    </r>
    <r>
      <rPr>
        <rFont val="Calibri"/>
        <color rgb="FF000000"/>
        <sz val="12.0"/>
      </rPr>
      <t xml:space="preserve">V. Squire (2020). Migration and the politics of ‘the human:’ confronting the privileged subjects of IR. </t>
    </r>
    <r>
      <rPr>
        <rFont val="Calibri"/>
        <i/>
        <color rgb="FF000000"/>
        <sz val="12.0"/>
      </rPr>
      <t>International Relations</t>
    </r>
    <r>
      <rPr>
        <rFont val="Calibri"/>
        <color rgb="FF000000"/>
        <sz val="12.0"/>
      </rPr>
      <t xml:space="preserve">, 290.  </t>
    </r>
    <r>
      <rPr>
        <rFont val="Calibri"/>
        <color rgb="FF1155CC"/>
        <sz val="12.0"/>
        <u/>
      </rPr>
      <t>https://doi.org/10.1177/0047117820946380.</t>
    </r>
    <r>
      <rPr>
        <rFont val="Calibri"/>
        <color rgb="FF000000"/>
        <sz val="12.0"/>
      </rPr>
      <t xml:space="preserve"> </t>
    </r>
    <r>
      <rPr>
        <rFont val="Calibri"/>
        <color rgb="FF000000"/>
        <sz val="12.0"/>
      </rPr>
      <t xml:space="preserve">                         Niang, A  </t>
    </r>
    <r>
      <rPr>
        <rFont val="Calibri"/>
        <color rgb="FF000000"/>
        <sz val="12.0"/>
      </rPr>
      <t>A.Mitchell, A. Chaudhury  (2020)</t>
    </r>
    <r>
      <rPr>
        <rFont val="Calibri"/>
        <color rgb="FF000000"/>
        <sz val="12.0"/>
      </rPr>
      <t xml:space="preserve">.  </t>
    </r>
    <r>
      <rPr>
        <rFont val="Calibri"/>
        <color rgb="FF000000"/>
        <sz val="12.0"/>
      </rPr>
      <t>Worlding beyond ‘the’ ‘end’ of ‘the world:’ white apocalyptic visions and BIPOC futurisms.</t>
    </r>
    <r>
      <rPr>
        <rFont val="Calibri"/>
        <color rgb="FF000000"/>
        <sz val="12.0"/>
      </rPr>
      <t xml:space="preserve">  </t>
    </r>
    <r>
      <rPr>
        <rFont val="Calibri"/>
        <i/>
        <color rgb="FF000000"/>
        <sz val="12.0"/>
      </rPr>
      <t>International Relations, 309.</t>
    </r>
    <r>
      <rPr>
        <rFont val="Calibri"/>
        <color rgb="FF1155CC"/>
        <sz val="12.0"/>
        <u/>
      </rPr>
      <t>.</t>
    </r>
    <r>
      <rPr>
        <rFont val="Calibri"/>
        <color rgb="FF000000"/>
        <sz val="12.0"/>
      </rPr>
      <t xml:space="preserve"> </t>
    </r>
    <r>
      <rPr>
        <rFont val="Calibri"/>
        <color rgb="FF1155CC"/>
        <sz val="12.0"/>
        <u/>
      </rPr>
      <t>https://doi.org/10.1177/0047117820948936.</t>
    </r>
    <r>
      <rPr>
        <rFont val="Calibri"/>
        <color rgb="FF000000"/>
        <sz val="12.0"/>
      </rPr>
      <t xml:space="preserve"> </t>
    </r>
    <r>
      <rPr>
        <rFont val="Calibri"/>
        <color rgb="FF000000"/>
        <sz val="12.0"/>
      </rPr>
      <t xml:space="preserve">                                                                                                                                                                                                                                                                                    Niang, A.</t>
    </r>
    <r>
      <rPr>
        <rFont val="Calibri"/>
        <color rgb="FF000000"/>
        <sz val="12.0"/>
      </rPr>
      <t xml:space="preserve"> (2020). The slave, the migrant and the ontological topographies of the international. </t>
    </r>
    <r>
      <rPr>
        <rFont val="Calibri"/>
        <i/>
        <color rgb="FF000000"/>
        <sz val="12.0"/>
      </rPr>
      <t xml:space="preserve">International Relations, 333. </t>
    </r>
    <r>
      <rPr>
        <rFont val="Calibri"/>
        <color rgb="FF000000"/>
        <sz val="12.0"/>
      </rPr>
      <t xml:space="preserve"> </t>
    </r>
    <r>
      <rPr>
        <rFont val="Calibri"/>
        <color rgb="FF1155CC"/>
        <sz val="12.0"/>
        <u/>
      </rPr>
      <t>https://doi.org/10.1177/0047117820946809.</t>
    </r>
    <r>
      <rPr>
        <rFont val="Calibri"/>
        <color rgb="FF000000"/>
        <sz val="12.0"/>
      </rPr>
      <t xml:space="preserve">                                                       </t>
    </r>
    <r>
      <rPr>
        <rFont val="Calibri"/>
        <color rgb="FF000000"/>
        <sz val="12.0"/>
      </rPr>
      <t>Niang, A.</t>
    </r>
    <r>
      <rPr>
        <rFont val="Calibri"/>
        <color rgb="FF000000"/>
        <sz val="12.0"/>
      </rPr>
      <t xml:space="preserve">, M.KBeadsworth .Pasha( 2020). </t>
    </r>
    <r>
      <rPr>
        <rFont val="Calibri"/>
        <color rgb="FF000000"/>
        <sz val="12.0"/>
      </rPr>
      <t xml:space="preserve"> </t>
    </r>
    <r>
      <rPr>
        <rFont val="Calibri"/>
        <color rgb="FF000000"/>
        <sz val="12.0"/>
      </rPr>
      <t xml:space="preserve">After the deluge: new universalism and postcolonial difference. </t>
    </r>
    <r>
      <rPr>
        <rFont val="Calibri"/>
        <i/>
        <color rgb="FF000000"/>
        <sz val="12.0"/>
      </rPr>
      <t xml:space="preserve">International Relations, 354. </t>
    </r>
    <r>
      <rPr>
        <rFont val="Calibri"/>
        <color rgb="FF000000"/>
        <sz val="12.0"/>
      </rPr>
      <t xml:space="preserve"> https://doi.org/10.1177/0047117820946812</t>
    </r>
    <r>
      <rPr>
        <rFont val="Calibri"/>
        <color rgb="FF000000"/>
        <sz val="12.0"/>
      </rPr>
      <t xml:space="preserve">                                     Niang, A.,</t>
    </r>
    <r>
      <rPr>
        <rFont val="Calibri"/>
        <color rgb="FF000000"/>
        <sz val="12.0"/>
      </rPr>
      <t xml:space="preserve"> R. Beardsworth ( 2020). Climate science, the politics of climate change and futures of IR. </t>
    </r>
    <r>
      <rPr>
        <rFont val="Calibri"/>
        <i/>
        <color rgb="FF000000"/>
        <sz val="12.0"/>
      </rPr>
      <t xml:space="preserve">International Relations, 374. </t>
    </r>
    <r>
      <rPr>
        <rFont val="Calibri"/>
        <color rgb="FF1155CC"/>
        <sz val="12.0"/>
        <u/>
      </rPr>
      <t>https://doi.org/10.1177/0047117820946365.</t>
    </r>
    <r>
      <rPr>
        <rFont val="Calibri"/>
        <color rgb="FF000000"/>
        <sz val="12.0"/>
      </rPr>
      <t xml:space="preserve">                                              </t>
    </r>
    <r>
      <rPr>
        <rFont val="Calibri"/>
        <color rgb="FF000000"/>
        <sz val="12.0"/>
      </rPr>
      <t>Niang, A.</t>
    </r>
    <r>
      <rPr>
        <rFont val="Calibri"/>
        <color rgb="FF000000"/>
        <sz val="12.0"/>
      </rPr>
      <t xml:space="preserve">, M. Carr, F. Lesniewska (2020). Internet of Things, cybersecurity and governing wicked problems: learning from climate change governance. International Relations, 391. </t>
    </r>
    <r>
      <rPr>
        <rFont val="Calibri"/>
        <color rgb="FF1155CC"/>
        <sz val="12.0"/>
        <u/>
      </rPr>
      <t>https://doi.org/10.1177/0047117820948247</t>
    </r>
    <r>
      <rPr>
        <rFont val="Calibri"/>
        <color rgb="FF000000"/>
        <sz val="12.0"/>
      </rPr>
      <t xml:space="preserve"> . </t>
    </r>
    <r>
      <rPr>
        <rFont val="Calibri"/>
        <color rgb="FF000000"/>
        <sz val="12.0"/>
      </rPr>
      <t xml:space="preserve">                                                                                                                                                                                                                                                                                  Niang, A., </t>
    </r>
    <r>
      <rPr>
        <rFont val="Calibri"/>
        <color rgb="FF000000"/>
        <sz val="12.0"/>
      </rPr>
      <t xml:space="preserve">O. Kessler, M. Lenglet (2020). Between concepts and thought: digital technologies and temporal relationality. International Relations, 413.  </t>
    </r>
    <r>
      <rPr>
        <rFont val="Calibri"/>
        <color rgb="FF1155CC"/>
        <sz val="12.0"/>
        <u/>
      </rPr>
      <t>https://doi.org/10.1177/0047117820948199.</t>
    </r>
    <r>
      <rPr>
        <rFont val="Calibri"/>
        <color rgb="FF000000"/>
        <sz val="12.0"/>
      </rPr>
      <t xml:space="preserve">  </t>
    </r>
    <r>
      <rPr>
        <rFont val="Calibri"/>
        <color rgb="FF000000"/>
        <sz val="12.0"/>
      </rPr>
      <t xml:space="preserve">          Niang, </t>
    </r>
    <r>
      <rPr>
        <rFont val="Calibri"/>
        <color rgb="FF000000"/>
        <sz val="12.0"/>
      </rPr>
      <t>A., J. Grove (2020).</t>
    </r>
    <r>
      <rPr>
        <rFont val="Calibri"/>
        <color rgb="FF000000"/>
        <sz val="12.0"/>
      </rPr>
      <t xml:space="preserve"> </t>
    </r>
    <r>
      <rPr>
        <rFont val="Calibri"/>
        <color rgb="FF000000"/>
        <sz val="12.0"/>
      </rPr>
      <t xml:space="preserve">From geopolitics to geotechnics: global futures in the shadow of automation, cunning machines, and human speciation. </t>
    </r>
    <r>
      <rPr>
        <rFont val="Calibri"/>
        <i/>
        <color rgb="FF000000"/>
        <sz val="12.0"/>
      </rPr>
      <t>International Relations</t>
    </r>
    <r>
      <rPr>
        <rFont val="Calibri"/>
        <color rgb="FF000000"/>
        <sz val="12.0"/>
      </rPr>
      <t xml:space="preserve">, 432. </t>
    </r>
    <r>
      <rPr>
        <rFont val="Calibri"/>
        <color rgb="FF1155CC"/>
        <sz val="12.0"/>
        <u/>
      </rPr>
      <t>https://doi.org/10.1177/0047117820948582</t>
    </r>
    <r>
      <rPr>
        <rFont val="Calibri"/>
        <color rgb="FF000000"/>
        <sz val="12.0"/>
      </rPr>
      <t xml:space="preserve"> </t>
    </r>
  </si>
  <si>
    <r>
      <rPr>
        <rFont val="Calibri"/>
        <color rgb="FF000000"/>
        <sz val="12.0"/>
      </rPr>
      <t>Niang, A.</t>
    </r>
    <r>
      <rPr>
        <rFont val="Calibri"/>
        <color rgb="FF000000"/>
        <sz val="12.0"/>
      </rPr>
      <t xml:space="preserve"> "The Imperative of African Perspectives on International Relations (IR)." </t>
    </r>
    <r>
      <rPr>
        <rFont val="Calibri"/>
        <i/>
        <color rgb="FF000000"/>
        <sz val="12.0"/>
      </rPr>
      <t>Politics</t>
    </r>
    <r>
      <rPr>
        <rFont val="Calibri"/>
        <color rgb="FF000000"/>
        <sz val="12.0"/>
      </rPr>
      <t xml:space="preserve"> (2016): n. pag. Web. Niang, A "The slave, the migrant and the ontological topographies of the international" (2020),  </t>
    </r>
    <r>
      <rPr>
        <rFont val="Calibri"/>
        <i/>
        <color rgb="FF000000"/>
        <sz val="12.0"/>
      </rPr>
      <t xml:space="preserve">SAGE </t>
    </r>
    <r>
      <rPr>
        <rFont val="Calibri"/>
        <color rgb="FF000000"/>
        <sz val="12.0"/>
      </rPr>
      <t xml:space="preserve">34(3) 333 –353, DOI: 10.1177/0047117820946809 </t>
    </r>
  </si>
  <si>
    <r>
      <rPr>
        <rFont val="Calibri"/>
        <color rgb="FF000000"/>
        <sz val="12.0"/>
      </rPr>
      <t>2013</t>
    </r>
    <r>
      <rPr>
        <rFont val="Calibri"/>
        <color rgb="FF000000"/>
        <sz val="12.0"/>
      </rPr>
      <t xml:space="preserve">. </t>
    </r>
    <r>
      <rPr>
        <rFont val="Calibri"/>
        <i/>
        <color rgb="FF000000"/>
        <sz val="12.0"/>
      </rPr>
      <t>African Studies</t>
    </r>
    <r>
      <rPr>
        <rFont val="Calibri"/>
        <color rgb="FF000000"/>
        <sz val="12.0"/>
      </rPr>
      <t xml:space="preserve"> 72(1): 41-63. </t>
    </r>
    <r>
      <rPr>
        <rFont val="Calibri"/>
        <color rgb="FF000000"/>
        <sz val="12.0"/>
      </rPr>
      <t>2013</t>
    </r>
    <r>
      <rPr>
        <rFont val="Calibri"/>
        <color rgb="FF000000"/>
        <sz val="12.0"/>
      </rPr>
      <t xml:space="preserve">. </t>
    </r>
    <r>
      <rPr>
        <rFont val="Calibri"/>
        <i/>
        <color rgb="FF000000"/>
        <sz val="12.0"/>
      </rPr>
      <t>Afrique Contemporaine</t>
    </r>
    <r>
      <rPr>
        <rFont val="Calibri"/>
        <color rgb="FF000000"/>
        <sz val="12.0"/>
      </rPr>
      <t xml:space="preserve"> 245: 53-69. </t>
    </r>
    <r>
      <rPr>
        <rFont val="Calibri"/>
        <color rgb="FF000000"/>
        <sz val="12.0"/>
      </rPr>
      <t>2012</t>
    </r>
    <r>
      <rPr>
        <rFont val="Calibri"/>
        <color rgb="FF000000"/>
        <sz val="12.0"/>
      </rPr>
      <t>.</t>
    </r>
    <r>
      <rPr>
        <rFont val="Calibri"/>
        <i/>
        <color rgb="FF000000"/>
        <sz val="12.0"/>
      </rPr>
      <t xml:space="preserve"> Electronic Journal of Africana Bibliography</t>
    </r>
    <r>
      <rPr>
        <rFont val="Calibri"/>
        <color rgb="FF000000"/>
        <sz val="12.0"/>
      </rPr>
      <t xml:space="preserve"> 13: 1-51. </t>
    </r>
    <r>
      <rPr>
        <rFont val="Calibri"/>
        <color rgb="FF000000"/>
        <sz val="12.0"/>
      </rPr>
      <t>2012</t>
    </r>
    <r>
      <rPr>
        <rFont val="Calibri"/>
        <color rgb="FF000000"/>
        <sz val="12.0"/>
      </rPr>
      <t xml:space="preserve">. </t>
    </r>
    <r>
      <rPr>
        <rFont val="Calibri"/>
        <i/>
        <color rgb="FF000000"/>
        <sz val="12.0"/>
      </rPr>
      <t xml:space="preserve">African Theater </t>
    </r>
    <r>
      <rPr>
        <rFont val="Calibri"/>
        <color rgb="FF000000"/>
        <sz val="12.0"/>
      </rPr>
      <t xml:space="preserve">11: 30-9. </t>
    </r>
    <r>
      <rPr>
        <rFont val="Calibri"/>
        <color rgb="FF000000"/>
        <sz val="12.0"/>
      </rPr>
      <t>2012</t>
    </r>
    <r>
      <rPr>
        <rFont val="Calibri"/>
        <color rgb="FF000000"/>
        <sz val="12.0"/>
      </rPr>
      <t xml:space="preserve">. Patrimoine et Histoire en Afrique: Recherches et experiences 8: n.p. </t>
    </r>
    <r>
      <rPr>
        <rFont val="Calibri"/>
        <color rgb="FF000000"/>
        <sz val="12.0"/>
      </rPr>
      <t>2010</t>
    </r>
    <r>
      <rPr>
        <rFont val="Calibri"/>
        <color rgb="FF000000"/>
        <sz val="12.0"/>
      </rPr>
      <t xml:space="preserve">. </t>
    </r>
    <r>
      <rPr>
        <rFont val="Calibri"/>
        <i/>
        <color rgb="FF000000"/>
        <sz val="12.0"/>
      </rPr>
      <t>African Renaissance</t>
    </r>
    <r>
      <rPr>
        <rFont val="Calibri"/>
        <color rgb="FF000000"/>
        <sz val="12.0"/>
      </rPr>
      <t xml:space="preserve"> 7(1): 80-7. Plus </t>
    </r>
    <r>
      <rPr>
        <rFont val="Calibri"/>
        <color rgb="FF000000"/>
        <sz val="12.0"/>
      </rPr>
      <t>1</t>
    </r>
    <r>
      <rPr>
        <rFont val="Calibri"/>
        <color rgb="FF000000"/>
        <sz val="12.0"/>
      </rPr>
      <t xml:space="preserve"> book chapter in Festschrift for Izard, Paris: CNRS.</t>
    </r>
  </si>
  <si>
    <r>
      <rPr>
        <rFont val="Calibri"/>
        <color rgb="FF000000"/>
        <sz val="12.0"/>
      </rPr>
      <t xml:space="preserve">Listed as forthcoming, 2014 {not checked yet}: </t>
    </r>
    <r>
      <rPr>
        <rFont val="Calibri"/>
        <i/>
        <color rgb="FF000000"/>
        <sz val="12.0"/>
      </rPr>
      <t>Journal of Ritual Studies</t>
    </r>
    <r>
      <rPr>
        <rFont val="Calibri"/>
        <color rgb="FF000000"/>
        <sz val="12.0"/>
      </rPr>
      <t xml:space="preserve"> 28(1): n.p.</t>
    </r>
  </si>
  <si>
    <t>84</t>
  </si>
  <si>
    <t>Nkumbaan</t>
  </si>
  <si>
    <t>MPhil (UG), Archaeology and Heritage Studies</t>
  </si>
  <si>
    <t>Carla Sinopoli</t>
  </si>
  <si>
    <t> was in touch with him for a few years after he left -- and served as a reader on his doctoral dissertation at the University of Ghana. Ray and I made two trips to Ghana after his visit -- one for a heritage workshop at the University, and the second to explore developing a collaborative project with Sammy and his advisor around Koma archaeology and heritage in northern Ghana.  While there, I taught a workshop on grant writing to UG archaeology students and faculty.  We've had some email exchanges since, but it has been a while, and the project has yet to take off.</t>
  </si>
  <si>
    <t>snkumbaan@gmail.com</t>
  </si>
  <si>
    <t>Archaeological Investigations at Tando Fagusa, Koma Land, Northern Region, Ghana</t>
  </si>
  <si>
    <r>
      <rPr>
        <rFont val="Calibri"/>
        <color rgb="FFFF0000"/>
        <sz val="12.0"/>
      </rPr>
      <t xml:space="preserve">(39) </t>
    </r>
    <r>
      <rPr>
        <rFont val="Calibri"/>
        <color rgb="FF000000"/>
        <sz val="12.0"/>
      </rPr>
      <t xml:space="preserve">PhD 2016, UG </t>
    </r>
  </si>
  <si>
    <t>currently visiting prof at Rochester U (per email to KA Feb 2018), will go back to UG afterwards</t>
  </si>
  <si>
    <r>
      <rPr>
        <rFont val="Calibri"/>
        <color rgb="FFC00000"/>
        <sz val="12.0"/>
      </rPr>
      <t xml:space="preserve">(Book/Edited volume) </t>
    </r>
    <r>
      <rPr>
        <rFont val="Calibri"/>
        <color rgb="FF000000"/>
        <sz val="12.0"/>
      </rPr>
      <t xml:space="preserve">Gblerkpor, WN and </t>
    </r>
    <r>
      <rPr>
        <rFont val="Calibri"/>
        <color rgb="FF000000"/>
        <sz val="12.0"/>
      </rPr>
      <t>Nkumbaan, SN</t>
    </r>
    <r>
      <rPr>
        <rFont val="Calibri"/>
        <color rgb="FF000000"/>
        <sz val="12.0"/>
      </rPr>
      <t xml:space="preserve">. (in press). </t>
    </r>
    <r>
      <rPr>
        <rFont val="Calibri"/>
        <i/>
        <color rgb="FF000000"/>
        <sz val="12.0"/>
      </rPr>
      <t>Archaeology and Socio-political Engagement: The Case of the Krobo Mountain Archaeological Research. Current Perspective on the Archaeology of Ghana</t>
    </r>
    <r>
      <rPr>
        <rFont val="Calibri"/>
        <color rgb="FF000000"/>
        <sz val="12.0"/>
      </rPr>
      <t>. Accra, Sub-Saharan Publishers. pp.304-324.</t>
    </r>
  </si>
  <si>
    <t>2 chapters listed as "in press" in the same "READER" for U Ghana's Archaeology and Heritage Studies Department.</t>
  </si>
  <si>
    <r>
      <rPr>
        <rFont val="Calibri"/>
        <color rgb="FF000000"/>
        <sz val="12.0"/>
      </rPr>
      <t>2014</t>
    </r>
    <r>
      <rPr>
        <rFont val="Calibri"/>
        <color rgb="FF000000"/>
        <sz val="12.0"/>
      </rPr>
      <t xml:space="preserve">. Research on Humanities and Social Sciences 4(3): n.p. </t>
    </r>
    <r>
      <rPr>
        <rFont val="Calibri"/>
        <color rgb="FF000000"/>
        <sz val="12.0"/>
      </rPr>
      <t>2013</t>
    </r>
    <r>
      <rPr>
        <rFont val="Calibri"/>
        <color rgb="FF000000"/>
        <sz val="12.0"/>
      </rPr>
      <t xml:space="preserve">. African Archaeological Review (Springer): n.p. Plus </t>
    </r>
    <r>
      <rPr>
        <rFont val="Calibri"/>
        <color rgb="FF000000"/>
        <sz val="12.0"/>
      </rPr>
      <t>6</t>
    </r>
    <r>
      <rPr>
        <rFont val="Calibri"/>
        <color rgb="FF000000"/>
        <sz val="12.0"/>
      </rPr>
      <t xml:space="preserve"> chapters in </t>
    </r>
    <r>
      <rPr>
        <rFont val="Calibri"/>
        <color rgb="FF000000"/>
        <sz val="12.0"/>
      </rPr>
      <t>6</t>
    </r>
    <r>
      <rPr>
        <rFont val="Calibri"/>
        <color rgb="FF000000"/>
        <sz val="12.0"/>
      </rPr>
      <t xml:space="preserve"> edited volumes (2-3 by Timothy Insoll, Cambridge Archaeology Monograph series).</t>
    </r>
  </si>
  <si>
    <t>85</t>
  </si>
  <si>
    <t>Nkutu</t>
  </si>
  <si>
    <t>Nonyaniso</t>
  </si>
  <si>
    <t>U Fort Hare</t>
  </si>
  <si>
    <t>M.Cur. (U Stellenbosch), Nursing Science</t>
  </si>
  <si>
    <t>Patricia Coleman-Burns; Jody Lori</t>
  </si>
  <si>
    <t>nonyaniso.nkutu@gmail.com</t>
  </si>
  <si>
    <t>Best Practices for Retention of Undergraduate Nursing Students in the Universitities of the Eastern Cape, South Africa</t>
  </si>
  <si>
    <r>
      <rPr>
        <rFont val="Calibri"/>
        <color rgb="FFFF0000"/>
        <sz val="12.0"/>
      </rPr>
      <t xml:space="preserve">(40) </t>
    </r>
    <r>
      <rPr>
        <rFont val="Calibri"/>
        <color rgb="FF000000"/>
        <sz val="12.0"/>
      </rPr>
      <t>PhD, 2018, Fort Hare U</t>
    </r>
  </si>
  <si>
    <t>PhD in progress prior to UMAPS residency; learned about PhD rec'd from email to HF Mar 2019, add'l info clarified that, "I went to John's Hopkins School of Nursing to do my Pre-Doctoral studies in a sandwich programme between them and Fort Hare in South Africa. I have developed a model for retention of undergraduate nursing students in universities in the Eastern Cape Province and it was found to be unique in South Africa. I have already published from my theses. I have presented papers form this piece of work both internationally and locally. My other paper will be presented in Calgary Alberta in Canada in July 2019."</t>
  </si>
  <si>
    <r>
      <rPr>
        <rFont val="Calibri"/>
        <color rgb="FF000000"/>
        <sz val="12.0"/>
      </rPr>
      <t>Nkutu, N</t>
    </r>
    <r>
      <rPr>
        <rFont val="Calibri"/>
        <color rgb="FF000000"/>
        <sz val="12.0"/>
      </rPr>
      <t xml:space="preserve">, Seekoe, E, Goon, DT Factors Associated With Dropout, Retention and Graduation of Nursing Students in Selected Universities in South Africa 2018: A Narrative Review; Seekoe E, Goon, DT, </t>
    </r>
    <r>
      <rPr>
        <rFont val="Calibri"/>
        <color rgb="FF000000"/>
        <sz val="12.0"/>
      </rPr>
      <t>Nkutu, N</t>
    </r>
    <r>
      <rPr>
        <rFont val="Calibri"/>
        <color rgb="FF000000"/>
        <sz val="12.0"/>
      </rPr>
      <t xml:space="preserve">, Mayeye B, Tshabalala S, Mabaso S &amp; Jinabhai, N (2016). Achieving the sustainable development goals-Transforming Public Health Education and Practice: Report on a national conference. </t>
    </r>
    <r>
      <rPr>
        <rFont val="Calibri"/>
        <i/>
        <color rgb="FF000000"/>
        <sz val="12.0"/>
      </rPr>
      <t>New Agenda: South African Journal of Social and Economic Policy</t>
    </r>
    <r>
      <rPr>
        <rFont val="Calibri"/>
        <color rgb="FF000000"/>
        <sz val="12.0"/>
      </rPr>
      <t xml:space="preserve">, 63: 43-47.                                                                                                                                                                                                                                   Seekoe, E &amp; </t>
    </r>
    <r>
      <rPr>
        <rFont val="Calibri"/>
        <color rgb="FF000000"/>
        <sz val="12.0"/>
      </rPr>
      <t xml:space="preserve">Nkutu, N </t>
    </r>
    <r>
      <rPr>
        <rFont val="Calibri"/>
        <color rgb="FF000000"/>
        <sz val="12.0"/>
      </rPr>
      <t>(2016). Mentoring needs in facility management of newly appointed professional nurses in primary health care clinics.</t>
    </r>
    <r>
      <rPr>
        <rFont val="Calibri"/>
        <i/>
        <color rgb="FF000000"/>
        <sz val="12.0"/>
      </rPr>
      <t xml:space="preserve"> African Journal of Nursing &amp; Midwifery </t>
    </r>
  </si>
  <si>
    <r>
      <rPr>
        <rFont val="Calibri"/>
        <color rgb="FF000000"/>
        <sz val="12.0"/>
      </rPr>
      <t>2011</t>
    </r>
    <r>
      <rPr>
        <rFont val="Calibri"/>
        <color rgb="FF000000"/>
        <sz val="12.0"/>
      </rPr>
      <t xml:space="preserve">. </t>
    </r>
    <r>
      <rPr>
        <rFont val="Calibri"/>
        <i/>
        <color rgb="FF000000"/>
        <sz val="12.0"/>
      </rPr>
      <t>British Medical Journal</t>
    </r>
    <r>
      <rPr>
        <rFont val="Calibri"/>
        <color rgb="FF000000"/>
        <sz val="12.0"/>
      </rPr>
      <t xml:space="preserve">: n.p. </t>
    </r>
  </si>
  <si>
    <t>86</t>
  </si>
  <si>
    <t>Owusu-Afriyie</t>
  </si>
  <si>
    <t>Osei</t>
  </si>
  <si>
    <t>Komfo Anokye Teaching Hospital</t>
  </si>
  <si>
    <t>MBChB and MD (KNUST), Anatomic Pathology</t>
  </si>
  <si>
    <t>Sofia Merajver</t>
  </si>
  <si>
    <t>ooafriyie@gmail.com</t>
  </si>
  <si>
    <t>0206-300-606                                                                                                                                  0244-630-254</t>
  </si>
  <si>
    <t>Molecular profiling of Head and Neck Cancers in a Ghanaian population</t>
  </si>
  <si>
    <t xml:space="preserve">MBChB is terminal degree in this field. </t>
  </si>
  <si>
    <r>
      <rPr>
        <rFont val="Calibri"/>
        <color rgb="FF000000"/>
        <sz val="12.0"/>
      </rPr>
      <t xml:space="preserve">Jiagge, E, JK Oppong, J Bensenhaver, F Aitpillah, K Gyan, I Kyei, E Osei-Bonsu, E Adjei, M Ohene-Yeboah, K Toy, KE Jackson, M Akpaloo, D Acheampong, B Antwi, FO Agyeman, Z Alhassan, LA Fondjo, </t>
    </r>
    <r>
      <rPr>
        <rFont val="Calibri"/>
        <color rgb="FF000000"/>
        <sz val="12.0"/>
      </rPr>
      <t>O Owusu-Afriyie</t>
    </r>
    <r>
      <rPr>
        <rFont val="Calibri"/>
        <color rgb="FF000000"/>
        <sz val="12.0"/>
      </rPr>
      <t xml:space="preserve">, RN Brewer, A Gyamfuah, B Salem, T Johnson, M Wicha, S Merajver, C Kleer, J Pang, E Amankwaa-Frempong, A Stark, F Abantanga, L Newman, and B Awuah. "Breast Cancer and African Ancestry: Lessons Learned at the 10-Year Anniversary of the Ghana-Michigan Research Partnership and International Breast Registry." </t>
    </r>
    <r>
      <rPr>
        <rFont val="Calibri"/>
        <i/>
        <color rgb="FF000000"/>
        <sz val="12.0"/>
      </rPr>
      <t>Journal of Global Oncology</t>
    </r>
    <r>
      <rPr>
        <rFont val="Calibri"/>
        <color rgb="FF000000"/>
        <sz val="12.0"/>
      </rPr>
      <t xml:space="preserve"> 2.5 (2016): 302-10. Web.                         Osei </t>
    </r>
    <r>
      <rPr>
        <rFont val="Calibri"/>
        <color rgb="FF000000"/>
        <sz val="12.0"/>
      </rPr>
      <t>Owusu-Afriyie</t>
    </r>
    <r>
      <rPr>
        <rFont val="Calibri"/>
        <color rgb="FF000000"/>
        <sz val="12.0"/>
      </rPr>
      <t xml:space="preserve">, W. K. B. A. Owiredu, Alexander Acheampong Oti, Emmanuel Acheampong, Kwabena Owusu-Danquah, Rita Larsen-Reindorf, Linda Ahenkorah Fondjo, Evans Asamoah Adu, Sampson Donkor and Peter Donkor Survival rates of head and neck cancers in Ghana: a retrospective study at the Komfo Anokye Teaching Hospital, BMC Res Notes (2020) 13:392.                                                           Kofi Adjapong Afrifah, Alexander Badu-Boateng, Samuel Antwi-Akomeah, Eva Emefa Motey, Edward Kofi Abban, Paul Poku Sampene, Osei </t>
    </r>
    <r>
      <rPr>
        <rFont val="Calibri"/>
        <color rgb="FF000000"/>
        <sz val="12.0"/>
      </rPr>
      <t>Owusu-Afriyie</t>
    </r>
    <r>
      <rPr>
        <rFont val="Calibri"/>
        <color rgb="FF000000"/>
        <sz val="12.0"/>
      </rPr>
      <t xml:space="preserve"> and Augustine Donkor Missing Persons Identification: Genetic profiling of highly charred human remains using sixteen STR loci markers Forensic Sci Today 2020 2, 6(1): 016-019.                                                                                                               Enoch Odame Anto, Peter Roberts, David A Coall, Cornelius Turpin, Osei </t>
    </r>
    <r>
      <rPr>
        <rFont val="Calibri"/>
        <color rgb="FF000000"/>
        <sz val="12.0"/>
      </rPr>
      <t>Owusu Afriyie</t>
    </r>
    <r>
      <rPr>
        <rFont val="Calibri"/>
        <color rgb="FF000000"/>
        <sz val="12.0"/>
      </rPr>
      <t xml:space="preserve">, Wei Wang
John J. K. Annan, Roderick E. Larsen-Reindorf, George A. A. Frimpong, Osei </t>
    </r>
    <r>
      <rPr>
        <rFont val="Calibri"/>
        <color rgb="FF000000"/>
        <sz val="12.0"/>
      </rPr>
      <t>Owusu-Afriyie</t>
    </r>
    <r>
      <rPr>
        <rFont val="Calibri"/>
        <color rgb="FF000000"/>
        <sz val="12.0"/>
      </rPr>
      <t xml:space="preserve">. Endometriosis: An “Unexplored”, “Neglected” or “Forgotten” Condition in Africa? Open Journal of Obstetrics and Gynecology, 2019, 9, 29-41
Lauren E. Merz, Osei Afriyie, Evelyn Jiagge, Ernest Adjei, Susan K. Foltin, Megan L. Ludwig, Jonathan B. McHugh, J. Chad Brenner, Sofia D. Merajver. Clinical Characteristics, HIV Status, and Molecular Biomarkers in Squamous Cell Carcinoma of the Conjunctiva in Ghana. Health Sci Rep. (January, 2019)
Osei </t>
    </r>
    <r>
      <rPr>
        <rFont val="Calibri"/>
        <color rgb="FF000000"/>
        <sz val="12.0"/>
      </rPr>
      <t>Owusu-Afriyie</t>
    </r>
    <r>
      <rPr>
        <rFont val="Calibri"/>
        <color rgb="FF000000"/>
        <sz val="12.0"/>
      </rPr>
      <t xml:space="preserve">, W. K. B. A. Owiredu, Kwabena Owusu-Danquah, Rita Larsen- Reindorf, Peter Donkor, Emmanuel Acheampong, Solomon E. Quayson. Expression of Immunohistochemical Markers in Non-Oropharyngeal Head and Neck Squamous Cell Carcinoma in Ghana. Plos1 (August 2018)
Linda Ahenkorah Fondjo, Osei </t>
    </r>
    <r>
      <rPr>
        <rFont val="Calibri"/>
        <color rgb="FF000000"/>
        <sz val="12.0"/>
      </rPr>
      <t>Owusu-Afriyie</t>
    </r>
    <r>
      <rPr>
        <rFont val="Calibri"/>
        <color rgb="FF000000"/>
        <sz val="12.0"/>
      </rPr>
      <t xml:space="preserve">, Samuel Asamoah Sakyi, Akua Addo Wiafe, Bright Amankwaa, Emmanuel Acheampong, Richard K. D. Ephraim, and William K. B. A. Owiredu. Comparative Assessment of Knowledge, Attitudes, and Practice of Breast Self-Examination among Female Secondary and Tertiary School Students in Ghana. International Journal of Breast Cancer 2018
Helge Stalsberg; Ernest Kwasi Adjei; Osei </t>
    </r>
    <r>
      <rPr>
        <rFont val="Calibri"/>
        <color rgb="FF000000"/>
        <sz val="12.0"/>
      </rPr>
      <t>Owusu-Afriyie</t>
    </r>
    <r>
      <rPr>
        <rFont val="Calibri"/>
        <color rgb="FF000000"/>
        <sz val="12.0"/>
      </rPr>
      <t xml:space="preserve">, Vidar Isaksen, Sustainable Development of Pathology in Sub-Saharan Africa. An Example from Ghana Arch Pathol Lab Med—Vol 141 (May 2017)
Linda Ahenkorah Fondjo, Osei </t>
    </r>
    <r>
      <rPr>
        <rFont val="Calibri"/>
        <color rgb="FF000000"/>
        <sz val="12.0"/>
      </rPr>
      <t>Owusu-Afriyie</t>
    </r>
    <r>
      <rPr>
        <rFont val="Calibri"/>
        <color rgb="FF000000"/>
        <sz val="12.0"/>
      </rPr>
      <t xml:space="preserve">, Ernest Osei-Bonsu, Emmanuel Amankwaah-Frimpong, Emmanuel Acheampong, Emmanuella Nsenbah Batu, Bright Amankwaah, Esther Ofosu Mintah, Naa Okailey Dromo Ammah. Prevalence of Comorbidities and Quality of Life Assessment Among Breast Cancer Patients at the Komfo Anokye Teaching Hospital: A Descriptive Cross-Sectional Study. Edorium J Cancer 2017;3:1–9.
Babatunde M Duduyemi, Osei </t>
    </r>
    <r>
      <rPr>
        <rFont val="Calibri"/>
        <color rgb="FF000000"/>
        <sz val="12.0"/>
      </rPr>
      <t>Owusu-Afriyie</t>
    </r>
    <r>
      <rPr>
        <rFont val="Calibri"/>
        <color rgb="FF000000"/>
        <sz val="12.0"/>
      </rPr>
      <t xml:space="preserve">, Kwabena O Danquah, Derick NA Osakunor. Cytopathology Practice in Kumasi: A 2-Year Retrospective Audit. Journal of Cytology / January-March 2017 / Volume 34 / Issue 1.                                                                                                                                                                                                                                                                                                                             Evelyn Jiagge, Joseph Kwaku Oppong, Jessica Bensenhaver, Francis Aitpillah, Kofi Gyan, Ishmael Kyei, Ernest Osei-Bonsu, Ernest Adjei, Michael Ohene-Yeboah, Kathy Toy, Karen Eubanks Jackson, Marian Akpaloo, Dorcas Acheampong, Beatrice Antwi, Faustina Obeng Agyeman, Zainab Alhassan, Linda Ahenkorah Fondjo, Osei </t>
    </r>
    <r>
      <rPr>
        <rFont val="Calibri"/>
        <color rgb="FF000000"/>
        <sz val="12.0"/>
      </rPr>
      <t>Owusu- Afriyie</t>
    </r>
    <r>
      <rPr>
        <rFont val="Calibri"/>
        <color rgb="FF000000"/>
        <sz val="12.0"/>
      </rPr>
      <t xml:space="preserve">, Robert Newman Brewer, Amma Gyamfuah, Barbara Salem, Timothy Johnson, Max Wicha, Sofia Merajver, Celina Kleer, Judy Pang, Emmanuel Amankwaa-Frempong, Azadeh Stark, Francis Abantanga, Lisa Newman and Baffour Awuah. Breast Cancer and African Ancestry: Lessons Learned at the 10-Year Anniversary of the Ghana-Michigan Research Partnership and International Breast Registry. Journal of Global Oncology (2016)   T. Adjeso, E. Siale, Y.N. Agyeman and O. </t>
    </r>
    <r>
      <rPr>
        <rFont val="Calibri"/>
        <color rgb="FF000000"/>
        <sz val="12.0"/>
      </rPr>
      <t>Owusu-Afriyie</t>
    </r>
    <r>
      <rPr>
        <rFont val="Calibri"/>
        <color rgb="FF000000"/>
        <sz val="12.0"/>
      </rPr>
      <t xml:space="preserve">, Ear Canal Papilloma in a 20 year Old Ghanaian Male. Journal of Medical and Biomedical Sciences (2016) 5(1): 32-35
William K. B. A. Owiredu, Derick N. M. Osakunor, Cornelius A. Turpin, and Osei </t>
    </r>
    <r>
      <rPr>
        <rFont val="Calibri"/>
        <color rgb="FF000000"/>
        <sz val="12.0"/>
      </rPr>
      <t>Owusu-Afriyie</t>
    </r>
    <r>
      <rPr>
        <rFont val="Calibri"/>
        <color rgb="FF000000"/>
        <sz val="12.0"/>
      </rPr>
      <t xml:space="preserve">, Laboratory Prediction of Primary Postpartum Haemorrhage: A Comparative Cohort Study. BMC Pregnancy and Childbirth. 2016;16:17.
Paintsil Vivian, Osei </t>
    </r>
    <r>
      <rPr>
        <rFont val="Calibri"/>
        <color rgb="FF000000"/>
        <sz val="12.0"/>
      </rPr>
      <t>Owusu-Afriyie,</t>
    </r>
    <r>
      <rPr>
        <rFont val="Calibri"/>
        <color rgb="FF000000"/>
        <sz val="12.0"/>
      </rPr>
      <t xml:space="preserve"> Samuel Blay Nguah, Joslin Dogbe, Lawrence Osei-Tutu, Alex Osei-Akoto. "Hodgkins lymphoma: Clinicopathologic Features in Paediatric Patients Presenting at the Komfo Anokye Teaching Hospital- Kumasi." Journal of Clinical Oncology 33, no. 15_suppl
Samuel Kyei, George Asumeng Koffuor, Paul Ramkissoon, Samuel Abokyi, Osei </t>
    </r>
    <r>
      <rPr>
        <rFont val="Calibri"/>
        <color rgb="FF000000"/>
        <sz val="12.0"/>
      </rPr>
      <t>Owusu-Afriyie</t>
    </r>
    <r>
      <rPr>
        <rFont val="Calibri"/>
        <color rgb="FF000000"/>
        <sz val="12.0"/>
      </rPr>
      <t xml:space="preserve">, and Eric Addo Wiredu. Possible Mechanism of Action of the Antiallergic Effect of an Aqueous Extract of Heliotropium indicum L. in Ovalbumin-Induced Allergic Conjunctivitis. Journal of Allergy, Vol 2015, Article ID 245370, 7
Samuel Kyei, George Asumeng Koffuor, Paul Ramkissoon and Osei </t>
    </r>
    <r>
      <rPr>
        <rFont val="Calibri"/>
        <color rgb="FF000000"/>
        <sz val="12.0"/>
      </rPr>
      <t>Owusu-Afriyie</t>
    </r>
    <r>
      <rPr>
        <rFont val="Calibri"/>
        <color rgb="FF000000"/>
        <sz val="12.0"/>
      </rPr>
      <t xml:space="preserve">. Anti-Glaucoma Potential of Heliotropium Indicum Linn in Experimentally- Induced Glaucoma. Eye and Vision (2015) 2:16
Helge Stalsberg Ernest Kwasi Adjei Osei </t>
    </r>
    <r>
      <rPr>
        <rFont val="Calibri"/>
        <color rgb="FF000000"/>
        <sz val="12.0"/>
      </rPr>
      <t>Owusu-Afriyie</t>
    </r>
    <r>
      <rPr>
        <rFont val="Calibri"/>
        <color rgb="FF000000"/>
        <sz val="12.0"/>
      </rPr>
      <t xml:space="preserve">. No Difference in the Prevalence of Benign Breast Changes Between Women from Ghana And Norway: An Autopsy Study. Breast Cancer Res Treat (2015) 151:177–182
Proctor E, Kidwell KM, Jiagge E, Bensenhaver J, Awuah B, Gyan K, Toy K, Oppong JK, Kyei I, Aitpillah F, Osei-Bonsu E, Adjei E, Ohene-Yeboah M, Brewer RN, Fondjo LA, </t>
    </r>
    <r>
      <rPr>
        <rFont val="Calibri"/>
        <color rgb="FF000000"/>
        <sz val="12.0"/>
      </rPr>
      <t>Owusu-Afriyie</t>
    </r>
    <r>
      <rPr>
        <rFont val="Calibri"/>
        <color rgb="FF000000"/>
        <sz val="12.0"/>
      </rPr>
      <t xml:space="preserve"> O, Wicha M, Merajver S, Kleer C, Newman L. Characterizing Breast Cancer in a Population with Increased Prevalence of Triple-Negative Breast Cancer: Androgen Receptor and ALDH1 Expression in Ghanaian
Women. Ann Surg Oncol. 2015 Mar 6 .                                                                                                                                                                                                                                                                                      Babatunde M. Duduyemi, Osei </t>
    </r>
    <r>
      <rPr>
        <rFont val="Calibri"/>
        <color rgb="FF000000"/>
        <sz val="12.0"/>
      </rPr>
      <t>Owusu-Afriyie</t>
    </r>
    <r>
      <rPr>
        <rFont val="Calibri"/>
        <color rgb="FF000000"/>
        <sz val="12.0"/>
      </rPr>
      <t xml:space="preserve">, Prince Boahene, Akinwale N. Titiloye, Sampene P. Ossei, Ernest K. Adjei , Babarinde A. Ojo. Intestinal Obstruction from Multifocal Endometriosis: A Case Report and Review of Literature. Journal of Surgery, 2014; 2(6): 101-104
Adu Gyamfi M, </t>
    </r>
    <r>
      <rPr>
        <rFont val="Calibri"/>
        <color rgb="FF000000"/>
        <sz val="12.0"/>
      </rPr>
      <t>Owusu-Afriyie</t>
    </r>
    <r>
      <rPr>
        <rFont val="Calibri"/>
        <color rgb="FF000000"/>
        <sz val="12.0"/>
      </rPr>
      <t xml:space="preserve"> Osei and Osabutey CK. Efficacy of Supportive Histo-Morphological Features in Prostate Cancer Diagnosis. Med Surg Urol 2014, 3:3
Rita Larsen-Reindorf, Osei </t>
    </r>
    <r>
      <rPr>
        <rFont val="Calibri"/>
        <color rgb="FF000000"/>
        <sz val="12.0"/>
      </rPr>
      <t>Owusu-Afriyie</t>
    </r>
    <r>
      <rPr>
        <rFont val="Calibri"/>
        <color rgb="FF000000"/>
        <sz val="12.0"/>
      </rPr>
      <t xml:space="preserve">, Alexander Oti Acheampong, Isaac Boakye, Baffour Awuah (2014). A Six-Year Review of Head and Neck Cancers at the Komfo Anokye Teaching Hospital, Kumasi, Ghana. International Journal of Otolaryngology and Head &amp; Neck Surgery, 2014, 3, 271-278
Emmanuel Amankwaa-Frempong, Francis Agyemang Yeboah, Samuel Blay Nguah, Osei </t>
    </r>
    <r>
      <rPr>
        <rFont val="Calibri"/>
        <color rgb="FF000000"/>
        <sz val="12.0"/>
      </rPr>
      <t xml:space="preserve">Owusu-Afriyie </t>
    </r>
    <r>
      <rPr>
        <rFont val="Calibri"/>
        <color rgb="FF000000"/>
        <sz val="12.0"/>
      </rPr>
      <t xml:space="preserve">(2014). Response to Chemotherapy and Association with Three Tumour Markers in Breast Cancer Patients in Ghana. Int J Cancer Ther Oncol 2014; 2(3):02034
Ernest K. Adjei, Osei </t>
    </r>
    <r>
      <rPr>
        <rFont val="Calibri"/>
        <color rgb="FF000000"/>
        <sz val="12.0"/>
      </rPr>
      <t>Owusu-Afriyie</t>
    </r>
    <r>
      <rPr>
        <rFont val="Calibri"/>
        <color rgb="FF000000"/>
        <sz val="12.0"/>
      </rPr>
      <t xml:space="preserve">, Baffour Awuah, and Helge Stalsberg (2014). Hormone Receptors and Her2 Expression in Breast Cancer in Sub-Saharan Africa. A Comparative Study of Biopsies from Ghana and Norway. The Breast Journal, Volume 20 Number 3, 2014 308-311
Handlogten KS, Molitor RJ, Roeker LE, Narla NP, Bachman MJ, Quayson S, </t>
    </r>
    <r>
      <rPr>
        <rFont val="Calibri"/>
        <color rgb="FF000000"/>
        <sz val="12.0"/>
      </rPr>
      <t>Owusu-Afriyie</t>
    </r>
    <r>
      <rPr>
        <rFont val="Calibri"/>
        <color rgb="FF000000"/>
        <sz val="12.0"/>
      </rPr>
      <t xml:space="preserve"> O, Adjei E, Ankobea F, Clayton A, Roberts L, Maclaughlin K, Ansong D. (2014). Cervical Cancer Screening in Ghana, West Africa: Prevalence of Abnormal Cytology and Challenges for Expanding Screening. Int J Gynecol Pathol. 2014 Mar;33(2):197-202                                                                                                                                                                                                                                                                                                                                                                                                                                           
</t>
    </r>
  </si>
  <si>
    <r>
      <rPr>
        <rFont val="Calibri"/>
        <color rgb="FF000000"/>
        <sz val="12.0"/>
      </rPr>
      <t xml:space="preserve">Owiredu, WKBA, DNM Osakunor, CA Turpin, and </t>
    </r>
    <r>
      <rPr>
        <rFont val="Calibri"/>
        <color rgb="FF000000"/>
        <sz val="12.0"/>
      </rPr>
      <t>O Owusu-Afriyie</t>
    </r>
    <r>
      <rPr>
        <rFont val="Calibri"/>
        <color rgb="FF000000"/>
        <sz val="12.0"/>
      </rPr>
      <t xml:space="preserve">. "Laboratory Prediction of Primary Postpartum Haemorrhage: A Comparative Cohort Study." </t>
    </r>
    <r>
      <rPr>
        <rFont val="Calibri"/>
        <i/>
        <color rgb="FF000000"/>
        <sz val="12.0"/>
      </rPr>
      <t>BMC Pregnancy and Childbirth</t>
    </r>
    <r>
      <rPr>
        <rFont val="Calibri"/>
        <color rgb="FF000000"/>
        <sz val="12.0"/>
      </rPr>
      <t xml:space="preserve"> 16.1 (2016): n. pag. Web; Kyei, S, GA Koffuor, P Ramkissoon, and </t>
    </r>
    <r>
      <rPr>
        <rFont val="Calibri"/>
        <color rgb="FF000000"/>
        <sz val="12.0"/>
      </rPr>
      <t>O Owusu-Afriyie</t>
    </r>
    <r>
      <rPr>
        <rFont val="Calibri"/>
        <color rgb="FF000000"/>
        <sz val="12.0"/>
      </rPr>
      <t xml:space="preserve">. "Anti-glaucoma Potential of Heliotropium Indicum Linn in Experimentally-induced Glaucoma." </t>
    </r>
    <r>
      <rPr>
        <rFont val="Calibri"/>
        <i/>
        <color rgb="FF000000"/>
        <sz val="12.0"/>
      </rPr>
      <t>Eye and Vision</t>
    </r>
    <r>
      <rPr>
        <rFont val="Calibri"/>
        <color rgb="FF000000"/>
        <sz val="12.0"/>
      </rPr>
      <t> 2.1 (2015): n. pag. Web.</t>
    </r>
  </si>
  <si>
    <r>
      <rPr>
        <rFont val="Calibri"/>
        <color rgb="FF000000"/>
        <sz val="12.0"/>
      </rPr>
      <t>2013</t>
    </r>
    <r>
      <rPr>
        <rFont val="Calibri"/>
        <color rgb="FF000000"/>
        <sz val="12.0"/>
      </rPr>
      <t xml:space="preserve">. </t>
    </r>
    <r>
      <rPr>
        <rFont val="Calibri"/>
        <i/>
        <color rgb="FF000000"/>
        <sz val="12.0"/>
      </rPr>
      <t>Ghana Dental Journal</t>
    </r>
    <r>
      <rPr>
        <rFont val="Calibri"/>
        <color rgb="FF000000"/>
        <sz val="12.0"/>
      </rPr>
      <t xml:space="preserve"> 10(1): 23-4. </t>
    </r>
    <r>
      <rPr>
        <rFont val="Calibri"/>
        <color rgb="FF000000"/>
        <sz val="12.0"/>
      </rPr>
      <t>2013</t>
    </r>
    <r>
      <rPr>
        <rFont val="Calibri"/>
        <color rgb="FF000000"/>
        <sz val="12.0"/>
      </rPr>
      <t xml:space="preserve">. Surgical Science 4: 135-9. </t>
    </r>
    <r>
      <rPr>
        <rFont val="Calibri"/>
        <color rgb="FF000000"/>
        <sz val="12.0"/>
      </rPr>
      <t>2013</t>
    </r>
    <r>
      <rPr>
        <rFont val="Calibri"/>
        <color rgb="FF000000"/>
        <sz val="12.0"/>
      </rPr>
      <t xml:space="preserve">. </t>
    </r>
    <r>
      <rPr>
        <rFont val="Calibri"/>
        <i/>
        <color rgb="FF000000"/>
        <sz val="12.0"/>
      </rPr>
      <t xml:space="preserve">Pharmacologia </t>
    </r>
    <r>
      <rPr>
        <rFont val="Calibri"/>
        <color rgb="FF000000"/>
        <sz val="12.0"/>
      </rPr>
      <t xml:space="preserve">4: 254-64. </t>
    </r>
    <r>
      <rPr>
        <rFont val="Calibri"/>
        <color rgb="FF000000"/>
        <sz val="12.0"/>
      </rPr>
      <t>2013</t>
    </r>
    <r>
      <rPr>
        <rFont val="Calibri"/>
        <color rgb="FF000000"/>
        <sz val="12.0"/>
      </rPr>
      <t xml:space="preserve">. Surgical Science 4: 65-7. </t>
    </r>
    <r>
      <rPr>
        <rFont val="Calibri"/>
        <color rgb="FF000000"/>
        <sz val="12.0"/>
      </rPr>
      <t>2012</t>
    </r>
    <r>
      <rPr>
        <rFont val="Calibri"/>
        <color rgb="FF000000"/>
        <sz val="12.0"/>
      </rPr>
      <t xml:space="preserve">. </t>
    </r>
    <r>
      <rPr>
        <rFont val="Calibri"/>
        <i/>
        <color rgb="FF000000"/>
        <sz val="12.0"/>
      </rPr>
      <t xml:space="preserve">Journal of Natural Pharmaceuticals </t>
    </r>
    <r>
      <rPr>
        <rFont val="Calibri"/>
        <color rgb="FF000000"/>
        <sz val="12.0"/>
      </rPr>
      <t xml:space="preserve">3(2): 115-22. </t>
    </r>
    <r>
      <rPr>
        <rFont val="Calibri"/>
        <color rgb="FF000000"/>
        <sz val="12.0"/>
      </rPr>
      <t>2012</t>
    </r>
    <r>
      <rPr>
        <rFont val="Calibri"/>
        <color rgb="FF000000"/>
        <sz val="12.0"/>
      </rPr>
      <t xml:space="preserve">. </t>
    </r>
    <r>
      <rPr>
        <rFont val="Calibri"/>
        <i/>
        <color rgb="FF000000"/>
        <sz val="12.0"/>
      </rPr>
      <t>European Journal of Experimental Biology</t>
    </r>
    <r>
      <rPr>
        <rFont val="Calibri"/>
        <color rgb="FF000000"/>
        <sz val="12.0"/>
      </rPr>
      <t xml:space="preserve"> 2(3):683-9. </t>
    </r>
    <r>
      <rPr>
        <rFont val="Calibri"/>
        <color rgb="FF000000"/>
        <sz val="12.0"/>
      </rPr>
      <t>2011</t>
    </r>
    <r>
      <rPr>
        <rFont val="Calibri"/>
        <color rgb="FF000000"/>
        <sz val="12.0"/>
      </rPr>
      <t xml:space="preserve">. On-line supplement to the </t>
    </r>
    <r>
      <rPr>
        <rFont val="Calibri"/>
        <i/>
        <color rgb="FF000000"/>
        <sz val="12.0"/>
      </rPr>
      <t xml:space="preserve">Journal of Pathology </t>
    </r>
    <r>
      <rPr>
        <rFont val="Calibri"/>
        <color rgb="FF000000"/>
        <sz val="12.0"/>
      </rPr>
      <t xml:space="preserve">224 (S2): S1-S39. </t>
    </r>
    <r>
      <rPr>
        <rFont val="Calibri"/>
        <color rgb="FF000000"/>
        <sz val="12.0"/>
      </rPr>
      <t>2009</t>
    </r>
    <r>
      <rPr>
        <rFont val="Calibri"/>
        <color rgb="FF000000"/>
        <sz val="12.0"/>
      </rPr>
      <t xml:space="preserve">. </t>
    </r>
    <r>
      <rPr>
        <rFont val="Calibri"/>
        <i/>
        <color rgb="FF000000"/>
        <sz val="12.0"/>
      </rPr>
      <t>African Journal of Reproductive Health</t>
    </r>
    <r>
      <rPr>
        <rFont val="Calibri"/>
        <color rgb="FF000000"/>
        <sz val="12.0"/>
      </rPr>
      <t xml:space="preserve"> 13(1): n.p. </t>
    </r>
  </si>
  <si>
    <t>87</t>
  </si>
  <si>
    <t>Tapela</t>
  </si>
  <si>
    <t>Tshenesani (Nigel)</t>
  </si>
  <si>
    <t>Cape Peninsula U of Technology, Cape Town</t>
  </si>
  <si>
    <t>Masters (McGill), Urban Planning</t>
  </si>
  <si>
    <t>Martin Murray</t>
  </si>
  <si>
    <t>tjeni.nigel@gmail.com</t>
  </si>
  <si>
    <t>Planning and sustainable development of mining towns and regions in Southern Africa</t>
  </si>
  <si>
    <t xml:space="preserve">Student connection: Jennifer Williams got her PhD from U-M in 2017, w/diss re: Understanding Low-Income Residents' Sense of Community in Post-Apartheid Housing Developments in South Africa.--thanking Cecil Madell and Nigel Tapela for hosting her at CPUT; her committee at U-M was Martin Murray, Anne Pitcher, June Manning Thomas, all of whom knew Maddell and Tapela thru UMAPS. </t>
  </si>
  <si>
    <r>
      <rPr>
        <rFont val="Calibri"/>
        <color rgb="FF000000"/>
        <sz val="12.0"/>
      </rPr>
      <t>Tapela</t>
    </r>
    <r>
      <rPr>
        <rFont val="Calibri"/>
        <color rgb="FF000000"/>
        <sz val="12.0"/>
      </rPr>
      <t xml:space="preserve">, TN. "Coexisting Tensions between the 'tradition-modernity' and the 'sustainability-integration' Approaches to Urban Development Policy and Planning Practices in Botswana." Indilinga African Journal of Indigenous Knowledge Systems 15 (2016): 78-110. Web.; Danai Machakaire, Nigel </t>
    </r>
    <r>
      <rPr>
        <rFont val="Calibri"/>
        <color rgb="FF000000"/>
        <sz val="12.0"/>
      </rPr>
      <t>Tapela</t>
    </r>
    <r>
      <rPr>
        <rFont val="Calibri"/>
        <color rgb="FF000000"/>
        <sz val="12.0"/>
      </rPr>
      <t xml:space="preserve">, Masilonyane Mokhele, Using geographic information system to analyse the divergence of urban development from spatial plans in Harare, Zimbabwe, September 2020, South African Journal of Geomatics 9(2):219-235
DOI: 10.4314/sajg.v9i2.15
</t>
    </r>
  </si>
  <si>
    <r>
      <rPr>
        <rFont val="Calibri"/>
        <color rgb="FF000000"/>
        <sz val="12.0"/>
      </rPr>
      <t>1988</t>
    </r>
    <r>
      <rPr>
        <rFont val="Calibri"/>
        <color rgb="FF000000"/>
        <sz val="12.0"/>
      </rPr>
      <t xml:space="preserve">. Geographical Education Magazine, Vol. 11(1): n.p. (Geographical Association of Zimbabwe: Harare). </t>
    </r>
    <r>
      <rPr>
        <rFont val="Calibri"/>
        <color rgb="FF000000"/>
        <sz val="12.0"/>
      </rPr>
      <t>2008</t>
    </r>
    <r>
      <rPr>
        <rFont val="Calibri"/>
        <color rgb="FF000000"/>
        <sz val="12.0"/>
      </rPr>
      <t>.</t>
    </r>
    <r>
      <rPr>
        <rFont val="Calibri"/>
        <i/>
        <color rgb="FF000000"/>
        <sz val="12.0"/>
      </rPr>
      <t xml:space="preserve"> Paradigms: Journal for Research and Debate into Higher Education </t>
    </r>
    <r>
      <rPr>
        <rFont val="Calibri"/>
        <color rgb="FF000000"/>
        <sz val="12.0"/>
      </rPr>
      <t xml:space="preserve">10:26-38 (Cape Town: Cape Peninsula University of Technology). </t>
    </r>
    <r>
      <rPr>
        <rFont val="Calibri"/>
        <color rgb="FF000000"/>
        <sz val="12.0"/>
      </rPr>
      <t>2010</t>
    </r>
    <r>
      <rPr>
        <rFont val="Calibri"/>
        <color rgb="FF000000"/>
        <sz val="12.0"/>
      </rPr>
      <t>.</t>
    </r>
    <r>
      <rPr>
        <rFont val="Calibri"/>
        <i/>
        <color rgb="FF000000"/>
        <sz val="12.0"/>
      </rPr>
      <t xml:space="preserve"> The Journal of Building and Land Development</t>
    </r>
    <r>
      <rPr>
        <rFont val="Calibri"/>
        <color rgb="FF000000"/>
        <sz val="12.0"/>
      </rPr>
      <t xml:space="preserve"> (Special Issue): 100-114 (Ardhi University: Dar-es-Salaam) [ISBN O856-0501]. </t>
    </r>
    <r>
      <rPr>
        <rFont val="Calibri"/>
        <color rgb="FF000000"/>
        <sz val="12.0"/>
      </rPr>
      <t>2012</t>
    </r>
    <r>
      <rPr>
        <rFont val="Calibri"/>
        <color rgb="FF000000"/>
        <sz val="12.0"/>
      </rPr>
      <t xml:space="preserve">. </t>
    </r>
    <r>
      <rPr>
        <rFont val="Calibri"/>
        <i/>
        <color rgb="FF000000"/>
        <sz val="12.0"/>
      </rPr>
      <t xml:space="preserve">Town and Regional </t>
    </r>
    <r>
      <rPr>
        <rFont val="Calibri"/>
        <color rgb="FF000000"/>
        <sz val="12.0"/>
      </rPr>
      <t xml:space="preserve">Planning 6(60): 10-8 (African Association of Planning Schools Special Issue). Plus </t>
    </r>
    <r>
      <rPr>
        <rFont val="Calibri"/>
        <color rgb="FF000000"/>
        <sz val="12.0"/>
      </rPr>
      <t xml:space="preserve">2 </t>
    </r>
    <r>
      <rPr>
        <rFont val="Calibri"/>
        <color rgb="FF000000"/>
        <sz val="12.0"/>
      </rPr>
      <t>chapters in 2 edited volumes (1999 and 2013).</t>
    </r>
  </si>
  <si>
    <t>88</t>
  </si>
  <si>
    <t>Ticha</t>
  </si>
  <si>
    <t>Ignatius</t>
  </si>
  <si>
    <t>Cape Peninsula U of Technology</t>
  </si>
  <si>
    <t>PhD (Stellenbosch, 2013), English Literature</t>
  </si>
  <si>
    <t>Andrea Zemgulys</t>
  </si>
  <si>
    <t>iticha@yahoo.com</t>
  </si>
  <si>
    <t xml:space="preserve">Evocations of poverty in selected novels of Meja Mwangi and Roddy Doyle: a study of literary representation </t>
  </si>
  <si>
    <t>was awarded ACLS African Humanities Program Postdoctoral Fellowship in 2015</t>
  </si>
  <si>
    <t>Obi, U. N., &amp; Ticha, I. K. (2020). INVOLVEMENT OF TEACHERS AND SUBJECT ADVISERS IN THE CURRICULUM DEVELOPMENT PROCESS IN SOUTH AFRICA: EVIDENCE FROM THE FORT BEAUFORT EDUCATION DISTRICT IN EASTERN CAPE. Gender &amp; Behaviour, 18(4). I. K. Ticha (2018). African languages and language practice research in the 21st century: Interdisciplinary themes and perspectives. South African Journal of African Languages. Book chapter: Ticha, I. K. (2015). KwahlalahlalaNgantsomi… ChosiNtsomi: creating an engaging teaching and learning environment through Digital Storytelling. Telling Stories Differently: Engaging 21st Century Students Through Digital Storytelling, Janet Condy (ed).</t>
  </si>
  <si>
    <t>89</t>
  </si>
  <si>
    <t>Bingma</t>
  </si>
  <si>
    <t>Vangile</t>
  </si>
  <si>
    <t>U Pretoria</t>
  </si>
  <si>
    <t>f</t>
  </si>
  <si>
    <t>2015-2016</t>
  </si>
  <si>
    <t>vangile.bingma@gmail.com</t>
  </si>
  <si>
    <t>A sociological inquiry of interrelationships between parents, learners and a township secondary school in the Tshwane South District, South Africa</t>
  </si>
  <si>
    <t>PhD candidate at University of Pretoria (PhD in progress prior to UMAPS residency)</t>
  </si>
  <si>
    <t>90</t>
  </si>
  <si>
    <t>Fessha</t>
  </si>
  <si>
    <t>Yonatan</t>
  </si>
  <si>
    <t>U Western Cape</t>
  </si>
  <si>
    <t>m</t>
  </si>
  <si>
    <t>yfessha@gmail.com</t>
  </si>
  <si>
    <t>Territorial accommodation of ethnic diversity and internal minorities in Africa</t>
  </si>
  <si>
    <t>91</t>
  </si>
  <si>
    <t>Ross</t>
  </si>
  <si>
    <t>Natasha</t>
  </si>
  <si>
    <t>nross@uwc.ac.za</t>
  </si>
  <si>
    <t>Carbon Supported Functional Nanoparticles for Catalysis, Electrocatalysis, and Energy Storage Applications</t>
  </si>
  <si>
    <t>92</t>
  </si>
  <si>
    <t>Asfaw</t>
  </si>
  <si>
    <t>Semeneh</t>
  </si>
  <si>
    <t>Addis Ababa U</t>
  </si>
  <si>
    <t>Ethiopia</t>
  </si>
  <si>
    <t>MA (AAU), History</t>
  </si>
  <si>
    <t>Mike McGovern</t>
  </si>
  <si>
    <t>miresemeneh@gmail.com</t>
  </si>
  <si>
    <t>The Young and the Urban in Addis: Revolution and Socio-cultural Change in Wube Bereha, 1941-1974</t>
  </si>
  <si>
    <t>PhD student at Makerere Institute of Social Research (PhD in progress prior to UMAPS residency); was awarded SSRC Doctoral Dissertation Completion Fellowship in 2016</t>
  </si>
  <si>
    <r>
      <rPr>
        <rFont val="Calibri"/>
        <color rgb="FF000000"/>
        <sz val="12.0"/>
      </rPr>
      <t>2010</t>
    </r>
    <r>
      <rPr>
        <rFont val="Calibri"/>
        <color rgb="FF000000"/>
        <sz val="12.0"/>
      </rPr>
      <t xml:space="preserve">. </t>
    </r>
    <r>
      <rPr>
        <rFont val="Calibri"/>
        <i/>
        <color rgb="FF000000"/>
        <sz val="12.0"/>
      </rPr>
      <t>Northeast African Studies 11</t>
    </r>
    <r>
      <rPr>
        <rFont val="Calibri"/>
        <color rgb="FF000000"/>
        <sz val="12.0"/>
      </rPr>
      <t xml:space="preserve">(1): 125-40. </t>
    </r>
    <r>
      <rPr>
        <rFont val="Calibri"/>
        <color rgb="FF000000"/>
        <sz val="12.0"/>
      </rPr>
      <t>2013</t>
    </r>
    <r>
      <rPr>
        <rFont val="Calibri"/>
        <color rgb="FF000000"/>
        <sz val="12.0"/>
      </rPr>
      <t xml:space="preserve">. </t>
    </r>
    <r>
      <rPr>
        <rFont val="Calibri"/>
        <i/>
        <color rgb="FF000000"/>
        <sz val="12.0"/>
      </rPr>
      <t>Northeast African Studie</t>
    </r>
    <r>
      <rPr>
        <rFont val="Calibri"/>
        <color rgb="FF000000"/>
        <sz val="12.0"/>
      </rPr>
      <t xml:space="preserve">s 13(1):53-70. </t>
    </r>
  </si>
  <si>
    <r>
      <rPr>
        <rFont val="Calibri"/>
        <color rgb="FF000000"/>
        <sz val="12.0"/>
      </rPr>
      <t>Listed as forthcoming in</t>
    </r>
    <r>
      <rPr>
        <rFont val="Calibri"/>
        <i/>
        <color rgb="FF000000"/>
        <sz val="12.0"/>
      </rPr>
      <t xml:space="preserve"> Journal of African Cultural Studies</t>
    </r>
    <r>
      <rPr>
        <rFont val="Calibri"/>
        <color rgb="FF000000"/>
        <sz val="12.0"/>
      </rPr>
      <t xml:space="preserve"> (not checked yet), “The politics of mourning: Burying Meles Zenawi”. Also listed as forthcoming, Anthology of Humanities research in Ethiopia: served as editor and has 1 chapter, CODESRIA publication (not checked yet)</t>
    </r>
  </si>
  <si>
    <t>93</t>
  </si>
  <si>
    <t>Addisu Bekele</t>
  </si>
  <si>
    <t>Sisay</t>
  </si>
  <si>
    <t>MSc, Biochemistry</t>
  </si>
  <si>
    <t>sisay.addisu@aau.edu.et</t>
  </si>
  <si>
    <t>Characterization of subtypes and gene variations among female breast cancer cases in Ethiopia</t>
  </si>
  <si>
    <t>PhD candidate at Addis Ababa U (PhD in progress prior to UMAPS residency)</t>
  </si>
  <si>
    <t>94</t>
  </si>
  <si>
    <t>MSocSci (UP), Sociology</t>
  </si>
  <si>
    <t>PhD candidate at University of Pretoria (PhD in progress prior to UMAPS residency); wrote to SS on 1/4/2018 to say that she expects to finish PhD degreee in the coming year (2018)</t>
  </si>
  <si>
    <r>
      <rPr>
        <rFont val="Calibri"/>
        <color rgb="FF000000"/>
        <sz val="12.0"/>
      </rPr>
      <t>2012</t>
    </r>
    <r>
      <rPr>
        <rFont val="Calibri"/>
        <color rgb="FF000000"/>
        <sz val="12.0"/>
      </rPr>
      <t xml:space="preserve">. </t>
    </r>
    <r>
      <rPr>
        <rFont val="Calibri"/>
        <i/>
        <color rgb="FF000000"/>
        <sz val="12.0"/>
      </rPr>
      <t>South African Journal of Education,</t>
    </r>
    <r>
      <rPr>
        <rFont val="Calibri"/>
        <color rgb="FF000000"/>
        <sz val="12.0"/>
      </rPr>
      <t xml:space="preserve"> Vol. 33 (3): 446-458.</t>
    </r>
  </si>
  <si>
    <t>95</t>
  </si>
  <si>
    <t>Desta</t>
  </si>
  <si>
    <t>Adey</t>
  </si>
  <si>
    <t>PhD (Addis Ababa U, 2014), Applied Microbiology</t>
  </si>
  <si>
    <t>Nancy Love; Krista Wigginton</t>
  </si>
  <si>
    <t>adey.desta@gmail.com</t>
  </si>
  <si>
    <t>Assessment of Pathogenic Microbiota during the Production of Struvite from Urine</t>
  </si>
  <si>
    <t>Awarded PEER Cycle 6 award per email from mentor 9/25/2017</t>
  </si>
  <si>
    <r>
      <rPr>
        <rFont val="Calibri"/>
        <color rgb="FF000000"/>
        <sz val="12.0"/>
      </rPr>
      <t>2013</t>
    </r>
    <r>
      <rPr>
        <rFont val="Calibri"/>
        <color rgb="FF000000"/>
        <sz val="12.0"/>
      </rPr>
      <t xml:space="preserve">. </t>
    </r>
    <r>
      <rPr>
        <rFont val="Calibri"/>
        <i/>
        <color rgb="FF000000"/>
        <sz val="12.0"/>
      </rPr>
      <t>Nature Protocol</t>
    </r>
    <r>
      <rPr>
        <rFont val="Calibri"/>
        <color rgb="FF000000"/>
        <sz val="12.0"/>
      </rPr>
      <t xml:space="preserve">s 8: 190- 212.                                                                                                                                                                                                                                                                                                       </t>
    </r>
    <r>
      <rPr>
        <rFont val="Calibri"/>
        <color rgb="FF000000"/>
        <sz val="12.0"/>
      </rPr>
      <t>2010</t>
    </r>
    <r>
      <rPr>
        <rFont val="Calibri"/>
        <color rgb="FF000000"/>
        <sz val="12.0"/>
      </rPr>
      <t xml:space="preserve">. </t>
    </r>
    <r>
      <rPr>
        <rFont val="Calibri"/>
        <i/>
        <color rgb="FF000000"/>
        <sz val="12.0"/>
      </rPr>
      <t>Water Sci. Technol.</t>
    </r>
    <r>
      <rPr>
        <rFont val="Calibri"/>
        <color rgb="FF000000"/>
        <sz val="12.0"/>
      </rPr>
      <t xml:space="preserve"> 62: 2543-2549.                                                                                                                                                                                                                                                                                                </t>
    </r>
    <r>
      <rPr>
        <rFont val="Calibri"/>
        <color rgb="FF000000"/>
        <sz val="12.0"/>
      </rPr>
      <t>2008</t>
    </r>
    <r>
      <rPr>
        <rFont val="Calibri"/>
        <color rgb="FF000000"/>
        <sz val="12.0"/>
      </rPr>
      <t xml:space="preserve">. SINET: </t>
    </r>
    <r>
      <rPr>
        <rFont val="Calibri"/>
        <i/>
        <color rgb="FF000000"/>
        <sz val="12.0"/>
      </rPr>
      <t>Ethiop. J. Sci.</t>
    </r>
    <r>
      <rPr>
        <rFont val="Calibri"/>
        <color rgb="FF000000"/>
        <sz val="12.0"/>
      </rPr>
      <t xml:space="preserve">, 31:11-20.                                                                                                                                                                                                                                                                                                                                                                        </t>
    </r>
    <r>
      <rPr>
        <rFont val="Calibri"/>
        <color rgb="FF000000"/>
        <sz val="12.0"/>
      </rPr>
      <t>2007</t>
    </r>
    <r>
      <rPr>
        <rFont val="Calibri"/>
        <color rgb="FF000000"/>
        <sz val="12.0"/>
      </rPr>
      <t xml:space="preserve">. </t>
    </r>
    <r>
      <rPr>
        <rFont val="Calibri"/>
        <i/>
        <color rgb="FF000000"/>
        <sz val="12.0"/>
      </rPr>
      <t>Bull. Anim. Hlth. Prod. Afr.</t>
    </r>
    <r>
      <rPr>
        <rFont val="Calibri"/>
        <color rgb="FF000000"/>
        <sz val="12.0"/>
      </rPr>
      <t xml:space="preserve"> 55: 163 - 174.                                                                                                                                                                                                                                                                                    </t>
    </r>
    <r>
      <rPr>
        <rFont val="Calibri"/>
        <color rgb="FF000000"/>
        <sz val="12.0"/>
      </rPr>
      <t>2007</t>
    </r>
    <r>
      <rPr>
        <rFont val="Calibri"/>
        <color rgb="FF000000"/>
        <sz val="12.0"/>
      </rPr>
      <t xml:space="preserve">. </t>
    </r>
    <r>
      <rPr>
        <rFont val="Calibri"/>
        <i/>
        <color rgb="FF000000"/>
        <sz val="12.0"/>
      </rPr>
      <t>Experimental Parasitology</t>
    </r>
    <r>
      <rPr>
        <rFont val="Calibri"/>
        <color rgb="FF000000"/>
        <sz val="12.0"/>
      </rPr>
      <t xml:space="preserve"> 116, 340-345.                                                                                                                                                                                                                                                                                  </t>
    </r>
    <r>
      <rPr>
        <rFont val="Calibri"/>
        <color rgb="FF000000"/>
        <sz val="12.0"/>
      </rPr>
      <t>2007</t>
    </r>
    <r>
      <rPr>
        <rFont val="Calibri"/>
        <color rgb="FF000000"/>
        <sz val="12.0"/>
      </rPr>
      <t xml:space="preserve">. </t>
    </r>
    <r>
      <rPr>
        <rFont val="Calibri"/>
        <i/>
        <color rgb="FF000000"/>
        <sz val="12.0"/>
      </rPr>
      <t>Journal of Ethnopharmacology</t>
    </r>
    <r>
      <rPr>
        <rFont val="Calibri"/>
        <color rgb="FF000000"/>
        <sz val="12.0"/>
      </rPr>
      <t xml:space="preserve">, 110, 428-433.                                                                                                                                                                                                                                                                                                            </t>
    </r>
    <r>
      <rPr>
        <rFont val="Calibri"/>
        <color rgb="FF000000"/>
        <sz val="12.0"/>
      </rPr>
      <t>2006</t>
    </r>
    <r>
      <rPr>
        <rFont val="Calibri"/>
        <color rgb="FF000000"/>
        <sz val="12.0"/>
      </rPr>
      <t xml:space="preserve">. </t>
    </r>
    <r>
      <rPr>
        <rFont val="Calibri"/>
        <i/>
        <color rgb="FF000000"/>
        <sz val="12.0"/>
      </rPr>
      <t>Bull. Anim. Hlth. Prod. Afr.</t>
    </r>
    <r>
      <rPr>
        <rFont val="Calibri"/>
        <color rgb="FF000000"/>
        <sz val="12.0"/>
      </rPr>
      <t xml:space="preserve"> 54, 168-174. </t>
    </r>
  </si>
  <si>
    <r>
      <rPr>
        <rFont val="Calibri"/>
        <color rgb="FF000000"/>
        <sz val="12.0"/>
      </rPr>
      <t xml:space="preserve">not yet checked: "Microbial community structure and diversity in an integrated system of anaerobic-aerobic reactors and constructed
wetland for the treatment of tannery wastewater in Modjo, Ethiopia." </t>
    </r>
    <r>
      <rPr>
        <rFont val="Calibri"/>
        <i/>
        <color rgb="FF000000"/>
        <sz val="12.0"/>
      </rPr>
      <t>PLOS-One</t>
    </r>
    <r>
      <rPr>
        <rFont val="Calibri"/>
        <color rgb="FF000000"/>
        <sz val="12.0"/>
      </rPr>
      <t xml:space="preserve"> (Accepted).</t>
    </r>
  </si>
  <si>
    <t>96</t>
  </si>
  <si>
    <t>Essuman</t>
  </si>
  <si>
    <t>Akye</t>
  </si>
  <si>
    <t>MBChB (U Ghana, 1992), Medicine; FWACP (W Afr College of Physicians post-grad program, 2005)</t>
  </si>
  <si>
    <t>Philip Zazove (Family Medicine); Katy Gold (also informal mentors: Ghazwan Toma &amp; Amal Othman, MDs</t>
  </si>
  <si>
    <t xml:space="preserve">PZ: have remained in touch, are currently working on co-authored pub, no grant apps submitted, PZ helped with initiation of AE's geriatrics fellowship program, including sending faculty over to Ghana. </t>
  </si>
  <si>
    <t>akyessuman@yahoo.com</t>
  </si>
  <si>
    <t>Establishing a geriatric fellowship program in Ghana</t>
  </si>
  <si>
    <t>MBChB is terminal degree in this field; goals achieved during UMAPS residency: Completed and submitted the proposed curriculum on geriatric fellowship to the Ghana College of Physicians and Surgeons; update: this curriculum was accepted for physicians in Ghana (email to SS 05/21/16)</t>
  </si>
  <si>
    <r>
      <rPr>
        <rFont val="Calibri"/>
        <color rgb="FF000000"/>
        <sz val="12.0"/>
      </rPr>
      <t xml:space="preserve">Akye </t>
    </r>
    <r>
      <rPr>
        <rFont val="Calibri"/>
        <color rgb="FF000000"/>
        <sz val="12.0"/>
      </rPr>
      <t>Essuman,</t>
    </r>
    <r>
      <rPr>
        <rFont val="Calibri"/>
        <color rgb="FF000000"/>
        <sz val="12.0"/>
      </rPr>
      <t xml:space="preserve"> FA Agyemang, CC Mate-Kole. "Editorial: Long-term Care for Older Adults in Africa: Whither Now?" </t>
    </r>
    <r>
      <rPr>
        <rFont val="Calibri"/>
        <i/>
        <color rgb="FF000000"/>
        <sz val="12.0"/>
      </rPr>
      <t>J Post-Acute and Long-Term Care Medicine</t>
    </r>
    <r>
      <rPr>
        <rFont val="Calibri"/>
        <color rgb="FF000000"/>
        <sz val="12.0"/>
      </rPr>
      <t xml:space="preserve"> 19(9):728-730, 2018;  Besigye, I, R Mash, </t>
    </r>
    <r>
      <rPr>
        <rFont val="Calibri"/>
        <color rgb="FF000000"/>
        <sz val="12.0"/>
      </rPr>
      <t>A Essuman</t>
    </r>
    <r>
      <rPr>
        <rFont val="Calibri"/>
        <color rgb="FF000000"/>
        <sz val="12.0"/>
      </rPr>
      <t>, and M Flinkenflaegel. "Conference Report: Undergraduate Family Medicine and Primary Care Training in Sub-Saharan Africa: Reflections of the PRIMAFAMED Network." </t>
    </r>
    <r>
      <rPr>
        <rFont val="Calibri"/>
        <i/>
        <color rgb="FF000000"/>
        <sz val="12.0"/>
      </rPr>
      <t>African Journal of Primary Health Care &amp; Family Medicine</t>
    </r>
    <r>
      <rPr>
        <rFont val="Calibri"/>
        <color rgb="FF000000"/>
        <sz val="12.0"/>
      </rPr>
      <t> 9.1 (2017): n. pag. Web.</t>
    </r>
  </si>
  <si>
    <r>
      <rPr>
        <rFont val="Calibri"/>
        <color rgb="FF000000"/>
        <sz val="12.0"/>
      </rPr>
      <t xml:space="preserve">Family practice, </t>
    </r>
    <r>
      <rPr>
        <rFont val="Calibri"/>
        <color rgb="FF000000"/>
        <sz val="12.0"/>
      </rPr>
      <t>2014</t>
    </r>
    <r>
      <rPr>
        <rFont val="Calibri"/>
        <color rgb="FF000000"/>
        <sz val="12.0"/>
      </rPr>
      <t xml:space="preserve"> doi: 10.1093/fampra/cmu014. PMJG.  March </t>
    </r>
    <r>
      <rPr>
        <rFont val="Calibri"/>
        <color rgb="FF000000"/>
        <sz val="12.0"/>
      </rPr>
      <t>2014</t>
    </r>
    <r>
      <rPr>
        <rFont val="Calibri"/>
        <color rgb="FF000000"/>
        <sz val="12.0"/>
      </rPr>
      <t xml:space="preserve">. PMJG, </t>
    </r>
    <r>
      <rPr>
        <rFont val="Calibri"/>
        <color rgb="FF000000"/>
        <sz val="12.0"/>
      </rPr>
      <t>2014</t>
    </r>
    <r>
      <rPr>
        <rFont val="Calibri"/>
        <color rgb="FF000000"/>
        <sz val="12.0"/>
      </rPr>
      <t xml:space="preserve"> March (=different co-authored article). Human Resources for Health. </t>
    </r>
    <r>
      <rPr>
        <rFont val="Calibri"/>
        <color rgb="FF000000"/>
        <sz val="12.0"/>
      </rPr>
      <t>2014</t>
    </r>
    <r>
      <rPr>
        <rFont val="Calibri"/>
        <color rgb="FF000000"/>
        <sz val="12.0"/>
      </rPr>
      <t xml:space="preserve">; 12:2. </t>
    </r>
    <r>
      <rPr>
        <rFont val="Calibri"/>
        <i/>
        <color rgb="FF000000"/>
        <sz val="12.0"/>
      </rPr>
      <t>Ghana Med J.</t>
    </r>
    <r>
      <rPr>
        <rFont val="Calibri"/>
        <color rgb="FF000000"/>
        <sz val="12.0"/>
      </rPr>
      <t xml:space="preserve"> 2013</t>
    </r>
    <r>
      <rPr>
        <rFont val="Calibri"/>
        <color rgb="FF000000"/>
        <sz val="12.0"/>
      </rPr>
      <t xml:space="preserve">;47(4):178-184. Br J Gen Pract </t>
    </r>
    <r>
      <rPr>
        <rFont val="Calibri"/>
        <color rgb="FF000000"/>
        <sz val="12.0"/>
      </rPr>
      <t>2013</t>
    </r>
    <r>
      <rPr>
        <rFont val="Calibri"/>
        <color rgb="FF000000"/>
        <sz val="12.0"/>
      </rPr>
      <t xml:space="preserve">, 63:209–216. Plus </t>
    </r>
    <r>
      <rPr>
        <rFont val="Calibri"/>
        <color rgb="FF000000"/>
        <sz val="12.0"/>
      </rPr>
      <t>1</t>
    </r>
    <r>
      <rPr>
        <rFont val="Calibri"/>
        <color rgb="FF000000"/>
        <sz val="12.0"/>
      </rPr>
      <t xml:space="preserve"> chapter in edited volume (2013).</t>
    </r>
  </si>
  <si>
    <t>97</t>
  </si>
  <si>
    <t>PhD (UWC, 2008), Law</t>
  </si>
  <si>
    <t>Daniel Halberstam</t>
  </si>
  <si>
    <r>
      <rPr>
        <rFont val="Calibri"/>
        <color rgb="FF000000"/>
        <sz val="12.0"/>
      </rPr>
      <t>Fessha, Y</t>
    </r>
    <r>
      <rPr>
        <rFont val="Calibri"/>
        <color rgb="FF000000"/>
        <sz val="12.0"/>
      </rPr>
      <t>. "Constitution and Conflict Management in Africa: Preventing Civil War through Institutional Design, Edited by Alan J. Kuperman Philadelphia, PA: University of Pennsylvania Press, 2015." Book review? </t>
    </r>
    <r>
      <rPr>
        <rFont val="Calibri"/>
        <i/>
        <color rgb="FF000000"/>
        <sz val="12.0"/>
      </rPr>
      <t>The Journal of Modern African Studies</t>
    </r>
    <r>
      <rPr>
        <rFont val="Calibri"/>
        <color rgb="FF000000"/>
        <sz val="12.0"/>
      </rPr>
      <t xml:space="preserve"> 54.03 (2016): 543-46. Web. </t>
    </r>
  </si>
  <si>
    <r>
      <rPr>
        <rFont val="Calibri"/>
        <color rgb="FF000000"/>
        <sz val="12.0"/>
      </rPr>
      <t>Fessha, YT</t>
    </r>
    <r>
      <rPr>
        <rFont val="Calibri"/>
        <color rgb="FF000000"/>
        <sz val="12.0"/>
      </rPr>
      <t xml:space="preserve">. "The Original Sin of Ethiopian Federalism." </t>
    </r>
    <r>
      <rPr>
        <rFont val="Calibri"/>
        <i/>
        <color rgb="FF000000"/>
        <sz val="12.0"/>
      </rPr>
      <t>Ethnopolitics</t>
    </r>
    <r>
      <rPr>
        <rFont val="Calibri"/>
        <color rgb="FF000000"/>
        <sz val="12.0"/>
      </rPr>
      <t xml:space="preserve"> (2016): 1-14. Web. (http://dx.doi.org/10.1080/17449057.2016.1254410)</t>
    </r>
  </si>
  <si>
    <r>
      <rPr>
        <rFont val="Calibri"/>
        <i/>
        <color rgb="FF000000"/>
        <sz val="12.0"/>
      </rPr>
      <t>African Human Rights Law Journal</t>
    </r>
    <r>
      <rPr>
        <rFont val="Calibri"/>
        <color rgb="FF000000"/>
        <sz val="12.0"/>
      </rPr>
      <t xml:space="preserve"> 13(2) </t>
    </r>
    <r>
      <rPr>
        <rFont val="Calibri"/>
        <color rgb="FF000000"/>
        <sz val="12.0"/>
      </rPr>
      <t>2013</t>
    </r>
    <r>
      <rPr>
        <rFont val="Calibri"/>
        <color rgb="FF000000"/>
        <sz val="12.0"/>
      </rPr>
      <t xml:space="preserve"> (356-382). </t>
    </r>
    <r>
      <rPr>
        <rFont val="Calibri"/>
        <i/>
        <color rgb="FF000000"/>
        <sz val="12.0"/>
      </rPr>
      <t xml:space="preserve">African Journal of International and Comparative Law </t>
    </r>
    <r>
      <rPr>
        <rFont val="Calibri"/>
        <color rgb="FF000000"/>
        <sz val="12.0"/>
      </rPr>
      <t>Volume 21(3)                                                                                                                                        (</t>
    </r>
    <r>
      <rPr>
        <rFont val="Calibri"/>
        <color rgb="FF000000"/>
        <sz val="12.0"/>
      </rPr>
      <t>2013</t>
    </r>
    <r>
      <rPr>
        <rFont val="Calibri"/>
        <color rgb="FF000000"/>
        <sz val="12.0"/>
      </rPr>
      <t>) 32-49. Speyerer Forschungsberichte 269 (</t>
    </r>
    <r>
      <rPr>
        <rFont val="Calibri"/>
        <color rgb="FF000000"/>
        <sz val="12.0"/>
      </rPr>
      <t>2012</t>
    </r>
    <r>
      <rPr>
        <rFont val="Calibri"/>
        <color rgb="FF000000"/>
        <sz val="12.0"/>
      </rPr>
      <t xml:space="preserve">) 115-135. SAPL </t>
    </r>
    <r>
      <rPr>
        <rFont val="Calibri"/>
        <color rgb="FF000000"/>
        <sz val="12.0"/>
      </rPr>
      <t>2012</t>
    </r>
    <r>
      <rPr>
        <rFont val="Calibri"/>
        <color rgb="FF000000"/>
        <sz val="12.0"/>
      </rPr>
      <t xml:space="preserve">(1) 155-174. </t>
    </r>
    <r>
      <rPr>
        <rFont val="Calibri"/>
        <i/>
        <color rgb="FF000000"/>
        <sz val="12.0"/>
      </rPr>
      <t>Africa Today</t>
    </r>
    <r>
      <rPr>
        <rFont val="Calibri"/>
        <color rgb="FF000000"/>
        <sz val="12.0"/>
      </rPr>
      <t xml:space="preserve"> </t>
    </r>
    <r>
      <rPr>
        <rFont val="Calibri"/>
        <color rgb="FF000000"/>
        <sz val="12.0"/>
      </rPr>
      <t>2011</t>
    </r>
    <r>
      <rPr>
        <rFont val="Calibri"/>
        <color rgb="FF000000"/>
        <sz val="12.0"/>
      </rPr>
      <t xml:space="preserve"> 58(4) 89-109. L’Europe en formation (A special issue “A new era of federalism”) (Spring </t>
    </r>
    <r>
      <rPr>
        <rFont val="Calibri"/>
        <color rgb="FF000000"/>
        <sz val="12.0"/>
      </rPr>
      <t>2011</t>
    </r>
    <r>
      <rPr>
        <rFont val="Calibri"/>
        <color rgb="FF000000"/>
        <sz val="12.0"/>
      </rPr>
      <t xml:space="preserve"> (March)) 53rd year, no. 63 265-289. Law, Democracy and Development Volume: 15 (</t>
    </r>
    <r>
      <rPr>
        <rFont val="Calibri"/>
        <color rgb="FF000000"/>
        <sz val="12.0"/>
      </rPr>
      <t>2010</t>
    </r>
    <r>
      <rPr>
        <rFont val="Calibri"/>
        <color rgb="FF000000"/>
        <sz val="12.0"/>
      </rPr>
      <t xml:space="preserve">) 37-58. </t>
    </r>
    <r>
      <rPr>
        <rFont val="Calibri"/>
        <i/>
        <color rgb="FF000000"/>
        <sz val="12.0"/>
      </rPr>
      <t>African Journal of Human Rights</t>
    </r>
    <r>
      <rPr>
        <rFont val="Calibri"/>
        <color rgb="FF000000"/>
        <sz val="12.0"/>
      </rPr>
      <t xml:space="preserve"> 9(2) </t>
    </r>
    <r>
      <rPr>
        <rFont val="Calibri"/>
        <color rgb="FF000000"/>
        <sz val="12.0"/>
      </rPr>
      <t>2009</t>
    </r>
    <r>
      <rPr>
        <rFont val="Calibri"/>
        <color rgb="FF000000"/>
        <sz val="12.0"/>
      </rPr>
      <t xml:space="preserve"> (501-523). CILSA 49(4) </t>
    </r>
    <r>
      <rPr>
        <rFont val="Calibri"/>
        <color rgb="FF000000"/>
        <sz val="12.0"/>
      </rPr>
      <t>2009</t>
    </r>
    <r>
      <rPr>
        <rFont val="Calibri"/>
        <color rgb="FF000000"/>
        <sz val="12.0"/>
      </rPr>
      <t xml:space="preserve"> (323-338). </t>
    </r>
    <r>
      <rPr>
        <rFont val="Calibri"/>
        <i/>
        <color rgb="FF000000"/>
        <sz val="12.0"/>
      </rPr>
      <t>Publius: The Journal of Federalism</t>
    </r>
    <r>
      <rPr>
        <rFont val="Calibri"/>
        <color rgb="FF000000"/>
        <sz val="12.0"/>
      </rPr>
      <t xml:space="preserve"> (38:2) </t>
    </r>
    <r>
      <rPr>
        <rFont val="Calibri"/>
        <color rgb="FF000000"/>
        <sz val="12.0"/>
      </rPr>
      <t>2008</t>
    </r>
    <r>
      <rPr>
        <rFont val="Calibri"/>
        <color rgb="FF000000"/>
        <sz val="12.0"/>
      </rPr>
      <t xml:space="preserve"> (248-272). </t>
    </r>
    <r>
      <rPr>
        <rFont val="Calibri"/>
        <i/>
        <color rgb="FF000000"/>
        <sz val="12.0"/>
      </rPr>
      <t>Journal of Ethiopian Law</t>
    </r>
    <r>
      <rPr>
        <rFont val="Calibri"/>
        <color rgb="FF000000"/>
        <sz val="12.0"/>
      </rPr>
      <t xml:space="preserve"> (22:1) </t>
    </r>
    <r>
      <rPr>
        <rFont val="Calibri"/>
        <color rgb="FF000000"/>
        <sz val="12.0"/>
      </rPr>
      <t>2008</t>
    </r>
    <r>
      <rPr>
        <rFont val="Calibri"/>
        <color rgb="FF000000"/>
        <sz val="12.0"/>
      </rPr>
      <t xml:space="preserve"> (128-144). </t>
    </r>
    <r>
      <rPr>
        <rFont val="Calibri"/>
        <i/>
        <color rgb="FF000000"/>
        <sz val="12.0"/>
      </rPr>
      <t xml:space="preserve">The South African Law Journal </t>
    </r>
    <r>
      <rPr>
        <rFont val="Calibri"/>
        <color rgb="FF000000"/>
        <sz val="12.0"/>
      </rPr>
      <t xml:space="preserve">(124:2) </t>
    </r>
    <r>
      <rPr>
        <rFont val="Calibri"/>
        <color rgb="FF000000"/>
        <sz val="12.0"/>
      </rPr>
      <t>2007</t>
    </r>
    <r>
      <rPr>
        <rFont val="Calibri"/>
        <color rgb="FF000000"/>
        <sz val="12.0"/>
      </rPr>
      <t xml:space="preserve"> (320-339). </t>
    </r>
    <r>
      <rPr>
        <rFont val="Calibri"/>
        <i/>
        <color rgb="FF000000"/>
        <sz val="12.0"/>
      </rPr>
      <t>African Journal of International and Comparative Law (</t>
    </r>
    <r>
      <rPr>
        <rFont val="Calibri"/>
        <color rgb="FF000000"/>
        <sz val="12.0"/>
      </rPr>
      <t xml:space="preserve">14:1) </t>
    </r>
    <r>
      <rPr>
        <rFont val="Calibri"/>
        <color rgb="FF000000"/>
        <sz val="12.0"/>
      </rPr>
      <t>2006</t>
    </r>
    <r>
      <rPr>
        <rFont val="Calibri"/>
        <color rgb="FF000000"/>
        <sz val="12.0"/>
      </rPr>
      <t xml:space="preserve">, 53-82. Plus </t>
    </r>
    <r>
      <rPr>
        <rFont val="Calibri"/>
        <color rgb="FF000000"/>
        <sz val="12.0"/>
      </rPr>
      <t>4</t>
    </r>
    <r>
      <rPr>
        <rFont val="Calibri"/>
        <color rgb="FF000000"/>
        <sz val="12.0"/>
      </rPr>
      <t xml:space="preserve"> chapters in 4 edited volumes. Plus</t>
    </r>
    <r>
      <rPr>
        <rFont val="Calibri"/>
        <color rgb="FF000000"/>
        <sz val="12.0"/>
      </rPr>
      <t xml:space="preserve"> 7 </t>
    </r>
    <r>
      <rPr>
        <rFont val="Calibri"/>
        <color rgb="FF000000"/>
        <sz val="12.0"/>
      </rPr>
      <t>articles in non-refereed journals (but just as legit as others I have counted--I haven't inclued all that were listed, bit of a judgement call)</t>
    </r>
  </si>
  <si>
    <t>98</t>
  </si>
  <si>
    <t>Gebregzabher</t>
  </si>
  <si>
    <t>Endale Hagdu</t>
  </si>
  <si>
    <t>MSc, Medical Biochemistry</t>
  </si>
  <si>
    <t>endalehadgu@yahoo.com; also uses: egebregz@umich.edu</t>
  </si>
  <si>
    <t>Research on breast cancer</t>
  </si>
  <si>
    <r>
      <rPr>
        <rFont val="Calibri"/>
        <color rgb="FFFF0000"/>
        <sz val="12.0"/>
      </rPr>
      <t xml:space="preserve">(41) </t>
    </r>
    <r>
      <rPr>
        <rFont val="Calibri"/>
        <color rgb="FF000000"/>
        <sz val="12.0"/>
      </rPr>
      <t>PhD 2017, AAU School of Medicine</t>
    </r>
  </si>
  <si>
    <t xml:space="preserve">PhD in progress prior to UMAPS residency; received per email to KA 7/28/2017 </t>
  </si>
  <si>
    <r>
      <rPr>
        <rFont val="Calibri"/>
        <color rgb="FF000000"/>
        <sz val="12.0"/>
      </rPr>
      <t xml:space="preserve">Bekele, M., Jibril, A., Seifu, D., Abebe, M., Bekele, A., Tigneh, W., ... &amp; </t>
    </r>
    <r>
      <rPr>
        <rFont val="Calibri"/>
        <color rgb="FF000000"/>
        <sz val="12.0"/>
      </rPr>
      <t>Gebregzabher</t>
    </r>
    <r>
      <rPr>
        <rFont val="Calibri"/>
        <color rgb="FF000000"/>
        <sz val="12.0"/>
      </rPr>
      <t xml:space="preserve">, E. H. (2020). Tumor and immune cell profiling in breast cancer using highly multiplexed imaging mass cytometry single-cell technology demonstrates tumor heterogeneity and immune phenotypic abnormality in Ethiopian women. In Cancer Research (Vol. 80, No. 21 Suppl.). American Association for Cancer Research. </t>
    </r>
  </si>
  <si>
    <t>99</t>
  </si>
  <si>
    <t>Gumikiriza</t>
  </si>
  <si>
    <t>Joy</t>
  </si>
  <si>
    <t>Bruno Giordani; Kristen Barry</t>
  </si>
  <si>
    <t>joyonoria@gmail.com</t>
  </si>
  <si>
    <t>Behavior self control intervention to reduce alcohol abuse among HIV positive</t>
  </si>
  <si>
    <t>enrolled in PhD program post-UMAPS, Makerere U, starting Fall 2021 (per mentor Bruno G)</t>
  </si>
  <si>
    <r>
      <rPr>
        <rFont val="Calibri"/>
        <color rgb="FF000000"/>
        <sz val="12.0"/>
      </rPr>
      <t xml:space="preserve">Mwesiga, E. K., Nakasujja, N., Nakku, J., Nanyonga, A., </t>
    </r>
    <r>
      <rPr>
        <rFont val="Calibri"/>
        <color rgb="FF000000"/>
        <sz val="12.0"/>
      </rPr>
      <t>Gumikiriza</t>
    </r>
    <r>
      <rPr>
        <rFont val="Calibri"/>
        <color rgb="FF000000"/>
        <sz val="12.0"/>
      </rPr>
      <t xml:space="preserve">, J. L., Bangirana, P., ... &amp; Musisi, S. (2020). One year prevalence of psychotic disorders among first treatment contact patients at the National Psychiatric Referral and Teaching Hospital in Uganda. PloS one, 15(1), e0218843. Mwesiga, E. K., Akena, D., Koen, N., Senono, R., Obuku, E. A., </t>
    </r>
    <r>
      <rPr>
        <rFont val="Calibri"/>
        <color rgb="FF000000"/>
        <sz val="12.0"/>
      </rPr>
      <t>Gumikiriza</t>
    </r>
    <r>
      <rPr>
        <rFont val="Calibri"/>
        <color rgb="FF000000"/>
        <sz val="12.0"/>
      </rPr>
      <t xml:space="preserve">, J. L., ... &amp; Stein, D. J. (2020). A systematic review of research on neuropsychological measures in psychotic disorders from low and middle-income countries: The question of clinical utility. Schizophrenia Research: Cognition, 22, 100187. Huang, K. Y., Nakigudde, J., Rhule, D., </t>
    </r>
    <r>
      <rPr>
        <rFont val="Calibri"/>
        <color rgb="FF000000"/>
        <sz val="12.0"/>
      </rPr>
      <t>Gumikiriza-Onoria</t>
    </r>
    <r>
      <rPr>
        <rFont val="Calibri"/>
        <color rgb="FF000000"/>
        <sz val="12.0"/>
      </rPr>
      <t xml:space="preserve">, J. L., Abura, G., Kolawole, B., ... &amp; Brotman, L. M. (2017). Transportability of an evidence-based early childhood intervention in a low-income African country: results of a cluster randomized controlled study. Prevention Science, 18(8), 964-975. Okello, E. S., Nankumbi, J., Ruzaaza, G. N., Bakengesa, E., </t>
    </r>
    <r>
      <rPr>
        <rFont val="Calibri"/>
        <color rgb="FF000000"/>
        <sz val="12.0"/>
      </rPr>
      <t>Gumikiriza</t>
    </r>
    <r>
      <rPr>
        <rFont val="Calibri"/>
        <color rgb="FF000000"/>
        <sz val="12.0"/>
      </rPr>
      <t xml:space="preserve">, J., Arubaku, W., ... &amp; Matte, M. (2015). Gaps and gains from engaging districts stakeholders for community-based health professions education in Uganda: A qualitative study. Perspectives on medical education, 4(6), 314-322. Calvey, T., Scheibein, F., Saad, N. A., Shirasaka, T., Dannatt, L., Stowe, M. J., ... incl </t>
    </r>
    <r>
      <rPr>
        <rFont val="Calibri"/>
        <color rgb="FF000000"/>
        <sz val="12.0"/>
      </rPr>
      <t>Gumikiriza</t>
    </r>
    <r>
      <rPr>
        <rFont val="Calibri"/>
        <color rgb="FF000000"/>
        <sz val="12.0"/>
      </rPr>
      <t xml:space="preserve"> &amp; Arya, S. (2020). The Changing Landscape of Alcohol Use and Alcohol Use Disorder During the COVID-19 Pandemic-Perspectives of Early Career Professionals in 16 Countries. Journal of addiction medicine, 14(6), e284-e286. Stowe, M. J., Calvey, T., Scheibein, F., Arya, S., Saad, N. A., Shirasaka, T., ...incl </t>
    </r>
    <r>
      <rPr>
        <rFont val="Calibri"/>
        <color rgb="FF000000"/>
        <sz val="12.0"/>
      </rPr>
      <t>Gumikiriza</t>
    </r>
    <r>
      <rPr>
        <rFont val="Calibri"/>
        <color rgb="FF000000"/>
        <sz val="12.0"/>
      </rPr>
      <t xml:space="preserve"> &amp; Morgan, N. (2020). Access to Healthcare and Harm Reduction Services During the COVID-19 Pandemic for People Who Use Drugs. Journal of addiction medicine, 14(6), e287-e289. </t>
    </r>
  </si>
  <si>
    <t>100</t>
  </si>
  <si>
    <t>Mimiafou NOW: Ayuk-Etang</t>
  </si>
  <si>
    <t>Elisabeth</t>
  </si>
  <si>
    <t>U Buea</t>
  </si>
  <si>
    <t>Cameroon</t>
  </si>
  <si>
    <t>PhD (U Yaounde, 2013), African, Caribbean &amp; American Literature</t>
  </si>
  <si>
    <t xml:space="preserve">Frieda Ekotto; Petra Kuppers </t>
  </si>
  <si>
    <t>miafoueli@yahoo.com</t>
  </si>
  <si>
    <t>Ecofeminism and Black Women's Writings</t>
  </si>
  <si>
    <t>gave a talk (webinar) on Fighting Climate Change”  at TEDxAccra in Sept 2016</t>
  </si>
  <si>
    <r>
      <rPr>
        <rFont val="Calibri"/>
        <color rgb="FF000000"/>
        <sz val="12.0"/>
      </rPr>
      <t>Ayuk-Etang</t>
    </r>
    <r>
      <rPr>
        <rFont val="Calibri"/>
        <color rgb="FF000000"/>
        <sz val="12.0"/>
      </rPr>
      <t xml:space="preserve">, Elisabeth Noumbouwo </t>
    </r>
    <r>
      <rPr>
        <rFont val="Calibri"/>
        <color rgb="FF000000"/>
        <sz val="12.0"/>
      </rPr>
      <t>Mimiafou</t>
    </r>
    <r>
      <rPr>
        <rFont val="Calibri"/>
        <color rgb="FF000000"/>
        <sz val="12.0"/>
      </rPr>
      <t xml:space="preserve">, and Charlotte Munge. "Deconstructing Sexuality and Xenophobia in Africa: A Critical Discourse on The Thing Around Your Neck and Under the Udala Tree." International Journal of Literature and Arts 8.6 (2020): 326. Njoh, Ambe J., Liora Bigon, and Elisabeth </t>
    </r>
    <r>
      <rPr>
        <rFont val="Calibri"/>
        <color rgb="FF000000"/>
        <sz val="12.0"/>
      </rPr>
      <t>NM Ayuk-Etang</t>
    </r>
    <r>
      <rPr>
        <rFont val="Calibri"/>
        <color rgb="FF000000"/>
        <sz val="12.0"/>
      </rPr>
      <t xml:space="preserve">. "Adapting modern ICTs to the spatial and cultural environment of urban Africa: the experience of Cameroon." African Review of Economics and Finance 9.2 (2017): 233-254. </t>
    </r>
    <r>
      <rPr>
        <rFont val="Calibri"/>
        <color rgb="FF000000"/>
        <sz val="12.0"/>
      </rPr>
      <t>NM Ayuk-Etang</t>
    </r>
    <r>
      <rPr>
        <rFont val="Calibri"/>
        <color rgb="FF000000"/>
        <sz val="12.0"/>
      </rPr>
      <t xml:space="preserve">. Book Chapter Migration, Dependence, Freedom and Independence in Ifeoma Chinwuba's merchant of flesh, in: Living (In)Dependence: Critical Perspectives on Global Interdependence geredigeerd door Ndi, Bill F., Fishkin, Benjamin Hard. Njoh, A. J., Ananga, E. O., Ngyah-Etchutambe, I. B., Deba, L. E., Asah, F. J., </t>
    </r>
    <r>
      <rPr>
        <rFont val="Calibri"/>
        <color rgb="FF000000"/>
        <sz val="12.0"/>
      </rPr>
      <t>Ayuk-Etang, E. N.</t>
    </r>
    <r>
      <rPr>
        <rFont val="Calibri"/>
        <color rgb="FF000000"/>
        <sz val="12.0"/>
      </rPr>
      <t xml:space="preserve">, &amp; Akiwumi, F. A. (2018). Electricity supply, and access to water and improved sanitation as determinants of gender-based inequality in educational attainment in Africa. Social Indicators Research, 135(2), 533-548. Njoh, A. J., &amp; </t>
    </r>
    <r>
      <rPr>
        <rFont val="Calibri"/>
        <color rgb="FF000000"/>
        <sz val="12.0"/>
      </rPr>
      <t>Ayuk-Etang, E. N.</t>
    </r>
    <r>
      <rPr>
        <rFont val="Calibri"/>
        <color rgb="FF000000"/>
        <sz val="12.0"/>
      </rPr>
      <t xml:space="preserve"> (2020). Determinants of Ecofeminism in Anglophone Cameroon: A PESTECH Analysis. Journal of Asian and African Studies, 0021909620970571. A</t>
    </r>
    <r>
      <rPr>
        <rFont val="Calibri"/>
        <color rgb="FF000000"/>
        <sz val="12.0"/>
      </rPr>
      <t>yuk-Etang, Elisabeth NM.</t>
    </r>
    <r>
      <rPr>
        <rFont val="Calibri"/>
        <color rgb="FF000000"/>
        <sz val="12.0"/>
      </rPr>
      <t xml:space="preserve"> "Women and Social insecurity in Cameroon: a Study of Selected Poems from Some Cameroon Anglophone Writers." (2020). American Research Journal of Humanities &amp; Social Science (ARJHSS) E-ISSN: 2378-702X Volume-03, Issue-12, pp 23-36 December-2020</t>
    </r>
  </si>
  <si>
    <r>
      <rPr>
        <rFont val="Calibri"/>
        <color rgb="FF000000"/>
        <sz val="12.0"/>
      </rPr>
      <t>African Review of Economics and Finance. 4,1 (</t>
    </r>
    <r>
      <rPr>
        <rFont val="Calibri"/>
        <color rgb="FF000000"/>
        <sz val="12.0"/>
      </rPr>
      <t>2012</t>
    </r>
    <r>
      <rPr>
        <rFont val="Calibri"/>
        <color rgb="FF000000"/>
        <sz val="12.0"/>
      </rPr>
      <t xml:space="preserve">): 30-52. </t>
    </r>
    <r>
      <rPr>
        <rFont val="Calibri"/>
        <i/>
        <color rgb="FF000000"/>
        <sz val="12.0"/>
      </rPr>
      <t>African Journal of Economic and Sustainable Development</t>
    </r>
    <r>
      <rPr>
        <rFont val="Calibri"/>
        <color rgb="FF000000"/>
        <sz val="12.0"/>
      </rPr>
      <t xml:space="preserve"> 1,4 (</t>
    </r>
    <r>
      <rPr>
        <rFont val="Calibri"/>
        <color rgb="FF000000"/>
        <sz val="12.0"/>
      </rPr>
      <t>2012</t>
    </r>
    <r>
      <rPr>
        <rFont val="Calibri"/>
        <color rgb="FF000000"/>
        <sz val="12.0"/>
      </rPr>
      <t xml:space="preserve">): 316-328. Plus </t>
    </r>
    <r>
      <rPr>
        <rFont val="Calibri"/>
        <color rgb="FF000000"/>
        <sz val="12.0"/>
      </rPr>
      <t xml:space="preserve">1 </t>
    </r>
    <r>
      <rPr>
        <rFont val="Calibri"/>
        <color rgb="FF000000"/>
        <sz val="12.0"/>
      </rPr>
      <t xml:space="preserve">chapter in edited vol (2014). </t>
    </r>
  </si>
  <si>
    <t>101</t>
  </si>
  <si>
    <t>Miyingo</t>
  </si>
  <si>
    <t>MSc (Makerere), Renewable Energy</t>
  </si>
  <si>
    <t>Roy Clarke</t>
  </si>
  <si>
    <t xml:space="preserve">The experience Emmanuel accumulated as a UMAPS scholar were instrumental in him being accepted into the Ph.D. program at Universitaet Kassel.  We have kept in constant contact since the time he was a UMAPS scholar and have had several joint activities: 1) Currently working on joint publication on scaling solar energy solutions 2) joint proposal to the World Bank program African Higher  Education Centres of Excellence (ACEs), which was successfully awarded to Makerere University in 2016. 3) several self-funded visits to Uganda during 2016 and 2017 to meet with Emmanuel and his Ugandan mentor, the late Dr. Moses Musaazi. 4)  Applied for a joint ASC Seed grant in 2016: not funded, but have self-funded continuation of these activities,  in order to sustain the momentum. </t>
  </si>
  <si>
    <t>miyingo@yahoo.com</t>
  </si>
  <si>
    <t>Design and Development of Hybrid Micro Grid Systems Using Biogas to Electricity and Solar PV for Peri-Urban and Rural Areas</t>
  </si>
  <si>
    <r>
      <rPr>
        <rFont val="Calibri"/>
        <color rgb="FFFF0000"/>
        <sz val="12.0"/>
      </rPr>
      <t>(42)</t>
    </r>
    <r>
      <rPr>
        <rFont val="Calibri"/>
        <color rgb="FF000000"/>
        <sz val="12.0"/>
      </rPr>
      <t xml:space="preserve"> PhD 2020, U Kaessel, Germany, </t>
    </r>
  </si>
  <si>
    <t xml:space="preserve">developed and submitted a PhD proposal during UMAPS, currently PhD student at U of Kessel, Germany; awarded STEM-Africa Seed Grant for 2018-2019, with Roy Clarke and Moses Musaazi, to work on "Scaling Solar for Off-grid Communities in Uganda" </t>
  </si>
  <si>
    <t>102</t>
  </si>
  <si>
    <t>Nansubuga</t>
  </si>
  <si>
    <t>Elizabeth</t>
  </si>
  <si>
    <t>MSc (Makerere), Population and reproductive health</t>
  </si>
  <si>
    <t>Cheryl Moyer</t>
  </si>
  <si>
    <t>I keep in touch with her and we have 1 joint pub: Nansubuga E, Ayiga N, Moyer CA. Prevalence and Risk Factors of Maternal Near-Miss in Central Uganda: a Community Based Study. International Journal of Gynecology and Obstetrics. 2016. Also 2 joint grants submitted: 1 NIH Emerging Global Leaders K-award, Group-based Post Natal Care in the Rakai District of Uganda, December 2015 – not funded. University of Michigan Global REACH Faculty Seed Grant. May 1, 2017 – April 30, 2018. A Feasibility Study of Group-Based Post-Natal Care in Rural Uganda. $10,000.  -  FUNDED</t>
  </si>
  <si>
    <t>enansubuga@gmail.com</t>
  </si>
  <si>
    <t>Community-based study of prevalence, risk factors and outcomes of maternal near miss in Uganda</t>
  </si>
  <si>
    <r>
      <rPr>
        <rFont val="Calibri"/>
        <color rgb="FFFF0000"/>
        <sz val="12.0"/>
      </rPr>
      <t xml:space="preserve">(43) </t>
    </r>
    <r>
      <rPr>
        <rFont val="Calibri"/>
        <color rgb="FF000000"/>
        <sz val="12.0"/>
      </rPr>
      <t xml:space="preserve">PhD in Population Studies, North-West University, South Africa, May 2016  </t>
    </r>
  </si>
  <si>
    <t>Phd rec'in May 2016, per email to HF  in Nov 2017  (PhD in progress prior to UMAPS residency)</t>
  </si>
  <si>
    <r>
      <rPr>
        <rFont val="Calibri"/>
        <color rgb="FF000000"/>
        <sz val="12.0"/>
      </rPr>
      <t>Nansubuga, E</t>
    </r>
    <r>
      <rPr>
        <rFont val="Calibri"/>
        <color rgb="FF000000"/>
        <sz val="12.0"/>
      </rPr>
      <t>, N Ayiga, and C Moyer. "Prevalence and Risk Factors of Maternal Near Miss in Central Uganda: A Community Based Study." </t>
    </r>
    <r>
      <rPr>
        <rFont val="Calibri"/>
        <i/>
        <color rgb="FF000000"/>
        <sz val="12.0"/>
      </rPr>
      <t>International Journal of Epidemiology</t>
    </r>
    <r>
      <rPr>
        <rFont val="Calibri"/>
        <color rgb="FF000000"/>
        <sz val="12.0"/>
      </rPr>
      <t> 135.2 (2016): n. pag. Web.</t>
    </r>
  </si>
  <si>
    <r>
      <rPr>
        <rFont val="Calibri"/>
        <color rgb="FF000000"/>
        <sz val="12.0"/>
      </rPr>
      <t>2014</t>
    </r>
    <r>
      <rPr>
        <rFont val="Calibri"/>
        <color rgb="FF000000"/>
        <sz val="12.0"/>
      </rPr>
      <t xml:space="preserve">. </t>
    </r>
    <r>
      <rPr>
        <rFont val="Calibri"/>
        <i/>
        <color rgb="FF000000"/>
        <sz val="12.0"/>
      </rPr>
      <t>African Population Studies</t>
    </r>
    <r>
      <rPr>
        <rFont val="Calibri"/>
        <color rgb="FF000000"/>
        <sz val="12.0"/>
      </rPr>
      <t xml:space="preserve"> 28(2): n.p. </t>
    </r>
    <r>
      <rPr>
        <rFont val="Calibri"/>
        <color rgb="FF000000"/>
        <sz val="12.0"/>
      </rPr>
      <t>2014</t>
    </r>
    <r>
      <rPr>
        <rFont val="Calibri"/>
        <color rgb="FF000000"/>
        <sz val="12.0"/>
      </rPr>
      <t xml:space="preserve">. </t>
    </r>
    <r>
      <rPr>
        <rFont val="Calibri"/>
        <i/>
        <color rgb="FF000000"/>
        <sz val="12.0"/>
      </rPr>
      <t xml:space="preserve">Reproductive Health </t>
    </r>
    <r>
      <rPr>
        <rFont val="Calibri"/>
        <color rgb="FF000000"/>
        <sz val="12.0"/>
      </rPr>
      <t xml:space="preserve">11:25: n.p. </t>
    </r>
    <r>
      <rPr>
        <rFont val="Calibri"/>
        <color rgb="FF000000"/>
        <sz val="12.0"/>
      </rPr>
      <t>2009</t>
    </r>
    <r>
      <rPr>
        <rFont val="Calibri"/>
        <color rgb="FF000000"/>
        <sz val="12.0"/>
      </rPr>
      <t xml:space="preserve">. </t>
    </r>
    <r>
      <rPr>
        <rFont val="Calibri"/>
        <i/>
        <color rgb="FF000000"/>
        <sz val="12.0"/>
      </rPr>
      <t xml:space="preserve">Drug and Alcohol Dependence </t>
    </r>
    <r>
      <rPr>
        <rFont val="Calibri"/>
        <color rgb="FF000000"/>
        <sz val="12.0"/>
      </rPr>
      <t xml:space="preserve">103(1-2): 9-15. </t>
    </r>
  </si>
  <si>
    <t>103</t>
  </si>
  <si>
    <t>Obirikorang</t>
  </si>
  <si>
    <t>Christian</t>
  </si>
  <si>
    <t>PhD (KNUST, 2010), Chemical Pathology</t>
  </si>
  <si>
    <t>David Burke</t>
  </si>
  <si>
    <t>Chris and I communicate by email about once a month. No publications as co-author. Chris is an active and independent author. Doesn't need me! Since his time on Chris has been working with the H3Africa project in Accra Ghana. I helped to set this up for H3Africa and Chris and the group in Accra.
 Overall, the UMAPS was a great success. Both Chris and I have benefited from the interaction and we continue to develop as colleagues. I will be assisting in sending a visiting scientist to Ghana for 2018 (she is a US former student). I will be going to Ghana to visit him (and my other colleagues) in mid 2018.</t>
  </si>
  <si>
    <r>
      <rPr>
        <rFont val="Calibri"/>
        <color rgb="FF000000"/>
        <sz val="12.0"/>
        <u/>
      </rPr>
      <t>krisobiri@yahoo.com</t>
    </r>
    <r>
      <rPr>
        <rFont val="Calibri"/>
        <color rgb="FF000000"/>
        <sz val="12.0"/>
        <u/>
      </rPr>
      <t>; chrisobiri@gmail.com</t>
    </r>
  </si>
  <si>
    <t>Genetic markers associated with dyslipidemia in HIV-infected Individuals on HAART in Ghana</t>
  </si>
  <si>
    <r>
      <rPr>
        <rFont val="Calibri"/>
        <color rgb="FF000000"/>
        <sz val="12.0"/>
      </rPr>
      <t>Obirikorang, C</t>
    </r>
    <r>
      <rPr>
        <rFont val="Calibri"/>
        <color rgb="FF000000"/>
        <sz val="12.0"/>
      </rPr>
      <t>, L Quaye, J Osei-Yeboah, E Odame, and I Asare. "Prevalence of Metabolic Syndrome among HIV-infected Patients in Ghana: A Cross-sectional Study." </t>
    </r>
    <r>
      <rPr>
        <rFont val="Calibri"/>
        <i/>
        <color rgb="FF000000"/>
        <sz val="12.0"/>
      </rPr>
      <t>Nigerian Medical Journal</t>
    </r>
    <r>
      <rPr>
        <rFont val="Calibri"/>
        <color rgb="FF000000"/>
        <sz val="12.0"/>
      </rPr>
      <t xml:space="preserve"> 57.2 (2016): 86. Web. </t>
    </r>
    <r>
      <rPr>
        <rFont val="Calibri"/>
        <color rgb="FF000000"/>
        <sz val="12.0"/>
      </rPr>
      <t>Obirikorang, C</t>
    </r>
    <r>
      <rPr>
        <rFont val="Calibri"/>
        <color rgb="FF000000"/>
        <sz val="12.0"/>
      </rPr>
      <t xml:space="preserve">, RG Issahaku, DNM Osakunor, and J Osei-Yeboah. "Anaemia and Iron Homeostasis in a Cohort of HIV-Infected Patients: A Cross-Sectional Study in Ghana." </t>
    </r>
    <r>
      <rPr>
        <rFont val="Calibri"/>
        <i/>
        <color rgb="FF000000"/>
        <sz val="12.0"/>
      </rPr>
      <t>AIDS Research and Treatment</t>
    </r>
    <r>
      <rPr>
        <rFont val="Calibri"/>
        <color rgb="FF000000"/>
        <sz val="12.0"/>
      </rPr>
      <t xml:space="preserve"> 2016 (2016): 1-8. Web. </t>
    </r>
  </si>
  <si>
    <r>
      <rPr>
        <rFont val="Calibri"/>
        <color rgb="FF000000"/>
        <sz val="12.0"/>
      </rPr>
      <t xml:space="preserve">Obirikorang, Y, </t>
    </r>
    <r>
      <rPr>
        <rFont val="Calibri"/>
        <color rgb="FF000000"/>
        <sz val="12.0"/>
      </rPr>
      <t>C Obirikorang</t>
    </r>
    <r>
      <rPr>
        <rFont val="Calibri"/>
        <color rgb="FF000000"/>
        <sz val="12.0"/>
      </rPr>
      <t xml:space="preserve">, EO Anto, E Acheampong, EN Batu, AD Stella, O Constance, and PK Brenya. "Knowledge of Complications of Diabetes Mellitus among Patients Visiting the Diabetes Clinic at Sampa Government Hospital, Ghana: A Descriptive Study." </t>
    </r>
    <r>
      <rPr>
        <rFont val="Calibri"/>
        <i/>
        <color rgb="FF000000"/>
        <sz val="12.0"/>
      </rPr>
      <t>BMC Public Health</t>
    </r>
    <r>
      <rPr>
        <rFont val="Calibri"/>
        <color rgb="FF000000"/>
        <sz val="12.0"/>
      </rPr>
      <t xml:space="preserve"> 16.1 (2016): n. pag. Web.</t>
    </r>
  </si>
  <si>
    <r>
      <rPr>
        <rFont val="Calibri"/>
        <color rgb="FF000000"/>
        <sz val="12.0"/>
      </rPr>
      <t>2014</t>
    </r>
    <r>
      <rPr>
        <rFont val="Calibri"/>
        <color rgb="FF000000"/>
        <sz val="12.0"/>
      </rPr>
      <t xml:space="preserve">. </t>
    </r>
    <r>
      <rPr>
        <rFont val="Calibri"/>
        <i/>
        <color rgb="FF000000"/>
        <sz val="12.0"/>
      </rPr>
      <t>PLoS One</t>
    </r>
    <r>
      <rPr>
        <rFont val="Calibri"/>
        <color rgb="FF000000"/>
        <sz val="12.0"/>
      </rPr>
      <t xml:space="preserve"> 9(6): e99469. </t>
    </r>
    <r>
      <rPr>
        <rFont val="Calibri"/>
        <color rgb="FF000000"/>
        <sz val="12.0"/>
      </rPr>
      <t>2013</t>
    </r>
    <r>
      <rPr>
        <rFont val="Calibri"/>
        <color rgb="FF000000"/>
        <sz val="12.0"/>
      </rPr>
      <t xml:space="preserve">. ISRN Aids: 873939. </t>
    </r>
    <r>
      <rPr>
        <rFont val="Calibri"/>
        <color rgb="FF000000"/>
        <sz val="12.0"/>
      </rPr>
      <t>2012</t>
    </r>
    <r>
      <rPr>
        <rFont val="Calibri"/>
        <color rgb="FF000000"/>
        <sz val="12.0"/>
      </rPr>
      <t xml:space="preserve">. </t>
    </r>
    <r>
      <rPr>
        <rFont val="Calibri"/>
        <i/>
        <color rgb="FF000000"/>
        <sz val="12.0"/>
      </rPr>
      <t>BMC Infectious Diseases</t>
    </r>
    <r>
      <rPr>
        <rFont val="Calibri"/>
        <color rgb="FF000000"/>
        <sz val="12.0"/>
      </rPr>
      <t xml:space="preserve"> 12:128. </t>
    </r>
    <r>
      <rPr>
        <rFont val="Calibri"/>
        <color rgb="FF000000"/>
        <sz val="12.0"/>
      </rPr>
      <t>2012</t>
    </r>
    <r>
      <rPr>
        <rFont val="Calibri"/>
        <color rgb="FF000000"/>
        <sz val="12.0"/>
      </rPr>
      <t xml:space="preserve">. </t>
    </r>
    <r>
      <rPr>
        <rFont val="Calibri"/>
        <i/>
        <color rgb="FF000000"/>
        <sz val="12.0"/>
      </rPr>
      <t xml:space="preserve">Journal of Medical Sciences </t>
    </r>
    <r>
      <rPr>
        <rFont val="Calibri"/>
        <color rgb="FF000000"/>
        <sz val="12.0"/>
      </rPr>
      <t xml:space="preserve">12:141-7. </t>
    </r>
    <r>
      <rPr>
        <rFont val="Calibri"/>
        <color rgb="FF000000"/>
        <sz val="12.0"/>
      </rPr>
      <t>2012</t>
    </r>
    <r>
      <rPr>
        <rFont val="Calibri"/>
        <color rgb="FF000000"/>
        <sz val="12.0"/>
      </rPr>
      <t xml:space="preserve">. </t>
    </r>
    <r>
      <rPr>
        <rFont val="Calibri"/>
        <i/>
        <color rgb="FF000000"/>
        <sz val="12.0"/>
      </rPr>
      <t>Journal of Medical and Biomedical Sciences</t>
    </r>
    <r>
      <rPr>
        <rFont val="Calibri"/>
        <color rgb="FF000000"/>
        <sz val="12.0"/>
      </rPr>
      <t xml:space="preserve"> 1(2): 59-65. </t>
    </r>
    <r>
      <rPr>
        <rFont val="Calibri"/>
        <color rgb="FF000000"/>
        <sz val="12.0"/>
      </rPr>
      <t>2011</t>
    </r>
    <r>
      <rPr>
        <rFont val="Calibri"/>
        <color rgb="FF000000"/>
        <sz val="12.0"/>
      </rPr>
      <t xml:space="preserve">. </t>
    </r>
    <r>
      <rPr>
        <rFont val="Calibri"/>
        <i/>
        <color rgb="FF000000"/>
        <sz val="12.0"/>
      </rPr>
      <t>Journal of Pharmacy and Allied Health Studies</t>
    </r>
    <r>
      <rPr>
        <rFont val="Calibri"/>
        <color rgb="FF000000"/>
        <sz val="12.0"/>
      </rPr>
      <t xml:space="preserve"> 1: 34-48. </t>
    </r>
    <r>
      <rPr>
        <rFont val="Calibri"/>
        <color rgb="FF000000"/>
        <sz val="12.0"/>
      </rPr>
      <t>2010</t>
    </r>
    <r>
      <rPr>
        <rFont val="Calibri"/>
        <color rgb="FF000000"/>
        <sz val="12.0"/>
      </rPr>
      <t xml:space="preserve">. </t>
    </r>
    <r>
      <rPr>
        <rFont val="Calibri"/>
        <i/>
        <color rgb="FF000000"/>
        <sz val="12.0"/>
      </rPr>
      <t>WEBMED Central Infectious Diseases</t>
    </r>
    <r>
      <rPr>
        <rFont val="Calibri"/>
        <color rgb="FF000000"/>
        <sz val="12.0"/>
      </rPr>
      <t xml:space="preserve"> 1(10): WMC001039. </t>
    </r>
    <r>
      <rPr>
        <rFont val="Calibri"/>
        <color rgb="FF000000"/>
        <sz val="12.0"/>
      </rPr>
      <t>2010</t>
    </r>
    <r>
      <rPr>
        <rFont val="Calibri"/>
        <color rgb="FF000000"/>
        <sz val="12.0"/>
      </rPr>
      <t xml:space="preserve">. </t>
    </r>
    <r>
      <rPr>
        <rFont val="Calibri"/>
        <i/>
        <color rgb="FF000000"/>
        <sz val="12.0"/>
      </rPr>
      <t xml:space="preserve">WEBMED Central Infectious Diseases </t>
    </r>
    <r>
      <rPr>
        <rFont val="Calibri"/>
        <color rgb="FF000000"/>
        <sz val="12.0"/>
      </rPr>
      <t xml:space="preserve">1(10): WMC00987. </t>
    </r>
    <r>
      <rPr>
        <rFont val="Calibri"/>
        <color rgb="FF000000"/>
        <sz val="12.0"/>
      </rPr>
      <t>2009</t>
    </r>
    <r>
      <rPr>
        <rFont val="Calibri"/>
        <color rgb="FF000000"/>
        <sz val="12.0"/>
      </rPr>
      <t>.</t>
    </r>
    <r>
      <rPr>
        <rFont val="Calibri"/>
        <i/>
        <color rgb="FF000000"/>
        <sz val="12.0"/>
      </rPr>
      <t xml:space="preserve"> Journal</t>
    </r>
    <r>
      <rPr>
        <rFont val="Calibri"/>
        <color rgb="FF000000"/>
        <sz val="12.0"/>
      </rPr>
      <t xml:space="preserve"> </t>
    </r>
    <r>
      <rPr>
        <rFont val="Calibri"/>
        <i/>
        <color rgb="FF000000"/>
        <sz val="12.0"/>
      </rPr>
      <t>of Biomedical Science</t>
    </r>
    <r>
      <rPr>
        <rFont val="Calibri"/>
        <color rgb="FF000000"/>
        <sz val="12.0"/>
      </rPr>
      <t xml:space="preserve"> 16(1): 102. </t>
    </r>
  </si>
  <si>
    <t>104</t>
  </si>
  <si>
    <t>Ocen</t>
  </si>
  <si>
    <t>Lawrence</t>
  </si>
  <si>
    <t>Lira U College</t>
  </si>
  <si>
    <t>MA, Literature</t>
  </si>
  <si>
    <t> At the time of his defense I read the whole of the dissertation and commented on it</t>
  </si>
  <si>
    <t>lauryocen70@gmail.com</t>
  </si>
  <si>
    <t>Reading Monuments: Politics and Poetics of Memory in Postwar Northern Uganda</t>
  </si>
  <si>
    <r>
      <rPr>
        <rFont val="Calibri"/>
        <color rgb="FFFF0000"/>
        <sz val="12.0"/>
      </rPr>
      <t xml:space="preserve">(44) </t>
    </r>
    <r>
      <rPr>
        <rFont val="Calibri"/>
        <color rgb="FF000000"/>
        <sz val="12.0"/>
      </rPr>
      <t xml:space="preserve">PhD Makerere 2017 </t>
    </r>
  </si>
  <si>
    <t xml:space="preserve">in 2015, LUC was renamed Lira University (LU); PhD in progress prior to UMAPS residency (PhD candidate at Makerere); received ACLS African Humanities Program Dissertation Fellowship in 2016; PhD granted 2017 (per email to ASC on 03/02/17) followed by post-doc at Makerere (MISER). </t>
  </si>
  <si>
    <r>
      <rPr>
        <rFont val="Calibri"/>
        <color rgb="FF000000"/>
        <sz val="12.0"/>
      </rPr>
      <t xml:space="preserve"> Two (2) chapters (</t>
    </r>
    <r>
      <rPr>
        <rFont val="Calibri"/>
        <color rgb="FF000000"/>
        <sz val="12.0"/>
      </rPr>
      <t>2009</t>
    </r>
    <r>
      <rPr>
        <rFont val="Calibri"/>
        <color rgb="FF000000"/>
        <sz val="12.0"/>
      </rPr>
      <t xml:space="preserve"> and </t>
    </r>
    <r>
      <rPr>
        <rFont val="Calibri"/>
        <color rgb="FF000000"/>
        <sz val="12.0"/>
      </rPr>
      <t>2005</t>
    </r>
    <r>
      <rPr>
        <rFont val="Calibri"/>
        <color rgb="FF000000"/>
        <sz val="12.0"/>
      </rPr>
      <t>) in 2 edited volumes/reports. Plus a number of literary publications</t>
    </r>
  </si>
  <si>
    <t>105</t>
  </si>
  <si>
    <t>PhD (UWC, 2013), Chemistry</t>
  </si>
  <si>
    <t>Mark Barteau</t>
  </si>
  <si>
    <t>have not remained in contact or done joint publications/projects</t>
  </si>
  <si>
    <r>
      <rPr>
        <rFont val="Calibri"/>
        <color rgb="FF000000"/>
        <sz val="12.0"/>
      </rPr>
      <t xml:space="preserve">Hlongwa, NW, CO Ikpo, </t>
    </r>
    <r>
      <rPr>
        <rFont val="Calibri"/>
        <color rgb="FF000000"/>
        <sz val="12.0"/>
      </rPr>
      <t>N Ross</t>
    </r>
    <r>
      <rPr>
        <rFont val="Calibri"/>
        <color rgb="FF000000"/>
        <sz val="12.0"/>
      </rPr>
      <t xml:space="preserve">, M Nzaba, MM Ndipingwi, PGL Baker, and EI Iwuoha. "Electrochemical Studies on Novel LiMnPO4 Coated with Magnesium Oxide-Gold Composite Thin Film in Aqueous Electrolytes." </t>
    </r>
    <r>
      <rPr>
        <rFont val="Calibri"/>
        <i/>
        <color rgb="FF000000"/>
        <sz val="12.0"/>
      </rPr>
      <t>Journal of Nano Research</t>
    </r>
    <r>
      <rPr>
        <rFont val="Calibri"/>
        <color rgb="FF000000"/>
        <sz val="12.0"/>
      </rPr>
      <t xml:space="preserve"> 44 (2016): 90-99. Web. </t>
    </r>
    <r>
      <rPr>
        <rFont val="Calibri"/>
        <color rgb="FF000000"/>
        <sz val="12.0"/>
      </rPr>
      <t>Ross, N</t>
    </r>
    <r>
      <rPr>
        <rFont val="Calibri"/>
        <color rgb="FF000000"/>
        <sz val="12.0"/>
      </rPr>
      <t xml:space="preserve">, NW Hlongwa, CO Ikpo, MM Ndipingwi, PGL Baker, and EI Iwuoha. "Iron-Gold Coated-LiMn2-XO4 Nanowire High Power Cathode System Probed by Spectroscopic and Microstructural Analysis." </t>
    </r>
    <r>
      <rPr>
        <rFont val="Calibri"/>
        <i/>
        <color rgb="FF000000"/>
        <sz val="12.0"/>
      </rPr>
      <t>Journal of Nano Research</t>
    </r>
    <r>
      <rPr>
        <rFont val="Calibri"/>
        <color rgb="FF000000"/>
        <sz val="12.0"/>
      </rPr>
      <t xml:space="preserve"> 44 (2016): 10-20. Web.</t>
    </r>
  </si>
  <si>
    <r>
      <rPr>
        <rFont val="Calibri"/>
        <color rgb="FF000000"/>
        <sz val="12.0"/>
      </rPr>
      <t xml:space="preserve">Douman, S, U Feleni, </t>
    </r>
    <r>
      <rPr>
        <rFont val="Calibri"/>
        <color rgb="FF000000"/>
        <sz val="12.0"/>
      </rPr>
      <t>N Ross</t>
    </r>
    <r>
      <rPr>
        <rFont val="Calibri"/>
        <color rgb="FF000000"/>
        <sz val="12.0"/>
      </rPr>
      <t xml:space="preserve">, X Fuku, R Ajayi, E Nxusani, N Ntshongontshi, U Sidwaba, C Rassie, A Jijana, P Baker, A Williams, and E Iwuoha. "New Generation Nanoelectrochemical Biosensors for Disease Biomarkers: 1. Indium Telluride Quantum Dots Signaling of Telomerase Cancer Biomarker." </t>
    </r>
    <r>
      <rPr>
        <rFont val="Calibri"/>
        <i/>
        <color rgb="FF000000"/>
        <sz val="12.0"/>
      </rPr>
      <t>Journal of Nanoscience and Nanotechnology</t>
    </r>
    <r>
      <rPr>
        <rFont val="Calibri"/>
        <color rgb="FF000000"/>
        <sz val="12.0"/>
      </rPr>
      <t xml:space="preserve"> 16.12 (2016): 12844-2850. Web.</t>
    </r>
  </si>
  <si>
    <r>
      <rPr>
        <rFont val="Calibri"/>
        <color rgb="FF000000"/>
        <sz val="12.0"/>
      </rPr>
      <t>2011</t>
    </r>
    <r>
      <rPr>
        <rFont val="Calibri"/>
        <color rgb="FF000000"/>
        <sz val="12.0"/>
      </rPr>
      <t xml:space="preserve">. Analytical Letters 11: 1956-66. </t>
    </r>
    <r>
      <rPr>
        <rFont val="Calibri"/>
        <color rgb="FF000000"/>
        <sz val="12.0"/>
      </rPr>
      <t>2010</t>
    </r>
    <r>
      <rPr>
        <rFont val="Calibri"/>
        <color rgb="FF000000"/>
        <sz val="12.0"/>
      </rPr>
      <t xml:space="preserve">. Electroanalysis 23: 122-8. </t>
    </r>
    <r>
      <rPr>
        <rFont val="Calibri"/>
        <color rgb="FF000000"/>
        <sz val="12.0"/>
      </rPr>
      <t>2013</t>
    </r>
    <r>
      <rPr>
        <rFont val="Calibri"/>
        <color rgb="FF000000"/>
        <sz val="12.0"/>
      </rPr>
      <t>.</t>
    </r>
    <r>
      <rPr>
        <rFont val="Calibri"/>
        <i/>
        <color rgb="FF000000"/>
        <sz val="12.0"/>
      </rPr>
      <t xml:space="preserve"> International Journal of Electrochemical Science </t>
    </r>
    <r>
      <rPr>
        <rFont val="Calibri"/>
        <color rgb="FF000000"/>
        <sz val="12.0"/>
      </rPr>
      <t xml:space="preserve">8: n.p. </t>
    </r>
    <r>
      <rPr>
        <rFont val="Calibri"/>
        <color rgb="FF000000"/>
        <sz val="12.0"/>
      </rPr>
      <t>2013</t>
    </r>
    <r>
      <rPr>
        <rFont val="Calibri"/>
        <color rgb="FF000000"/>
        <sz val="12.0"/>
      </rPr>
      <t xml:space="preserve">. </t>
    </r>
    <r>
      <rPr>
        <rFont val="Calibri"/>
        <i/>
        <color rgb="FF000000"/>
        <sz val="12.0"/>
      </rPr>
      <t>Journal of Bioactive and Compatible Polymer,</t>
    </r>
    <r>
      <rPr>
        <rFont val="Calibri"/>
        <color rgb="FF000000"/>
        <sz val="12.0"/>
      </rPr>
      <t xml:space="preserve"> 1-11. </t>
    </r>
    <r>
      <rPr>
        <rFont val="Calibri"/>
        <color rgb="FF000000"/>
        <sz val="12.0"/>
      </rPr>
      <t>2013</t>
    </r>
    <r>
      <rPr>
        <rFont val="Calibri"/>
        <color rgb="FF000000"/>
        <sz val="12.0"/>
      </rPr>
      <t xml:space="preserve">. Electrochimica Acta 101: 86-92. Also </t>
    </r>
    <r>
      <rPr>
        <rFont val="Calibri"/>
        <color rgb="FF000000"/>
        <sz val="12.0"/>
      </rPr>
      <t>1</t>
    </r>
    <r>
      <rPr>
        <rFont val="Calibri"/>
        <color rgb="FF000000"/>
        <sz val="12.0"/>
      </rPr>
      <t xml:space="preserve"> chapter in 1 edited vol, 2010 (Macmillan Publishers India Limited).</t>
    </r>
  </si>
  <si>
    <t>106</t>
  </si>
  <si>
    <t>Tagoudjeu</t>
  </si>
  <si>
    <t>Jacques</t>
  </si>
  <si>
    <t>U Yaounde</t>
  </si>
  <si>
    <t>PhD (U Yaounde, 2010), Mathematics</t>
  </si>
  <si>
    <t>Dan Burns; Nkem Khumbah; Robert krasny (Math)</t>
  </si>
  <si>
    <t>I was his mentor for a while until we got him connected with Robert Krasny in math. That still has consequences even now: Krasny, among other things, gave Jacques his notes for teaching "numerical linear algebra". When I went to Yaounde last spring, Jacques was using those as the basis of a fundamental course at CETIC. I taught a course on "applications of numerical linear algebra" as a supplement to Jacques' course. What is more, I am reworking that course for the Bioinformatics program here for next fall, and am trying to get a course like that (at a much higher level) going back in the original UM math dept -- Krasny is very pleased! So, you see, generosity reflects in many directions.</t>
  </si>
  <si>
    <t>jtagoudjeu@gmail.com</t>
  </si>
  <si>
    <t>Kinetic Equations: Modeling, Asymptotic behavior, Numerical Simulation and Application</t>
  </si>
  <si>
    <r>
      <rPr>
        <rFont val="Calibri"/>
        <color rgb="FF000000"/>
        <sz val="12.0"/>
      </rPr>
      <t>2009</t>
    </r>
    <r>
      <rPr>
        <rFont val="Calibri"/>
        <color rgb="FF000000"/>
        <sz val="12.0"/>
      </rPr>
      <t>.</t>
    </r>
    <r>
      <rPr>
        <rFont val="Calibri"/>
        <i/>
        <color rgb="FF000000"/>
        <sz val="12.0"/>
      </rPr>
      <t xml:space="preserve"> Int. Journal of Contemp. Math</t>
    </r>
    <r>
      <rPr>
        <rFont val="Calibri"/>
        <color rgb="FF000000"/>
        <sz val="12.0"/>
      </rPr>
      <t xml:space="preserve">. Sci., Vol. 4, No. 12, pp. 549-564.                                                                                                                                                                                                                                                                                  </t>
    </r>
    <r>
      <rPr>
        <rFont val="Calibri"/>
        <color rgb="FF000000"/>
        <sz val="12.0"/>
      </rPr>
      <t xml:space="preserve">2009. </t>
    </r>
    <r>
      <rPr>
        <rFont val="Calibri"/>
        <i/>
        <color rgb="FF000000"/>
        <sz val="12.0"/>
      </rPr>
      <t>Mathematical Modelling and Analysis</t>
    </r>
    <r>
      <rPr>
        <rFont val="Calibri"/>
        <color rgb="FF000000"/>
        <sz val="12.0"/>
      </rPr>
      <t xml:space="preserve">, Vol. 14, No. 3, pp. 271-289.                                                                                                                                                                                                                                      </t>
    </r>
    <r>
      <rPr>
        <rFont val="Calibri"/>
        <color rgb="FF000000"/>
        <sz val="12.0"/>
      </rPr>
      <t>2009</t>
    </r>
    <r>
      <rPr>
        <rFont val="Calibri"/>
        <color rgb="FF000000"/>
        <sz val="12.0"/>
      </rPr>
      <t>.</t>
    </r>
    <r>
      <rPr>
        <rFont val="Calibri"/>
        <i/>
        <color rgb="FF000000"/>
        <sz val="12.0"/>
      </rPr>
      <t xml:space="preserve"> Int. J. Contemp. Math. Sci.,</t>
    </r>
    <r>
      <rPr>
        <rFont val="Calibri"/>
        <color rgb="FF000000"/>
        <sz val="12.0"/>
      </rPr>
      <t xml:space="preserve"> Vol. 4, No. 34, pp. 1671-1684.                                                                                                                                                                                                                                                     </t>
    </r>
    <r>
      <rPr>
        <rFont val="Calibri"/>
        <color rgb="FF000000"/>
        <sz val="12.0"/>
      </rPr>
      <t>2010</t>
    </r>
    <r>
      <rPr>
        <rFont val="Calibri"/>
        <color rgb="FF000000"/>
        <sz val="12.0"/>
      </rPr>
      <t xml:space="preserve">. </t>
    </r>
    <r>
      <rPr>
        <rFont val="Calibri"/>
        <i/>
        <color rgb="FF000000"/>
        <sz val="12.0"/>
      </rPr>
      <t>Math. Model. Nat. Phenom</t>
    </r>
    <r>
      <rPr>
        <rFont val="Calibri"/>
        <color rgb="FF000000"/>
        <sz val="12.0"/>
      </rPr>
      <t xml:space="preserve">., Vol. 5, No. 7, pp. 60-66.                                                                                                                                                                                                                                                             </t>
    </r>
    <r>
      <rPr>
        <rFont val="Calibri"/>
        <color rgb="FF000000"/>
        <sz val="12.0"/>
      </rPr>
      <t>2010</t>
    </r>
    <r>
      <rPr>
        <rFont val="Calibri"/>
        <color rgb="FF000000"/>
        <sz val="12.0"/>
      </rPr>
      <t xml:space="preserve">. </t>
    </r>
    <r>
      <rPr>
        <rFont val="Calibri"/>
        <i/>
        <color rgb="FF000000"/>
        <sz val="12.0"/>
      </rPr>
      <t>Computational Methods in Applied Mathematics</t>
    </r>
    <r>
      <rPr>
        <rFont val="Calibri"/>
        <color rgb="FF000000"/>
        <sz val="12.0"/>
      </rPr>
      <t>, Vol. 10(2), pp. 119--136. Plus one (</t>
    </r>
    <r>
      <rPr>
        <rFont val="Calibri"/>
        <color rgb="FF000000"/>
        <sz val="12.0"/>
      </rPr>
      <t>1)</t>
    </r>
    <r>
      <rPr>
        <rFont val="Calibri"/>
        <color rgb="FF000000"/>
        <sz val="12.0"/>
      </rPr>
      <t xml:space="preserve"> chapter in conference proceedings (2008).</t>
    </r>
  </si>
  <si>
    <t>Listed as submitted (not checked yet): “An asymptotic preserving scheme for kinetic models for chemotaxis phenomena”, Submitted to Applied Numerical Mathematics (2014).</t>
  </si>
  <si>
    <t>107</t>
  </si>
  <si>
    <t>Tsambu</t>
  </si>
  <si>
    <t>Léon</t>
  </si>
  <si>
    <t>U Kinshasa</t>
  </si>
  <si>
    <t>DRC</t>
  </si>
  <si>
    <t>PhD (U Kinshasa, 2012), Sociology</t>
  </si>
  <si>
    <t>Nancy Hunt</t>
  </si>
  <si>
    <r>
      <rPr>
        <rFont val="Calibri"/>
        <color rgb="FF000000"/>
        <sz val="12.0"/>
        <u/>
      </rPr>
      <t>leon_tsambu@yahoo.com</t>
    </r>
    <r>
      <rPr>
        <rFont val="Calibri"/>
        <color rgb="FF000000"/>
        <sz val="12.0"/>
        <u/>
      </rPr>
      <t>; leon.tsambu@gmail.com</t>
    </r>
  </si>
  <si>
    <t>Power and gender relationships on the Kinshasa popular music stage</t>
  </si>
  <si>
    <t>Leon Tsambu, The Figurative Representation of Lumumba in Popular Music, Book Chapter, in: De Groof, M. (Ed.). (2020). Lumumba in the Arts. Leuven University Press. Tsambu, L. (2020). Champ politique et champ musical populaire. Multitudes, (4), 101-109.</t>
  </si>
  <si>
    <t>108</t>
  </si>
  <si>
    <t>Ulumara</t>
  </si>
  <si>
    <t>U Dodoma</t>
  </si>
  <si>
    <t>Tanzania</t>
  </si>
  <si>
    <t>MSc (U Dar Es Salaam), Natural Resources Assessment</t>
  </si>
  <si>
    <t>Kelly Askew</t>
  </si>
  <si>
    <t>johnulumara@yahoo.com</t>
  </si>
  <si>
    <t>Assessment of the contribution of wild products to rural livelihoods</t>
  </si>
  <si>
    <t>applied to PhD program following UMAPS residency: will start at U Dar es Salaam end of October, 2016 (per email to HF)</t>
  </si>
  <si>
    <t>109</t>
  </si>
  <si>
    <t>Andargie</t>
  </si>
  <si>
    <t>Fitsum</t>
  </si>
  <si>
    <t>2016-2017</t>
  </si>
  <si>
    <t xml:space="preserve">MSc Computer  Engineering </t>
  </si>
  <si>
    <t>Todd Austin (Computer Engin)</t>
  </si>
  <si>
    <t>fitsum.assamnew@aait.edu.et</t>
  </si>
  <si>
    <t>(+251) 91 113 7081</t>
  </si>
  <si>
    <t>Accelerating Computer Vision Using Mobile GP GPUs</t>
  </si>
  <si>
    <r>
      <rPr>
        <rFont val="Calibri"/>
        <color rgb="FFFF0000"/>
        <sz val="12.0"/>
      </rPr>
      <t xml:space="preserve">(45) </t>
    </r>
    <r>
      <rPr>
        <rFont val="Calibri"/>
        <color rgb="FF000000"/>
        <sz val="12.0"/>
      </rPr>
      <t>PhD (May) 2019,  Addis Ababa U (per email to HF)</t>
    </r>
  </si>
  <si>
    <t>Diss Title: "Acceleration and Energy Reduction of Object Detection on the Mobile Graphics Processing Unit" PhD candidate at Addis Ababa U (PhD in progress prior to UMAPS residency); Per Oct 2021: Chair of Computing Engineering at AAiT</t>
  </si>
  <si>
    <t>not included in analysis for ECAS</t>
  </si>
  <si>
    <t>110</t>
  </si>
  <si>
    <t>Bekker</t>
  </si>
  <si>
    <t>Ian</t>
  </si>
  <si>
    <t>North-West U</t>
  </si>
  <si>
    <t>PhD (2008, North-West U) English</t>
  </si>
  <si>
    <t>Pam Beddor (Linguistics)</t>
  </si>
  <si>
    <t>ian.bekker@nwu.ac.za</t>
  </si>
  <si>
    <t>27 (0)18 299 1487; Work: 018 299 1487; Home: 018 293 0177; Cell: 071 378 3854; Fax: 018 299 1562</t>
  </si>
  <si>
    <t>Phonologisation in South African English</t>
  </si>
  <si>
    <t>See seperate sheet</t>
  </si>
  <si>
    <t>111</t>
  </si>
  <si>
    <t>Belete (now: Adugna)</t>
  </si>
  <si>
    <t>Dagnachew</t>
  </si>
  <si>
    <t>MSc Environmental Engineering, MA Urban management</t>
  </si>
  <si>
    <t>Larissa Larsen (Urban Planning)</t>
  </si>
  <si>
    <t>dagnachew2@gmail.com; dagnachew.adugna@eiabc.edu.et</t>
  </si>
  <si>
    <t>(+251)(0)91111350</t>
  </si>
  <si>
    <t>The Challenge of River Water Pollution and the Potential for Sustainable Stormwater Management in Addis Abeba, Ethiopia</t>
  </si>
  <si>
    <r>
      <rPr>
        <rFont val="Calibri"/>
        <color rgb="FFFF0000"/>
        <sz val="12.0"/>
      </rPr>
      <t xml:space="preserve">(46) </t>
    </r>
    <r>
      <rPr>
        <rFont val="Calibri"/>
        <color rgb="FF000000"/>
        <sz val="12.0"/>
      </rPr>
      <t>PhD (July) 2018,  Addis Ababa U (per email to ASC)</t>
    </r>
  </si>
  <si>
    <t>PhD is in urban water management (PhD in progress prior to UMAPS residency)</t>
  </si>
  <si>
    <t>112</t>
  </si>
  <si>
    <t>Flomo</t>
  </si>
  <si>
    <t>Moses</t>
  </si>
  <si>
    <t>Cuttington U</t>
  </si>
  <si>
    <t>MSc Material Science and Engineering</t>
  </si>
  <si>
    <t>Pierre Poudeu (Engineering)</t>
  </si>
  <si>
    <t>mflomo1989@gmail.com and  0881808740/0778310612/mflomo1989@gmail.com</t>
  </si>
  <si>
    <t>(+231) 88 673 3760</t>
  </si>
  <si>
    <t>The Impact of Low Density Polyethylene (Water Sachets) on the Mechanical Property of Cement Mortar</t>
  </si>
  <si>
    <t>will start PhD program at Russian univesity in 2017, has left UMAPS to study Russian ahead of PhD studies</t>
  </si>
  <si>
    <r>
      <rPr>
        <rFont val="Calibri"/>
        <color rgb="FF000000"/>
        <sz val="12.0"/>
      </rPr>
      <t xml:space="preserve">Reinforcement of cement mortar with recycled polyethylene waste for construction applications (March 2021). Moses K Flomo, Salifu T Azeko, Emmanuel K Arthur, Jamal-Deen Kukurah, Kabiru Mustapha, Ebenezer Annan, Benjamin Agyei-Tuffour. </t>
    </r>
    <r>
      <rPr>
        <rFont val="Calibri"/>
        <i/>
        <color rgb="FF000000"/>
        <sz val="12.0"/>
      </rPr>
      <t>Journal of Composite Materials</t>
    </r>
    <r>
      <rPr>
        <rFont val="Calibri"/>
        <color rgb="FF000000"/>
        <sz val="12.0"/>
      </rPr>
      <t>, https://doi.org/10.1177/00219983211000249</t>
    </r>
  </si>
  <si>
    <t>113</t>
  </si>
  <si>
    <t>BSc Chemistry, MA Educational Administration</t>
  </si>
  <si>
    <t>Brian Coppola (Chemistry)</t>
  </si>
  <si>
    <t>smawoloj@gmail.com</t>
  </si>
  <si>
    <t>(+231) 88 655 3752</t>
  </si>
  <si>
    <t>Developing Teaching-Learning Modules for General Chemistry at University of Liberia</t>
  </si>
  <si>
    <t>114</t>
  </si>
  <si>
    <t>Kasari (Jacob)</t>
  </si>
  <si>
    <t>Thabit</t>
  </si>
  <si>
    <t>Msc Natural Resources</t>
  </si>
  <si>
    <t>Howard Stein (DAAS)</t>
  </si>
  <si>
    <t> thabitsenior.jacob@gmail.com</t>
  </si>
  <si>
    <t>(+255) 78 358 7334</t>
  </si>
  <si>
    <t>Large-Scale Investments in Natural Resources and the Return of the State: The Case of Coal in Tanzania</t>
  </si>
  <si>
    <r>
      <rPr>
        <rFont val="Calibri"/>
        <color rgb="FFFF0000"/>
        <sz val="12.0"/>
      </rPr>
      <t xml:space="preserve">(47) </t>
    </r>
    <r>
      <rPr>
        <rFont val="Calibri"/>
        <color rgb="FF000000"/>
        <sz val="12.0"/>
      </rPr>
      <t>PhD 2020,Roskilde Universitet, Denmark, Political Economy</t>
    </r>
  </si>
  <si>
    <t>PhD candidate in the Department of Social Sciences and Business at Roskilde U, Denmark (PhD in progress prior to UMAPS residency)</t>
  </si>
  <si>
    <r>
      <rPr>
        <rFont val="Calibri"/>
        <color rgb="FF000000"/>
        <sz val="12.0"/>
      </rPr>
      <t>T Jacob</t>
    </r>
    <r>
      <rPr>
        <rFont val="Calibri"/>
        <color rgb="FF000000"/>
        <sz val="12.0"/>
      </rPr>
      <t xml:space="preserve">, RH Pedersen (2018) New resource nationalism? Continuity and change in Tanzania's extractive industries </t>
    </r>
    <r>
      <rPr>
        <rFont val="Calibri"/>
        <i/>
        <color rgb="FF000000"/>
        <sz val="12.0"/>
      </rPr>
      <t xml:space="preserve">The Extractive Industries and Society </t>
    </r>
    <r>
      <rPr>
        <rFont val="Calibri"/>
        <color rgb="FF000000"/>
        <sz val="12.0"/>
      </rPr>
      <t xml:space="preserve">(in press). RH Pedersen, </t>
    </r>
    <r>
      <rPr>
        <rFont val="Calibri"/>
        <color rgb="FF000000"/>
        <sz val="12.0"/>
      </rPr>
      <t xml:space="preserve">T Jacob (2017) </t>
    </r>
    <r>
      <rPr>
        <rFont val="Calibri"/>
        <color rgb="FF000000"/>
        <sz val="12.0"/>
      </rPr>
      <t>Reconfigured state-community relations in Africa's extractive sectors: insights from post-liberalisation Tanzania.</t>
    </r>
    <r>
      <rPr>
        <rFont val="Calibri"/>
        <color rgb="FF000000"/>
        <sz val="12.0"/>
      </rPr>
      <t xml:space="preserve"> </t>
    </r>
    <r>
      <rPr>
        <rFont val="Calibri"/>
        <i/>
        <color rgb="FF000000"/>
        <sz val="12.0"/>
      </rPr>
      <t>The Extractive Industries and Society</t>
    </r>
    <r>
      <rPr>
        <rFont val="Calibri"/>
        <color rgb="FF000000"/>
        <sz val="12.0"/>
      </rPr>
      <t xml:space="preserve"> </t>
    </r>
    <r>
      <rPr>
        <rFont val="Calibri"/>
        <color rgb="FF000000"/>
        <sz val="12.0"/>
      </rPr>
      <t>4:915-22.</t>
    </r>
    <r>
      <rPr>
        <rFont val="Calibri"/>
        <color rgb="FF000000"/>
        <sz val="12.0"/>
      </rPr>
      <t xml:space="preserve"> </t>
    </r>
    <r>
      <rPr>
        <rFont val="Calibri"/>
        <i/>
        <color rgb="FF000000"/>
        <sz val="12.0"/>
      </rPr>
      <t xml:space="preserve"> </t>
    </r>
    <r>
      <rPr>
        <rFont val="Calibri"/>
        <color rgb="FF000000"/>
        <sz val="12.0"/>
      </rPr>
      <t xml:space="preserve">TK Jacob </t>
    </r>
    <r>
      <rPr>
        <rFont val="Calibri"/>
        <color rgb="FF000000"/>
        <sz val="12.0"/>
      </rPr>
      <t>(2017) Competing Energy Narratives in Tanzania: Towards the Political Economy of Coal. </t>
    </r>
    <r>
      <rPr>
        <rFont val="Calibri"/>
        <i/>
        <color rgb="FF000000"/>
        <sz val="12.0"/>
      </rPr>
      <t xml:space="preserve">African Affairs </t>
    </r>
    <r>
      <rPr>
        <rFont val="Calibri"/>
        <color rgb="FF000000"/>
        <sz val="12.0"/>
      </rPr>
      <t xml:space="preserve">116(463): 341-53. https://doi.org/10.1093/ afraf/adx002. </t>
    </r>
  </si>
  <si>
    <r>
      <rPr>
        <rFont val="Calibri"/>
        <color rgb="FF000000"/>
        <sz val="12.0"/>
      </rPr>
      <t xml:space="preserve">RH Pedersen, </t>
    </r>
    <r>
      <rPr>
        <rFont val="Calibri"/>
        <color rgb="FF000000"/>
        <sz val="12.0"/>
      </rPr>
      <t>TK Jacob</t>
    </r>
    <r>
      <rPr>
        <rFont val="Calibri"/>
        <color rgb="FF000000"/>
        <sz val="12.0"/>
      </rPr>
      <t>, F Maganga, and O Kweka (2016) Rights to Land and Extractive Resources in Tanzania (1/2): The History. </t>
    </r>
    <r>
      <rPr>
        <rFont val="Calibri"/>
        <i/>
        <color rgb="FF000000"/>
        <sz val="12.0"/>
      </rPr>
      <t xml:space="preserve">Danish Institute for International Studies Working Paper </t>
    </r>
    <r>
      <rPr>
        <rFont val="Calibri"/>
        <color rgb="FF000000"/>
        <sz val="12.0"/>
      </rPr>
      <t xml:space="preserve">11 </t>
    </r>
    <r>
      <rPr>
        <rFont val="Calibri"/>
        <i/>
        <color rgb="FF000000"/>
        <sz val="12.0"/>
      </rPr>
      <t>. https://www.econstor.eu/ handle/10419/148326</t>
    </r>
    <r>
      <rPr>
        <rFont val="Calibri"/>
        <color rgb="FF000000"/>
        <sz val="12.0"/>
      </rPr>
      <t xml:space="preserve">                                                                                                                                                                                                                                                                                    TK Jacob</t>
    </r>
    <r>
      <rPr>
        <rFont val="Calibri"/>
        <color rgb="FF000000"/>
        <sz val="12.0"/>
      </rPr>
      <t>, RH Pedersen, F Maganga, and O Kweka (2016) Rights to Land and Extractive Resources in Tanzania (2/2): The Return of the State. </t>
    </r>
    <r>
      <rPr>
        <rFont val="Calibri"/>
        <i/>
        <color rgb="FF000000"/>
        <sz val="12.0"/>
      </rPr>
      <t xml:space="preserve">Danish Institute for International Studies Working paper </t>
    </r>
    <r>
      <rPr>
        <rFont val="Calibri"/>
        <color rgb="FF000000"/>
        <sz val="12.0"/>
      </rPr>
      <t>12. https://www.econstor.eu/handle/10419/148327</t>
    </r>
  </si>
  <si>
    <t>115</t>
  </si>
  <si>
    <t>Mante</t>
  </si>
  <si>
    <t>Priscilla</t>
  </si>
  <si>
    <t>PhD (2012, KNUST), Pharmacology</t>
  </si>
  <si>
    <t>Lori Isom (Pharmacology)</t>
  </si>
  <si>
    <t>mantepk@yahoo.co.uk</t>
  </si>
  <si>
    <t>(+233) 26 485 0206</t>
  </si>
  <si>
    <t>Investigation of Possible Mechanisms of Action of Cryptolepine Hydrochloride as an Anticonvulsant</t>
  </si>
  <si>
    <t xml:space="preserve">recipient of the L’Oréal-UNESCO For Women in Science International Rising Talent Award 2019, one of only 15 awards,  the only African award recipient in 2019, first ever from KNUST; QUOTE from Priscilla: “I will always be grateful for the UMAPS opportunity, which gave me my first female mentor, Dr Laura Isom. She was very instrumental in helping me understand the heights to which I might take my career, and she continues to provide research opportunities for me and my mentees. This really makes me confident about my career.” in email to HF 3/20/2019; per email to HF 3/5/2018: selected to participate in the prestigious Lindau Nobel Laureate Meeting for 2018, after a competitive selection process after being nominated by Robert Bosch Stiftung GmbH (Only 600 most qualified young scientists, in 50:50 ratio, are selected to participate) </t>
  </si>
  <si>
    <t>116</t>
  </si>
  <si>
    <t>Ololajulo</t>
  </si>
  <si>
    <t>Babajide</t>
  </si>
  <si>
    <t>U Ibadan</t>
  </si>
  <si>
    <t>Nigeria</t>
  </si>
  <si>
    <t>PhD (2006, U Ibadan), Anthropology</t>
  </si>
  <si>
    <t>Omolade Adunbi (DAAS)</t>
  </si>
  <si>
    <t>We collaborate on different projects. Right now, we are working on co-authoring two articles. One of the articles will be submitted to anthropology/African studies journal this semester while the second will be finished before the end of summer.</t>
  </si>
  <si>
    <t> babjid74@yahoo.com</t>
  </si>
  <si>
    <t>(+234) 703 429 2290</t>
  </si>
  <si>
    <t>Crafting Development: Oil Communities and the Politics of Interventions in Nigeria</t>
  </si>
  <si>
    <t xml:space="preserve">Book (Sole Authored) 1. 2018.  Unshared identity: Posthumous paternity in a contemporary Yoruba community. Grahamstown: AHP Publications and NISC. 140pp. Journal Articles 1. 2020. “Memorials and the Culture of Remembering in Nigeria.” Anthropology News website, October 21, 2020. DOI: 10.14506/AN.1518. 2. 2020. “The Incremental Houses of Urban Fringes: Yoruba Personhood and Popular Culture in Ibadan, Nigeria.” Journal of Contemporary African Studies. DOI:10.1080/02589001.2020.1851660 3. 2020. “Proceed to your Death”: Lakuwa, Environmental Disaster Management, and Resource Distribution Politics in Nigeria (with Omolade Adunbi). Journal of Material Culture. Vol. 25, No.1: 36-59. DOI: 10.1177/1359183519843695  4. 2017. Roadside corpses in Nigeria: social anonymity, public morality, and (in)dignity of the human body. Journal of Contemporary African Studies Vol. 35. No.3: 249-265. 
</t>
  </si>
  <si>
    <t>117</t>
  </si>
  <si>
    <t>Tefera</t>
  </si>
  <si>
    <t>Hiruy</t>
  </si>
  <si>
    <t>MA Archaeology</t>
  </si>
  <si>
    <t>Raymond Siverman (DAAS/Hist of Art)</t>
  </si>
  <si>
    <t>hiruydaniel@yahoo.com</t>
  </si>
  <si>
    <t>(+251) 91 211 6105</t>
  </si>
  <si>
    <t>A New Paradigm for Museum in Ethiopia</t>
  </si>
  <si>
    <t>118</t>
  </si>
  <si>
    <t>Walulya</t>
  </si>
  <si>
    <t>Gerald</t>
  </si>
  <si>
    <t>MPhil (U Oslo, Norway), Media Studies</t>
  </si>
  <si>
    <t>Joyojeet Pal</t>
  </si>
  <si>
    <t>werald@gmail.com</t>
  </si>
  <si>
    <t>(+256)756 78 8788</t>
  </si>
  <si>
    <t>The Press Coverage of Elections in East Africa's One Party Dominant States: A Comparative Study of How Newspapers Report on Elections in Tanzania and Uganda</t>
  </si>
  <si>
    <r>
      <rPr>
        <rFont val="Calibri"/>
        <color rgb="FFFF0000"/>
        <sz val="12.0"/>
      </rPr>
      <t xml:space="preserve">(48) </t>
    </r>
    <r>
      <rPr>
        <rFont val="Calibri"/>
        <color rgb="FF000000"/>
        <sz val="12.0"/>
      </rPr>
      <t>PhD 2018 (March), U Oslo (Media Studies)</t>
    </r>
  </si>
  <si>
    <t>PhD in progress prior to UMAPS residency; defended March 7 2018, per email to HF 3/22/18</t>
  </si>
  <si>
    <t>119</t>
  </si>
  <si>
    <t>Weldesenbet</t>
  </si>
  <si>
    <t xml:space="preserve">Netsanet </t>
  </si>
  <si>
    <t>MA Contemporary Cultural Studies</t>
  </si>
  <si>
    <t>Martin Murray (DAAS/Urban Planning)</t>
  </si>
  <si>
    <t>netsanetmichael@gmail.com</t>
  </si>
  <si>
    <t>(+251) 92 003 0664</t>
  </si>
  <si>
    <t>Urban Histories and Memories: Memories of Asmara from Ethiopia, 1950s-1970s</t>
  </si>
  <si>
    <r>
      <rPr>
        <rFont val="Calibri"/>
        <color rgb="FFFF0000"/>
        <sz val="12.0"/>
      </rPr>
      <t xml:space="preserve">(49) PhD </t>
    </r>
    <r>
      <rPr>
        <rFont val="Calibri"/>
        <color rgb="FF000000"/>
        <sz val="12.0"/>
      </rPr>
      <t>2019, Makerer (per email from MISER)</t>
    </r>
  </si>
  <si>
    <t>PhD candidate at Makerere Institute of Social Studies (PhD in progress prior to UMAPS residency)</t>
  </si>
  <si>
    <r>
      <rPr>
        <rFont val="Calibri"/>
        <color rgb="FF000000"/>
        <sz val="12.0"/>
      </rPr>
      <t>Weldesenbet</t>
    </r>
    <r>
      <rPr>
        <rFont val="Calibri"/>
        <color rgb="FF000000"/>
        <sz val="12.0"/>
      </rPr>
      <t>, N. G. (2020). Ambivalent memories of imperial legacies: Asmara as ‘beautiful'and ‘segregationist'from Ethiopia. Cultural Studies, 34(5), 730-746.</t>
    </r>
  </si>
  <si>
    <t>120</t>
  </si>
  <si>
    <t>Workneh</t>
  </si>
  <si>
    <t>Zerihun</t>
  </si>
  <si>
    <t>Msc Environmental Technology</t>
  </si>
  <si>
    <t>Nancy Love and Johannes Schwank (Engineering)</t>
  </si>
  <si>
    <t>getanehzerihun@gmail.com</t>
  </si>
  <si>
    <t>(+251) 91 305 9551</t>
  </si>
  <si>
    <t>Biochar-based Urine Processing for Efficient Nutrient Recovery and Reuse in Agriculture</t>
  </si>
  <si>
    <t>sent email about PhD status</t>
  </si>
  <si>
    <t>wanted to start PhD program in 2016, but wasn't able to do so due to curriculum problems at home U; might start in 2017</t>
  </si>
  <si>
    <t>121</t>
  </si>
  <si>
    <t>Adzei</t>
  </si>
  <si>
    <t>Senyo</t>
  </si>
  <si>
    <t>2017-2018</t>
  </si>
  <si>
    <t>MPhil (UG), Music</t>
  </si>
  <si>
    <t>Naomi Andre (DAAS, RC, Women's Studies)</t>
  </si>
  <si>
    <t xml:space="preserve">senyoadzei@gmail.com and sadzei@ucc.edu.gh  </t>
  </si>
  <si>
    <t> (+233) 244 813 435; Skype: senyoadzeinovi</t>
  </si>
  <si>
    <t>Creative Processes in Shrine Music of the Awudome People of Ghana - An Ethnomusicological Inquiry</t>
  </si>
  <si>
    <r>
      <rPr>
        <rFont val="Calibri"/>
        <color rgb="FFFF0000"/>
        <sz val="12.0"/>
      </rPr>
      <t xml:space="preserve">(50) </t>
    </r>
    <r>
      <rPr>
        <rFont val="Calibri"/>
        <color rgb="FF000000"/>
        <sz val="12.0"/>
      </rPr>
      <t>PhD (2020) in Ethnomusicology at the University of Cape Coast. Thesis Topic: Creative Processes in Shrine Music of the Awudome People - An Ethnomusicological Inquiry Sent e-mail to HF on 
8/21/2020</t>
    </r>
  </si>
  <si>
    <t xml:space="preserve">
(PhD candidate at UG; PhD in progress prior to UMAPS residency)</t>
  </si>
  <si>
    <t>Guest lectures (4 weeks) for AAS 360 (African Music) and AAS 200 (Intro to African Studies) (instructor: Kwasi Ampene); African History and Anthropology Workshop, presentation 31 Oct 2017</t>
  </si>
  <si>
    <r>
      <rPr>
        <rFont val="Calibri"/>
        <color rgb="FF000000"/>
        <sz val="12.0"/>
      </rPr>
      <t xml:space="preserve">Witek, M. A., Liu, J., Kuubertzie, J., Yankyera, A. P., </t>
    </r>
    <r>
      <rPr>
        <rFont val="Calibri"/>
        <color rgb="FF000000"/>
        <sz val="12.0"/>
      </rPr>
      <t>Adzei</t>
    </r>
    <r>
      <rPr>
        <rFont val="Calibri"/>
        <color rgb="FF000000"/>
        <sz val="12.0"/>
      </rPr>
      <t xml:space="preserve">, S., &amp; Vuust, P. (2020). A critical cross-cultural study of sensorimotor and groove responses to syncopation among Ghanaian and American university students and staff. Music Perception, 37(4), 278-297.                                                                                                                                                                                                                                                                                                                                                                                                                                                                        </t>
    </r>
  </si>
  <si>
    <t>122</t>
  </si>
  <si>
    <t xml:space="preserve">Gemeda Bedane </t>
  </si>
  <si>
    <t xml:space="preserve">Debela </t>
  </si>
  <si>
    <t>St Paul's Hospital Millenium Medical College</t>
  </si>
  <si>
    <t>MSc (2004, AAU), Pharmacology</t>
  </si>
  <si>
    <t>Srijan Sen (Psychiatry, Med School); Vicki Ellingrod (Pharmacy); Laura Jean Scott (Biostatistics)</t>
  </si>
  <si>
    <t>debe430@yahoo.com</t>
  </si>
  <si>
    <t>Pharmacogenetic predictors of antidepressant response to Fluoxetine and amitriptyline</t>
  </si>
  <si>
    <t>PhD candidate at AAU; PhD in progress prior to UMAPS residency; incoming position Ass Prof</t>
  </si>
  <si>
    <t>123</t>
  </si>
  <si>
    <t>Benard</t>
  </si>
  <si>
    <t>Odur</t>
  </si>
  <si>
    <t>MSc (Makerere U), Biostatistics</t>
  </si>
  <si>
    <t>Brisa Sanchez (Biostatistics, Public Health) and Bhramar Mukherjee (Biostatistics, PH)</t>
  </si>
  <si>
    <t>odurbenard@yahoo.com; bodur@bams.mak.ac.ug</t>
  </si>
  <si>
    <t>(+256) 78 257 8354</t>
  </si>
  <si>
    <t xml:space="preserve">A Retrospective Analysis Of Progression In Neonatal And Infant Mortality Drivers In Uganda (1995-2016) </t>
  </si>
  <si>
    <t>PhD status unclear: HF to send email</t>
  </si>
  <si>
    <t>Speaker at Global Health Career Panel, 18 Oct 2017; lecture in Global Crossroads Lecture Series, School of Public Health, 20 Feb 2018</t>
  </si>
  <si>
    <t>124</t>
  </si>
  <si>
    <t>Donzo</t>
  </si>
  <si>
    <t>Kalilu Samuka</t>
  </si>
  <si>
    <t>MSc (Kerala Agricultural U, India) Plant Biotechnology</t>
  </si>
  <si>
    <t>W Clay Brown (Life Sciences Institute); James Deproposto</t>
  </si>
  <si>
    <t>donzokalilu246@gmail.com</t>
  </si>
  <si>
    <t>(+231) 777 560 675; Skype: kdonzo</t>
  </si>
  <si>
    <t>Advanced Training in Molecular Biology Techniques: Introducing research-based techniques at the University of Liberia</t>
  </si>
  <si>
    <t>Article in LSI (life sciences institute) Newsletter, March 2018, written by Emily Kagey</t>
  </si>
  <si>
    <t>CHEA, S. K.  DONZO, Kalilu and MULBAH, Edmund, 2019 Phytochemical Screening of Garcinia kola Crude Extract and its Sensitivity Testing against Anopheles mosquito larva. International Journal of Scientific &amp; Engineering Research Volume 10, Issue 9, September-2019 ISSN 2229-5518</t>
  </si>
  <si>
    <t>125</t>
  </si>
  <si>
    <t>Dzomeku</t>
  </si>
  <si>
    <t>Veronica Millicent</t>
  </si>
  <si>
    <t xml:space="preserve">PhD (UWC, April 2017) Nursing </t>
  </si>
  <si>
    <t>Jody Lori (School of Nursing)</t>
  </si>
  <si>
    <t>Vero just left but while she was here we submitted a Fogarty K43-award proposal for her Changing the Culture of Disrespect and Abuse in Maternity Care in Kumasi, Ghana for an Emerging Global Leader Award (K43) for Research Career Development, Program Announcement (PA) Number PAR-17-001.</t>
  </si>
  <si>
    <t>vmdzomeku@gmail.com</t>
  </si>
  <si>
    <t>(+233) 20 8199 257</t>
  </si>
  <si>
    <t>Exploration of Expectations and Experiences of Mothers towards Childbirth Care</t>
  </si>
  <si>
    <t>PhD received prior to starting UMAPS residency. Was awarded NIH career advancement grant in Nov 2018 (per email to HF); is now Head of Nursing Dept, based on email from Sarah Rominski who is collaborating w/her on bringing the sexual violence prevention project currently running at U-M and U Ghana to KNUST as well</t>
  </si>
  <si>
    <t>Guest lecture Childbirth &amp; Culture (Anthrcul 325, instructor: Henrike Florusbosch); guest lecture for Childbirth Class, School of Nursing (instructor: Megan Eagle); attendance at Global Sexual Health Summer, May 2018 (UM Nursing)</t>
  </si>
  <si>
    <r>
      <rPr>
        <rFont val="Calibri"/>
        <color rgb="FF000000"/>
        <sz val="12.0"/>
      </rPr>
      <t xml:space="preserve">Midwives’ experiences of implementing respectful maternity care knowledge in daily maternity care practices after participating in a four-day RMC training (March 2021). Veronica Millicent DzomekuADWOA BEMAH BOAMAH MENSAHADWOA BEMAH BOAMAH MENSAHEmmanuel Kweku NakuaShow all 6 authorsPeter DonkorPeter Donkor. </t>
    </r>
    <r>
      <rPr>
        <rFont val="Calibri"/>
        <i/>
        <color rgb="FF000000"/>
        <sz val="12.0"/>
      </rPr>
      <t>BMC Nursing</t>
    </r>
    <r>
      <rPr>
        <rFont val="Calibri"/>
        <color rgb="FF000000"/>
        <sz val="12.0"/>
      </rPr>
      <t xml:space="preserve"> 20(1). DOI: 10.1186/s12912-021-00559-6</t>
    </r>
  </si>
  <si>
    <t>126</t>
  </si>
  <si>
    <t>Fennie</t>
  </si>
  <si>
    <t>Thelma</t>
  </si>
  <si>
    <t>MPhil  (Stellenbosch U), HIV/AIDS management</t>
  </si>
  <si>
    <t>Rona Carter (Psychology)</t>
  </si>
  <si>
    <t>currently working on the following publication with a goal of submission: March 2018, Carter, R, Halawah, A, DeVincent, L, &amp;Fennie, T  (in prep). Parental portrayals in books on girl’s pubertal development. Also applied for ASRI Seed Grant 2018</t>
  </si>
  <si>
    <t>tfennie@uwc.ac.za</t>
  </si>
  <si>
    <t>(+27)826 44 9053</t>
  </si>
  <si>
    <t>Exploring Psychological Effects of Adolescent Girls' Experiences of Menarche &amp; Menstruation in School Setting</t>
  </si>
  <si>
    <t>Fennie, T., Mayman, Y., van Louw, C., Useh, E., &amp; Kombora, M. (2020). Psychosocial factors impacting the college adjustment of undergraduate students: A scoping review. Journal of Psychology in Africa, 30(2), 96-105.</t>
  </si>
  <si>
    <t>127</t>
  </si>
  <si>
    <t>Kalindi</t>
  </si>
  <si>
    <t>Audrey</t>
  </si>
  <si>
    <t>U of Zambia</t>
  </si>
  <si>
    <t>Zambia</t>
  </si>
  <si>
    <t>MA (U Zambia) Population Studies</t>
  </si>
  <si>
    <t>A. Oveta Fuller (Microbiology and Immunology, Med School)</t>
  </si>
  <si>
    <t xml:space="preserve">audreykalindi@gmail.com; : Audrey.Kalindi@anu.edu.au </t>
  </si>
  <si>
    <t>(+260) 97 741 0984; Skype: audreykalindi201;  +61420707640</t>
  </si>
  <si>
    <t>Institutional and Community Factors Associated with Maternal Mortality in Zambia: The Case of Nyimba, Lundazi, Kalomo and Mansa Districts</t>
  </si>
  <si>
    <t>accepted into PhD program at Australian National University post-UMAPS, per email 5/25/2020 HF; PhD Candidate (per e-mail, V.H.) School of Demography, Australian National University Room 2029, Building #9, Fellows Rd, Acton ACT 2601, Australia</t>
  </si>
  <si>
    <t>Guest lecture Childbirth &amp; Culture (Anthrcul 325, instructor: Henrike Florusbosch)</t>
  </si>
  <si>
    <r>
      <rPr>
        <rFont val="Calibri"/>
        <color rgb="FF000000"/>
        <sz val="12.0"/>
      </rPr>
      <t xml:space="preserve">Mapoma, C., Munkombwe, B., Mwango, C., Bwalya, B., </t>
    </r>
    <r>
      <rPr>
        <rFont val="Calibri"/>
        <color rgb="FF000000"/>
        <sz val="12.0"/>
      </rPr>
      <t>Kalindi</t>
    </r>
    <r>
      <rPr>
        <rFont val="Calibri"/>
        <color rgb="FF000000"/>
        <sz val="12.0"/>
      </rPr>
      <t>, A., &amp; Gona, P. (2021). Ascertaining Cause of non-Facility Deaths and Associated Demographic Characteristics: An Application of Verbal Autopsy in Routine Civil Registration in Lusaka District of Zambia. Chisumpa, V. H., &amp; Kalindi, A. M. (2020). Variations in sex ratios estimated from census and survey data in Zambia, 1969–2014. Journal of biosocial science, 52(6), 923-936. Agnes Andersson Djurfeldt, Audrey Kalindi, A., Lindisjo &amp; Mukata Wamulume (2019) Yearning to Farm-Youth, agricultural intensification and land in Mkushi, Zambia, Journal of Rural Studies 71, pp.85-93 Agnes Andersson Djurfeldt, Göran Djurfeldt, Ellen Hillbom, Aida C. Isinika, Miriam Dalitso Kalanda Joshua, Wisdom Chilwizhi Kaleng’a, Audrey Kalindi, Elibariki Msuya, Wapulumuka Mulwafu &amp; Mukata Wamulume (2019) Is there such a thing as sustainable agricultural intensification in smallholder-based farming in sub-Saharan Africa? Understanding yield differences in relation to gender in Malawi, Tanzania and Zambia, Development Studies Research, 6:1, 62-75, DOI: 10.1080/21665095.2019.1593048</t>
    </r>
  </si>
  <si>
    <t>128</t>
  </si>
  <si>
    <t>Khanakwa</t>
  </si>
  <si>
    <t xml:space="preserve">Pamela </t>
  </si>
  <si>
    <t xml:space="preserve">PhD (Northwestern U, 2011) History </t>
  </si>
  <si>
    <t>pkhanakwa@gmail.com</t>
  </si>
  <si>
    <t>(+256) 772 442 2530</t>
  </si>
  <si>
    <t>Bagisu Men Don't Cry: Imbalu and the Construction of Masculinities in Uganda</t>
  </si>
  <si>
    <t>PhD received prior to starting UMAPS residency</t>
  </si>
  <si>
    <t>Paper presented at Columbia Seminar Series on Contemporary Africa, Columbia University, November 2, 2017. African History and Anthropology Workshop, presentation 23 Jan 2018</t>
  </si>
  <si>
    <r>
      <rPr>
        <rFont val="Calibri"/>
        <color rgb="FF000000"/>
        <sz val="12.0"/>
      </rPr>
      <t>P Khanakwa</t>
    </r>
    <r>
      <rPr>
        <rFont val="Calibri"/>
        <color rgb="FF000000"/>
        <sz val="12.0"/>
      </rPr>
      <t xml:space="preserve"> (2018), Colonial Buganda and the End of Empire: Political Thought and Historical Imagination, by Jonathan L. Earle (book review), </t>
    </r>
    <r>
      <rPr>
        <rFont val="Calibri"/>
        <i/>
        <color rgb="FF000000"/>
        <sz val="12.0"/>
      </rPr>
      <t>International Journal of African Historical Studies</t>
    </r>
    <r>
      <rPr>
        <rFont val="Calibri"/>
        <color rgb="FF000000"/>
        <sz val="12.0"/>
      </rPr>
      <t xml:space="preserve"> 51(3):501-3. </t>
    </r>
    <r>
      <rPr>
        <rFont val="Calibri"/>
        <color rgb="FF000000"/>
        <sz val="12.0"/>
      </rPr>
      <t>P Khanakwa</t>
    </r>
    <r>
      <rPr>
        <rFont val="Calibri"/>
        <color rgb="FF000000"/>
        <sz val="12.0"/>
      </rPr>
      <t xml:space="preserve"> (2018), Reinventing </t>
    </r>
    <r>
      <rPr>
        <rFont val="Calibri"/>
        <i/>
        <color rgb="FF000000"/>
        <sz val="12.0"/>
      </rPr>
      <t xml:space="preserve">Imbala </t>
    </r>
    <r>
      <rPr>
        <rFont val="Calibri"/>
        <color rgb="FF000000"/>
        <sz val="12.0"/>
      </rPr>
      <t xml:space="preserve">and forcible circumcision: Gisu political identity and the fight for Mbale in Late Colonial Uganda, </t>
    </r>
    <r>
      <rPr>
        <rFont val="Calibri"/>
        <i/>
        <color rgb="FF000000"/>
        <sz val="12.0"/>
      </rPr>
      <t xml:space="preserve">Journal of African History </t>
    </r>
    <r>
      <rPr>
        <rFont val="Calibri"/>
        <color rgb="FF000000"/>
        <sz val="12.0"/>
      </rPr>
      <t>59(3):357-79. (She adds in her email "This would never have been possible without the UMAPS fellowship!")</t>
    </r>
  </si>
  <si>
    <t>129</t>
  </si>
  <si>
    <t>Mognhodie</t>
  </si>
  <si>
    <t>Mestewat Debasu</t>
  </si>
  <si>
    <t>MSc (2013, AAU), Medical Biochemistry</t>
  </si>
  <si>
    <t>David Lubman (Surgery, Med School)</t>
  </si>
  <si>
    <t>dmestewat@yahoo.com</t>
  </si>
  <si>
    <t>Exploration and utilization of glycan-based biomarkers for breast cancer patients on chemotherapy in Ethiopia</t>
  </si>
  <si>
    <t>PhD candidate at AAU; PhD in progress prior to UMAPS residency; incoming position lecturer</t>
  </si>
  <si>
    <t>130</t>
  </si>
  <si>
    <t>Muhumuza</t>
  </si>
  <si>
    <t>PhD (Wits, 2014) Animal, Plant, and Environmental Sciences</t>
  </si>
  <si>
    <t>Nyeema Harris (Ecology and Evolutionary Biology)</t>
  </si>
  <si>
    <t xml:space="preserve"> musacot@gmail.com</t>
  </si>
  <si>
    <t>(+256) 772 565 565; Skype: musacot1</t>
  </si>
  <si>
    <t>Holistic Community-based Biodiversity Conservation in National Parks in Rural Africa</t>
  </si>
  <si>
    <r>
      <rPr>
        <rFont val="Calibri"/>
        <color rgb="FF000000"/>
        <sz val="12.0"/>
      </rPr>
      <t xml:space="preserve">Kisa, P., Grabski, D. F., Ozgediz, D., Ajiko, M., Aspide, R., Baird, R., ...  incl </t>
    </r>
    <r>
      <rPr>
        <rFont val="Calibri"/>
        <color rgb="FF000000"/>
        <sz val="12.0"/>
      </rPr>
      <t>Muhumuza</t>
    </r>
    <r>
      <rPr>
        <rFont val="Calibri"/>
        <color rgb="FF000000"/>
        <sz val="12.0"/>
      </rPr>
      <t xml:space="preserve"> &amp; Villalona, G. (2019). Unifying children’s surgery and anesthesia stakeholders across institutions and clinical disciplines: challenges and solutions from Uganda. World journal of surgery, 43(6), 1435-1449. Hassenforder, E., Barreteau, O., Daniell, K. A., Ferrand, N., Kabaseke, C., </t>
    </r>
    <r>
      <rPr>
        <rFont val="Calibri"/>
        <color rgb="FF000000"/>
        <sz val="12.0"/>
      </rPr>
      <t>Muhumuza</t>
    </r>
    <r>
      <rPr>
        <rFont val="Calibri"/>
        <color rgb="FF000000"/>
        <sz val="12.0"/>
      </rPr>
      <t xml:space="preserve">, M., &amp; Tibasiima, T. (2020). The effects of public participation on multi-level water governance, lessons from Uganda. Environmental Management, 66(5), 770-784. Kaahwa, M., Zhu, C., &amp; </t>
    </r>
    <r>
      <rPr>
        <rFont val="Calibri"/>
        <color rgb="FF000000"/>
        <sz val="12.0"/>
      </rPr>
      <t>Muhumuza</t>
    </r>
    <r>
      <rPr>
        <rFont val="Calibri"/>
        <color rgb="FF000000"/>
        <sz val="12.0"/>
      </rPr>
      <t xml:space="preserve">, M. (2019). Satisfaction of distance education university students with the use of audio media as a medium of instruction. The case of Mountains of the Moon University, Uganda. Int. J. Educ. Pedagog. Sci, 13, 737-750. </t>
    </r>
  </si>
  <si>
    <t>131</t>
  </si>
  <si>
    <t>Ndlovu</t>
  </si>
  <si>
    <t>Precious</t>
  </si>
  <si>
    <t xml:space="preserve">LLD (U Fort Hare) </t>
  </si>
  <si>
    <t>Gabriel Rauterberg (Law) and Laura Beny (Law)</t>
  </si>
  <si>
    <t>ndlovupn@gmail.com</t>
  </si>
  <si>
    <t>The Economics of Mergers and Acquisitions in Africa's Regional Competition Law Frameworks: An examination of the COMESA Competition Commission</t>
  </si>
  <si>
    <t>LLD is considered terminal degree in the field of law, so counted as such (PhD plus other terminal degrees)</t>
  </si>
  <si>
    <t>132</t>
  </si>
  <si>
    <t>Nigussie</t>
  </si>
  <si>
    <t>Gereme Melessew</t>
  </si>
  <si>
    <t>Bahir Dar U</t>
  </si>
  <si>
    <t>PhD (Bahir Dar U &amp; International Center for Theoretical Physics, Italy; 2014) Space Physics</t>
  </si>
  <si>
    <t>Mark Moldwin (Climate and Space Sciences, CoE)</t>
  </si>
  <si>
    <t>melessewnigussie@yahoo.com</t>
  </si>
  <si>
    <t>(+251) 913 83 5449; Skype: melessewn</t>
  </si>
  <si>
    <t>Investigation of Triggering Mechanisms of Ionospheric Irregularities in the Equatorial Ionosphere</t>
  </si>
  <si>
    <t>Presentation for AGU fall meeting,  New Orleans: Investigating the role of gravity waves on equatorial ionospheric irregularities using TIMED/SABER and C/NOFS satellite observations; Presentation on "Atmosphere-equatorial ionosphere coupling" for weekly seminar Space Research; 2 lectures for a class, on "solar wind" and "IMF and Heliosphere" (instructor: ?)</t>
  </si>
  <si>
    <r>
      <rPr>
        <rFont val="Calibri"/>
        <color rgb="FF000000"/>
        <sz val="12.0"/>
      </rPr>
      <t xml:space="preserve">Dugassa, T., Habarulema, J. B., &amp; </t>
    </r>
    <r>
      <rPr>
        <rFont val="Calibri"/>
        <color rgb="FF000000"/>
        <sz val="12.0"/>
      </rPr>
      <t>Nigussie</t>
    </r>
    <r>
      <rPr>
        <rFont val="Calibri"/>
        <color rgb="FF000000"/>
        <sz val="12.0"/>
      </rPr>
      <t xml:space="preserve">, M. (2020). Statistical study of geomagnetic storm effects on the occurrence of ionospheric irregularities over equatorial/low-latitude region of Africa from 2001 to 2017. Journal of Atmospheric and Solar-Terrestrial Physics, 199, 105198. Dugassa, T., Habarulema, J. B., &amp; </t>
    </r>
    <r>
      <rPr>
        <rFont val="Calibri"/>
        <color rgb="FF000000"/>
        <sz val="12.0"/>
      </rPr>
      <t>Nigussie</t>
    </r>
    <r>
      <rPr>
        <rFont val="Calibri"/>
        <color rgb="FF000000"/>
        <sz val="12.0"/>
      </rPr>
      <t xml:space="preserve">, M. (2019). Longitudinal variability of occurrence of ionospheric irregularities over the American, African and Indian regions during geomagnetic storms. Advances in Space Research, 63(8), 2609-2622. Dugassa, T., Habarulema, J. B., &amp; </t>
    </r>
    <r>
      <rPr>
        <rFont val="Calibri"/>
        <color rgb="FF000000"/>
        <sz val="12.0"/>
      </rPr>
      <t>Nigussie</t>
    </r>
    <r>
      <rPr>
        <rFont val="Calibri"/>
        <color rgb="FF000000"/>
        <sz val="12.0"/>
      </rPr>
      <t xml:space="preserve">, M. (2020). Equatorial and low-latitude ionospheric TEC response to CIR-driven geomagnetic storms at different longitude sectors. Advances in Space Research, 66(8), 1947-1966. Dugassa, T., Bosco Habarulema, J., &amp; </t>
    </r>
    <r>
      <rPr>
        <rFont val="Calibri"/>
        <color rgb="FF000000"/>
        <sz val="12.0"/>
      </rPr>
      <t>Nigussie</t>
    </r>
    <r>
      <rPr>
        <rFont val="Calibri"/>
        <color rgb="FF000000"/>
        <sz val="12.0"/>
      </rPr>
      <t xml:space="preserve">, M. (2019, December). Investigation of the relationship between the spatial gradient of total electron content (TEC) between two nearby stations and the occurrence of ionospheric irregularities. In Annales Geophysicae (Vol. 37, No. 6, pp. 1161-1180). Copernicus GmbH. Mengistu, E., Moldwin, M. B., Damtie, B., &amp; </t>
    </r>
    <r>
      <rPr>
        <rFont val="Calibri"/>
        <color rgb="FF000000"/>
        <sz val="12.0"/>
      </rPr>
      <t>Nigussie</t>
    </r>
    <r>
      <rPr>
        <rFont val="Calibri"/>
        <color rgb="FF000000"/>
        <sz val="12.0"/>
      </rPr>
      <t xml:space="preserve">, M. (2019). The performance of IRI-2016 in the African sector of equatorial ionosphere for different geomagnetic conditions and time scales. Journal of Atmospheric and Solar-Terrestrial Physics, 186, 116-138. Chekole, D. A., Giday, N. M., &amp; </t>
    </r>
    <r>
      <rPr>
        <rFont val="Calibri"/>
        <color rgb="FF000000"/>
        <sz val="12.0"/>
      </rPr>
      <t>Nigussie</t>
    </r>
    <r>
      <rPr>
        <rFont val="Calibri"/>
        <color rgb="FF000000"/>
        <sz val="12.0"/>
      </rPr>
      <t xml:space="preserve">, M. (2019). Performance of NeQuick-2, IRI-Plas 2017 and GIM models over Ethiopia during varying solar activity periods. Journal of Atmospheric and Solar-Terrestrial Physics, 195, 105117. Merid, A., </t>
    </r>
    <r>
      <rPr>
        <rFont val="Calibri"/>
        <color rgb="FF000000"/>
        <sz val="12.0"/>
      </rPr>
      <t>Nigussie</t>
    </r>
    <r>
      <rPr>
        <rFont val="Calibri"/>
        <color rgb="FF000000"/>
        <sz val="12.0"/>
      </rPr>
      <t xml:space="preserve">, M., &amp; Ayele, A. (2021). Investigation of the characteristics of wavelike oscillations of post-sunset equatorial ionospheric irregularity by decomposing fluctuating TEC. Advances in Space Research, 67(4), 1210-1221. </t>
    </r>
    <r>
      <rPr>
        <rFont val="Calibri"/>
        <color rgb="FF000000"/>
        <sz val="12.0"/>
      </rPr>
      <t>Nigussie</t>
    </r>
    <r>
      <rPr>
        <rFont val="Calibri"/>
        <color rgb="FF000000"/>
        <sz val="12.0"/>
      </rPr>
      <t xml:space="preserve">, M., Moldwin, M. B., Radicella, S., Yizengaw, E., Zou, S., &amp; Nava, B. (2020). The Effect of F‐Layer Zonal Neutral Wind on the Monthly and Longitudinal Variability of Equatorial Ionosphere Irregularity and Drift Velocity. Journal of Geophysical Research: Space Physics, 125(6), e2019JA027671. Tesema, F., Meriwether, J., Damtie, B., &amp; </t>
    </r>
    <r>
      <rPr>
        <rFont val="Calibri"/>
        <color rgb="FF000000"/>
        <sz val="12.0"/>
      </rPr>
      <t>Nigussie</t>
    </r>
    <r>
      <rPr>
        <rFont val="Calibri"/>
        <color rgb="FF000000"/>
        <sz val="12.0"/>
      </rPr>
      <t xml:space="preserve">, M. (2020). Nighttime equatorial 630-nm emission variability over Ethiopia. Advances in Space Research, 66(7), 1754-1763. Beshir, E., </t>
    </r>
    <r>
      <rPr>
        <rFont val="Calibri"/>
        <color rgb="FF000000"/>
        <sz val="12.0"/>
      </rPr>
      <t>Nigussie</t>
    </r>
    <r>
      <rPr>
        <rFont val="Calibri"/>
        <color rgb="FF000000"/>
        <sz val="12.0"/>
      </rPr>
      <t xml:space="preserve">, M., &amp; Moldwin, M. B. (2020). Characteristics of equatorial nighttime spread F–An analysis on season-longitude, solar activity and triggering causes. Advances in Space Research, 65(1), 95-106. Kebede, A., Raju, U. J. P., Korecha, D., &amp; </t>
    </r>
    <r>
      <rPr>
        <rFont val="Calibri"/>
        <color rgb="FF000000"/>
        <sz val="12.0"/>
      </rPr>
      <t>Nigussie</t>
    </r>
    <r>
      <rPr>
        <rFont val="Calibri"/>
        <color rgb="FF000000"/>
        <sz val="12.0"/>
      </rPr>
      <t xml:space="preserve">, M. (2020). Developing new drought indices with and without climate signal information over the Upper Blue Nile. Modeling Earth Systems and Environment, 6(1), 151-161. Kebede, A., Raju, J. P., Korecha, D., Takele, S., &amp; </t>
    </r>
    <r>
      <rPr>
        <rFont val="Calibri"/>
        <color rgb="FF000000"/>
        <sz val="12.0"/>
      </rPr>
      <t>Nigussie</t>
    </r>
    <r>
      <rPr>
        <rFont val="Calibri"/>
        <color rgb="FF000000"/>
        <sz val="12.0"/>
      </rPr>
      <t xml:space="preserve">, M. (2019). Drought sensitivity characteristics and relationships between drought indices over Upper Blue Nile basin. Journal of Water and Land Development. </t>
    </r>
  </si>
  <si>
    <t>133</t>
  </si>
  <si>
    <t>Rotimi</t>
  </si>
  <si>
    <t>Oluwakemi A.</t>
  </si>
  <si>
    <t>Covenant U</t>
  </si>
  <si>
    <t>PhD (Federal U Agriculture, Abeokuta, Nigeria, 2014) Biochemistry (toxology)</t>
  </si>
  <si>
    <t>Jaclyn Goodrich (Environmental Health Sciences, Public health)</t>
  </si>
  <si>
    <t>Kemi Rotimi and I are completing some lab work together that will go into 2-3 co-authored publications in peer-reviewed journals (studies led by Kemi). I'll let you know when we actually submit grant proposals or manuscripts!</t>
  </si>
  <si>
    <t>kemi.rotimi@covenantuniversity.edu.ng</t>
  </si>
  <si>
    <t>(+234) 803 491 6902 office 27 21 959 3316</t>
  </si>
  <si>
    <t>The Role of Epigenetics in the Toxicity of Environmental Exposures</t>
  </si>
  <si>
    <t>PhD received prior to starting UMAPS residency; awarded STEM-Africa Seed Grant for 2018-2019, with Roy Clarke and Moses Musaazi, to work on "The influence of early-life Aflatoxin B1 exposure on DNA methylation through adulthood"</t>
  </si>
  <si>
    <t>Guest lecture on "Environmental Toxins and impact on health" for UG class (instructor: Nyeema Harris)</t>
  </si>
  <si>
    <t>Early Life Exposure to Aflatoxin B1 in Rats: Alterations in Lipids, Hormones, and DNA Methylation among the Offspring
by Oluwakemi A. Rotimi 1,*,Chinonye D. Onuzulu 1,2,Alisa L. Dewald 3,Jessa Ehlinger 3,Isaacson B. Adelani 1,Olutola E. Olasehinde 1,Solomon O. Rotimi 1OrcID andJaclyn M. Goodrich 3OrcID</t>
  </si>
  <si>
    <t>134</t>
  </si>
  <si>
    <t>Simelane</t>
  </si>
  <si>
    <t>Mthokozisi</t>
  </si>
  <si>
    <t>U KwaZulu-Natal</t>
  </si>
  <si>
    <t>PhD (U Zululand, 2013), Biochemistry</t>
  </si>
  <si>
    <t>Vernon Carruthers (Microbiology and Immunology, Med School)</t>
  </si>
  <si>
    <t>msimelane@uj.ac.za</t>
  </si>
  <si>
    <t>(+273) 32 605 589  (+277) 65 471 846</t>
  </si>
  <si>
    <t>Ursolic Acid Acetate as a Promising Agent for Malarial Chemotherapy</t>
  </si>
  <si>
    <t>PhD received prior to starting UMAPS residency. Was promoted to Senior lecturer in 2018; moved to U Johannesburg in 2019; promotion to Associate Prof at UJ in 2021</t>
  </si>
  <si>
    <t xml:space="preserve">Msomi, N. Z., Shode, F. O., Pooe, O. J., Mazibuko-Mbeje, S., &amp; Simelane, M. B. (2019). Iso-mukaadial acetate from Warburgia salutaris enhances glucose uptake in the L6 rat myoblast cell line. Biomolecules, 9(10), 520. Booysen, I. N., Ngwenya, V., Mambanda, A., Simelane, M., Rhyman, L., &amp; Ramasami, P. (2019). Synthesis, characterization, biological and DFT studies of new 4-substituted phthalonitriles. Journal of Molecular Structure, 1191, 244-252. Opoku, F., Govender, P. P., Pooe, O. J., &amp; Simelane, M. B. (2019). Evaluating iso-mukaadial acetate and ursolic acid acetate as plasmodium falciparum hypoxanthine-guanine-xanthine phosphoribosyltransferase inhibitors. Biomolecules, 9(12), 861. Nyaba, ZN, P Murambiwa, AR Opoku, S Mukaratirwa, FO Shode, and MBC Simelane, 2018, Isolation, characterization, and biological evaluation of a potent anti-malarial drimane sesquiterpene from Warburgia salutaris stem bark, Malaria Journal 17:296. Patent: FO Shode, MBC Simelane, ZN Nyaba, 5300. (WO2018142288) MUKAADIAL ACETATE ISOLATED FROM WARBURGIA SALUTARIS AND THE USE THEREOF AS AN ANTIMALARIAL. </t>
  </si>
  <si>
    <t>135</t>
  </si>
  <si>
    <t xml:space="preserve">Takle </t>
  </si>
  <si>
    <t>Zewdu Jima</t>
  </si>
  <si>
    <t>MSc (2012, AAU) Human Physiology</t>
  </si>
  <si>
    <t>Daniel Lawrence (cardiovascular medicine, Med school)</t>
  </si>
  <si>
    <t>ztakle@umich.edu</t>
  </si>
  <si>
    <t>Molecular Signaling Mechanisms in the Vessel Wall after Stroke and Pathways Mediated by Vascular Endothelial Growth Factor (VEGF)</t>
  </si>
  <si>
    <t>136</t>
  </si>
  <si>
    <t>Mezgebu</t>
  </si>
  <si>
    <t>Yikunnoamlak</t>
  </si>
  <si>
    <t>MA (AAU), Journalism and Communication; Philosophy</t>
  </si>
  <si>
    <t>Judith Irvine (Anthropology); Daniel Herwitz (History of Art/ Comp Lit); Raymond Silverman (Hist of Art/DAAS)</t>
  </si>
  <si>
    <t>yikunnoamlak@gmail.com</t>
  </si>
  <si>
    <t>(+251)911 821 790</t>
  </si>
  <si>
    <t>From Competition to Composition: Languages, Regions and Religions in an Ethiopian Literature</t>
  </si>
  <si>
    <t>Not yet enrolled in PhD program: interested in applying; planning to apply for promotion to Assistant Prof w/2 articles published (conversation w/HF 1/17/2018). BUT instead was appointed as the Director of the Ethiopian National Archives and Library Agency in June 2018 (email to HF, via mentor)</t>
  </si>
  <si>
    <t>African History and Anthropology Workshop, presentation 23 Jan 2018</t>
  </si>
  <si>
    <t>137</t>
  </si>
  <si>
    <t>Degu</t>
  </si>
  <si>
    <t>Girume Erenso</t>
  </si>
  <si>
    <t>MSc (2006, AAU), Microbiology, Immunology &amp; Paristology</t>
  </si>
  <si>
    <t>Thomas Carey (Otorhinolaryngology and Pharmacology, Med School)</t>
  </si>
  <si>
    <t>girumerenso@gmail.com</t>
  </si>
  <si>
    <t>Epidemiology of HPV subtypes and Cervical Cancer in Ethiopia</t>
  </si>
  <si>
    <t>138</t>
  </si>
  <si>
    <t>Adongo</t>
  </si>
  <si>
    <t>Jacqueline</t>
  </si>
  <si>
    <t>Makerere U.</t>
  </si>
  <si>
    <t>2018-2019</t>
  </si>
  <si>
    <t>MA (2014,  Makerere University), Literature</t>
  </si>
  <si>
    <t>Elizabeth Goodenough (Residential College)</t>
  </si>
  <si>
    <t>adojacquie@gmail.com</t>
  </si>
  <si>
    <t>+256 772 984 772</t>
  </si>
  <si>
    <t>Rethinking Childhood: Child Identity Formation in Post-War Northern Uganda</t>
  </si>
  <si>
    <t>PhD in progress prior to UMAPS (Makerere)</t>
  </si>
  <si>
    <t>AHAW presentation Feb 5, 2019</t>
  </si>
  <si>
    <t>139</t>
  </si>
  <si>
    <t>Beza (Demisse)</t>
  </si>
  <si>
    <t xml:space="preserve">Lemlem </t>
  </si>
  <si>
    <t>Addis Ababa U.</t>
  </si>
  <si>
    <t>MA (Addis Ababa U.) Emergency Medicine and Critical Care Nurse</t>
  </si>
  <si>
    <t>Sue Anne Bell (Nursing)</t>
  </si>
  <si>
    <t>lemnene33@yahoo.com</t>
  </si>
  <si>
    <t>251-923092533</t>
  </si>
  <si>
    <t>Disaster prevention, preparedness, response and recovery in two public health hospitals of Addis Ababa, Ethiopia</t>
  </si>
  <si>
    <t>PhD in progress prior to UMAPS (joint betw/ Emory and AAU); 2021: President of Ethiopian Society of Emergency Professionals</t>
  </si>
  <si>
    <t>Global Reach presentation, Feb 13, 2019</t>
  </si>
  <si>
    <r>
      <rPr>
        <rFont val="Calibri"/>
        <color rgb="FF000000"/>
        <sz val="12.0"/>
      </rPr>
      <t xml:space="preserve">Completed during UMAPS tenure: A Baru, A Azazh, L </t>
    </r>
    <r>
      <rPr>
        <rFont val="Calibri"/>
        <color rgb="FF000000"/>
        <sz val="12.0"/>
      </rPr>
      <t>Beza</t>
    </r>
    <r>
      <rPr>
        <rFont val="Calibri"/>
        <color rgb="FF000000"/>
        <sz val="12.0"/>
      </rPr>
      <t xml:space="preserve"> (2019) Injury severity levels and associated factors among road traffic collision victims referred to emergency departments of selected public hospitals in Addis Ababa, Ethiopia: the study based on the Haddon matrix, BMC Emergency Medicine 19:2. Jofiro, G, K Jemal, L </t>
    </r>
    <r>
      <rPr>
        <rFont val="Calibri"/>
        <color rgb="FF000000"/>
        <sz val="12.0"/>
      </rPr>
      <t>Beza</t>
    </r>
    <r>
      <rPr>
        <rFont val="Calibri"/>
        <color rgb="FF000000"/>
        <sz val="12.0"/>
      </rPr>
      <t xml:space="preserve">, TB Heye (2018) Prevalence and associated factors of pediatric emergency mortality at Tikur Anbessa specialized tertiary hospital: a 5 year retrospective case review study BMC Pediatrics 18:316. Post-UMAPS: Asmr, Y., </t>
    </r>
    <r>
      <rPr>
        <rFont val="Calibri"/>
        <color rgb="FF000000"/>
        <sz val="12.0"/>
      </rPr>
      <t>Beza</t>
    </r>
    <r>
      <rPr>
        <rFont val="Calibri"/>
        <color rgb="FF000000"/>
        <sz val="12.0"/>
      </rPr>
      <t xml:space="preserve">, L., Engida, H., Bekelcho, T., Tsegaye, N., &amp; Aschale, Y. (2019). Assessment of knowledge and practices of standard precaution against blood borne pathogens among doctors and nurses at adult emergency room in Addis Ababa, Ethiopia. Emergency medicine international, 2019. Choi, K. R., Beck, D. C., Khan, M. A., Bell, S. A., </t>
    </r>
    <r>
      <rPr>
        <rFont val="Calibri"/>
        <color rgb="FF000000"/>
        <sz val="12.0"/>
      </rPr>
      <t>Beza</t>
    </r>
    <r>
      <rPr>
        <rFont val="Calibri"/>
        <color rgb="FF000000"/>
        <sz val="12.0"/>
      </rPr>
      <t xml:space="preserve">, L., &amp; Munro-Kramer, M. L. (2020). A qualitative needs assessment of human trafficking in Ethiopia: recommendations for a comprehensive, coordinated response. International journal for equity in health, 19(1), 1-11. </t>
    </r>
  </si>
  <si>
    <t>140</t>
  </si>
  <si>
    <t>Cobbinah</t>
  </si>
  <si>
    <t>PhD (2014, Charles Sturt University, AU) Human Geography</t>
  </si>
  <si>
    <t>patrick.cobbinah@unimelb.edu.au</t>
  </si>
  <si>
    <t>23 354 544 1094</t>
  </si>
  <si>
    <t>Urban Growth, Neoliberal Governance Failures, and Water Scarcity in Accra</t>
  </si>
  <si>
    <t>New job as Lecturer of Urban Planning at The University of Melbourne</t>
  </si>
  <si>
    <r>
      <rPr>
        <rFont val="Calibri"/>
        <color rgb="FFFF0000"/>
        <sz val="12.0"/>
      </rPr>
      <t xml:space="preserve">(book/ed vol) </t>
    </r>
    <r>
      <rPr>
        <rFont val="Calibri"/>
        <color rgb="FF000000"/>
        <sz val="12.0"/>
      </rPr>
      <t xml:space="preserve">Completed during UMAPS tenure: </t>
    </r>
    <r>
      <rPr>
        <rFont val="Calibri"/>
        <color rgb="FF000000"/>
        <sz val="12.0"/>
      </rPr>
      <t xml:space="preserve">Cobbinah, P. B. </t>
    </r>
    <r>
      <rPr>
        <rFont val="Calibri"/>
        <color rgb="FF000000"/>
        <sz val="12.0"/>
      </rPr>
      <t xml:space="preserve">&amp; Addaney, M. (2019). </t>
    </r>
    <r>
      <rPr>
        <rFont val="Calibri"/>
        <i/>
        <color rgb="FF000000"/>
        <sz val="12.0"/>
      </rPr>
      <t>The Geography of Climate Change Adaptation in Urban Ghana</t>
    </r>
    <r>
      <rPr>
        <rFont val="Calibri"/>
        <color rgb="FF000000"/>
        <sz val="12.0"/>
      </rPr>
      <t>, Palgrave Macmillan.</t>
    </r>
  </si>
  <si>
    <t>141</t>
  </si>
  <si>
    <t>Malindi</t>
  </si>
  <si>
    <t>Kholekile Nicholas</t>
  </si>
  <si>
    <t>Stellenbosch U.</t>
  </si>
  <si>
    <t>SA</t>
  </si>
  <si>
    <t>M. Comm (2013, Stellenbosch University), Economics</t>
  </si>
  <si>
    <t>David Lam (ISR; Economics)</t>
  </si>
  <si>
    <t>kholekile@sun.ac.za</t>
  </si>
  <si>
    <t>+27 60 4544 187</t>
  </si>
  <si>
    <t>An investigation of the labour market determinants of income dynamics for a highly unequal society: The South African case</t>
  </si>
  <si>
    <r>
      <rPr>
        <rFont val="Calibri"/>
        <color rgb="FFFF0000"/>
        <sz val="12.0"/>
      </rPr>
      <t xml:space="preserve">(51) </t>
    </r>
    <r>
      <rPr>
        <rFont val="Calibri"/>
        <color rgb="FF000000"/>
        <sz val="12.0"/>
      </rPr>
      <t>PhD 2019, Stellenbosch (Economics)</t>
    </r>
  </si>
  <si>
    <t xml:space="preserve">PhD rec'd  per email to ASC 2/19/19; PhD in progress prior to UMAPS (Stellenbosch) (Economics) </t>
  </si>
  <si>
    <t xml:space="preserve">REPORT (not currently counted): Van der Berg, S., Gustafsson, M., &amp; Malindi, K. (2020). Education and skills for the economy and links to labour markets in South Africa. Pretoria: National Planning Commission.
</t>
  </si>
  <si>
    <t>142</t>
  </si>
  <si>
    <t>Nieguitsila</t>
  </si>
  <si>
    <t xml:space="preserve">Adelaide </t>
  </si>
  <si>
    <t>U. Sci Tech Masuku</t>
  </si>
  <si>
    <t>Gabon</t>
  </si>
  <si>
    <t>PhD (2008, University of Cellular and Molecular Biology, FR) Parasitology and Mycology</t>
  </si>
  <si>
    <t>Lutgarde Raskin (Civil and Environmental Engineering)</t>
  </si>
  <si>
    <t>a_nieguitsila@univ-masuku.ga</t>
  </si>
  <si>
    <t>Microbial water quality and biological contamination in lakes of the Moyen-Ogooué region</t>
  </si>
  <si>
    <t>Nieguitsila, A., Mboumba, S., Muketu, A., &amp; Lépengué, N. A. (2020). Le genre Aspergillus est un risque pour la santé de l'homme et de l'animal, qu'en est-il au Gabon?. Journal Interdisciplinaire de la Recherche Scientifique, 1(3).</t>
  </si>
  <si>
    <t>143</t>
  </si>
  <si>
    <t>Nwafor</t>
  </si>
  <si>
    <t>Okechukwu</t>
  </si>
  <si>
    <t>Nnamdi Azikiwe U</t>
  </si>
  <si>
    <t>PhD 2012, UWC (visual History)</t>
  </si>
  <si>
    <t>charles21007@gmail.com; oc.nwafor@unizik.edu.ng</t>
  </si>
  <si>
    <r>
      <rPr>
        <rFont val="Calibri"/>
        <color rgb="FF000000"/>
        <sz val="12.0"/>
      </rPr>
      <t xml:space="preserve">Completing book Ms </t>
    </r>
    <r>
      <rPr>
        <rFont val="Calibri"/>
        <i/>
        <color rgb="FF000000"/>
        <sz val="12.0"/>
      </rPr>
      <t>The Ubiquitous Image: Obituary Photographs in S-E Nigeria</t>
    </r>
  </si>
  <si>
    <t>Book contract with the University of Michigan Press. The book, titled, Aso ebì: Dress, Fashion, Visual Culture, and Urban Cosmopolitanism in West Africa, is already under production with the University of Michigan Press and scheduled to come out in May 2021.</t>
  </si>
  <si>
    <r>
      <rPr>
        <rFont val="Calibri"/>
        <color rgb="FF000000"/>
        <sz val="12.0"/>
      </rPr>
      <t xml:space="preserve">Mellon WiSER-ASC Workshop </t>
    </r>
    <r>
      <rPr>
        <rFont val="Calibri"/>
        <i/>
        <color rgb="FF000000"/>
        <sz val="12.0"/>
      </rPr>
      <t xml:space="preserve">The Filmic and the Photographic </t>
    </r>
    <r>
      <rPr>
        <rFont val="Calibri"/>
        <color rgb="FF000000"/>
        <sz val="12.0"/>
      </rPr>
      <t>Nov 25-28, 2018; presentation "Family Albums, Funeral Brochures, and High Visibility in SE Nigeria"</t>
    </r>
  </si>
  <si>
    <r>
      <rPr>
        <rFont val="Calibri"/>
        <color rgb="FF000000"/>
        <sz val="12.0"/>
      </rPr>
      <t xml:space="preserve">Completed during UMAPS tenure: </t>
    </r>
    <r>
      <rPr>
        <rFont val="Calibri"/>
        <color rgb="FF000000"/>
        <sz val="12.0"/>
      </rPr>
      <t>O Nwafor</t>
    </r>
    <r>
      <rPr>
        <rFont val="Calibri"/>
        <color rgb="FF000000"/>
        <sz val="12.0"/>
      </rPr>
      <t xml:space="preserve"> (2019), Decolonizing the Modern? Art and Postcolonial Modernity in Twentieth-Century Nigeria </t>
    </r>
    <r>
      <rPr>
        <rFont val="Calibri"/>
        <i/>
        <color rgb="FF000000"/>
        <sz val="12.0"/>
      </rPr>
      <t>Cultural Critique 102: 189-210.</t>
    </r>
  </si>
  <si>
    <t>144</t>
  </si>
  <si>
    <t>Osei-Asare</t>
  </si>
  <si>
    <t>Christina</t>
  </si>
  <si>
    <t>Central U.</t>
  </si>
  <si>
    <t>MPhil (2014, KNUST), MBA (2010, Delta International Unviersity of New Orleans, USA), Pharmacy</t>
  </si>
  <si>
    <t>David Sherman (Pharmacy)</t>
  </si>
  <si>
    <t>coseiasare@gmail.com</t>
  </si>
  <si>
    <t>23 350 465 3867</t>
  </si>
  <si>
    <t>Capsule/Tab Formulation and evaluation</t>
  </si>
  <si>
    <t>PhD in progress prior to UMAPS (KNUST) (Pharmacy)</t>
  </si>
  <si>
    <r>
      <rPr>
        <rFont val="Calibri"/>
        <color rgb="FF000000"/>
        <sz val="12.0"/>
      </rPr>
      <t>Osei-Asare,</t>
    </r>
    <r>
      <rPr>
        <rFont val="Calibri"/>
        <color rgb="FF000000"/>
        <sz val="12.0"/>
      </rPr>
      <t xml:space="preserve"> C., Owusu, F. W. A., Entsie, P., Annan, A. K., Gyamaa, R. A., &amp; Amenuke, E. M. (2021). Formulation and In Vitro Evaluation of Oral Capsules from Liquid Herbal Antimalarials Marketed in Ghana. Journal of Tropical Medicine, 2021. </t>
    </r>
    <r>
      <rPr>
        <rFont val="Calibri"/>
        <color rgb="FF000000"/>
        <sz val="12.0"/>
      </rPr>
      <t>Osei-Asare</t>
    </r>
    <r>
      <rPr>
        <rFont val="Calibri"/>
        <color rgb="FF000000"/>
        <sz val="12.0"/>
      </rPr>
      <t xml:space="preserve">, C., Oppong, E. E., Owusu, F. W. A., Apenteng, J. A., Alatu, Y. O., &amp; Sarpong, R. (2021). Comparative Quality Evaluation of Selected Brands of Cefuroxime Axetil Tablets Marketed in the Greater Accra Region of Ghana. The Scientific World Journal, 2021. </t>
    </r>
    <r>
      <rPr>
        <rFont val="Calibri"/>
        <color rgb="FF000000"/>
        <sz val="12.0"/>
      </rPr>
      <t>Osei-Asare</t>
    </r>
    <r>
      <rPr>
        <rFont val="Calibri"/>
        <color rgb="FF000000"/>
        <sz val="12.0"/>
      </rPr>
      <t>, C., Owusu, F. W. A., Entsie, P., Annan, A. K., Gyamaa, R. A., &amp; Amenuke, E. M. (2021). Formulation and In Vitro Evaluation of Oral Capsules from Liquid Herbal Antimalarials Marketed in Ghana. Journal of Tropical Medicine, 2021.</t>
    </r>
  </si>
  <si>
    <t>145</t>
  </si>
  <si>
    <t>Otun</t>
  </si>
  <si>
    <t>Kabir O.</t>
  </si>
  <si>
    <t>Kwara State U. Malete</t>
  </si>
  <si>
    <t>find on CV</t>
  </si>
  <si>
    <t>Adam Matzger (Chemistry)</t>
  </si>
  <si>
    <t>otunkabir2705@gmail.com; kabir.otun@kwasu.edu.ng</t>
  </si>
  <si>
    <t>Iron Carbide Fischer-Tropsch Catalysts for the Conversion of Biomass to Liquid Transportation Fuels</t>
  </si>
  <si>
    <t>Will receive PhD in Sep 2021; in progress prior to UMAPS (UNISA) (focus on Heterogeneous Catalysis)</t>
  </si>
  <si>
    <t>Otun, K. O., Liu, X., &amp; Hildebrandt, D. (2020). Metal-organic framework (MOF)-derived catalysts for Fischer-Tropsch synthesis: Recent progress and future perspectives. Journal of Energy Chemistry. Otun, K. O. (2020). Temperature-controlled activation and characterization of iron-based metal-organic frameworks. Inorganica Chimica Acta, 507, 119563. Otun, K. O., Yao, Y., Liu, X., &amp; Hildebrandt, D. (2021). Synthesis, structure, and performance of carbide phases in Fischer-Tropsch synthesis: A critical review. Fuel, 296, 120689.</t>
  </si>
  <si>
    <t>146</t>
  </si>
  <si>
    <t>Phalafala</t>
  </si>
  <si>
    <t>Uhuru Portia</t>
  </si>
  <si>
    <t xml:space="preserve">PhD (2016, UCT), Literature </t>
  </si>
  <si>
    <t>Gaurav Desai (English)</t>
  </si>
  <si>
    <t>uphalafala@sun.ac.za</t>
  </si>
  <si>
    <t>00 27818440739</t>
  </si>
  <si>
    <t>Restless Natives, Indigenous Languages, and Revolution</t>
  </si>
  <si>
    <r>
      <rPr>
        <rFont val="Calibri"/>
        <color rgb="FF000000"/>
        <sz val="12.0"/>
      </rPr>
      <t>Phalafala</t>
    </r>
    <r>
      <rPr>
        <rFont val="Calibri"/>
        <color rgb="FF000000"/>
        <sz val="12.0"/>
      </rPr>
      <t xml:space="preserve">, U. P. (2020). Polyglot Internationalism and the Matriarchive: The Case of Keorapetse Kgositsile. Interventions, 22(3), 346-363. </t>
    </r>
    <r>
      <rPr>
        <rFont val="Calibri"/>
        <color rgb="FF000000"/>
        <sz val="12.0"/>
      </rPr>
      <t>Phalafala</t>
    </r>
    <r>
      <rPr>
        <rFont val="Calibri"/>
        <color rgb="FF000000"/>
        <sz val="12.0"/>
      </rPr>
      <t xml:space="preserve">, U. P. (2020). The Matriarchive as Life Knowledge in Es’ kia Mphahlele’s African Humanism. a/b: Auto/Biography Studies, 35(3), 729-747. </t>
    </r>
    <r>
      <rPr>
        <rFont val="Calibri"/>
        <color rgb="FF000000"/>
        <sz val="12.0"/>
      </rPr>
      <t>Phalafala</t>
    </r>
    <r>
      <rPr>
        <rFont val="Calibri"/>
        <color rgb="FF000000"/>
        <sz val="12.0"/>
      </rPr>
      <t xml:space="preserve">, U. P. (2020). 13 Decolonizing World Literature through Orality. Chapter/lemma in: Handbook of Anglophone World Literatures, 13, 193. </t>
    </r>
  </si>
  <si>
    <t>147</t>
  </si>
  <si>
    <t>Sira</t>
  </si>
  <si>
    <t>Zerihun Birehanu</t>
  </si>
  <si>
    <t>MA (2014, University of Warwich, UK), International Performance Research</t>
  </si>
  <si>
    <t>Anita Gonzalez (Theater)</t>
  </si>
  <si>
    <t>zere324@yahoo.com</t>
  </si>
  <si>
    <t>251-911-486463</t>
  </si>
  <si>
    <t xml:space="preserve">Politics, Performance, and Governance in  Ethiopia
</t>
  </si>
  <si>
    <t>Starting PhD after UMAPS: Sep 2021 U Maryland</t>
  </si>
  <si>
    <t>148</t>
  </si>
  <si>
    <t>Tshimba</t>
  </si>
  <si>
    <t>David Ngendo</t>
  </si>
  <si>
    <t>MA (2012, Uganda Martyrs U.) Political History and Peace Studies</t>
  </si>
  <si>
    <t>Derek Peterson (History)</t>
  </si>
  <si>
    <t>dntshimba@umu.ac.ug</t>
  </si>
  <si>
    <t>256 79 32 35 593</t>
  </si>
  <si>
    <t>Transgressing the State: An Inquiry into Violence in the Rwenzori Borderlands, ca. 1830 – 1998</t>
  </si>
  <si>
    <r>
      <rPr>
        <rFont val="Calibri"/>
        <color rgb="FFFF0000"/>
        <sz val="12.0"/>
      </rPr>
      <t xml:space="preserve">(52) </t>
    </r>
    <r>
      <rPr>
        <rFont val="Calibri"/>
        <color rgb="FF000000"/>
        <sz val="12.0"/>
      </rPr>
      <t>PhD 2020, Makerere ISR (History)</t>
    </r>
  </si>
  <si>
    <t>PhD received following dissertation defense on Zoom, June 2020, per email to HF, PhD in progress prior to UMAPS (Makerere, ISR) (Political Studies and History)</t>
  </si>
  <si>
    <t>Tshimba, D. N. (2020). Society against state or state against society? the unfolding of violence in contemporary Uganda's Rwenzori region. Journal article in: East Afr J of Peace and Human Rights, pp 134-61.</t>
  </si>
  <si>
    <t>149</t>
  </si>
  <si>
    <t xml:space="preserve">Workneh </t>
  </si>
  <si>
    <t>Tebaber Chanie</t>
  </si>
  <si>
    <t>U. Gondar</t>
  </si>
  <si>
    <t>PhD (2010, Addis Ababa U.) Social Anthropology</t>
  </si>
  <si>
    <t>Elizabeth King (Public Health)</t>
  </si>
  <si>
    <t>tebaberworkneh@gmail.com</t>
  </si>
  <si>
    <t>251-0911417536</t>
  </si>
  <si>
    <t>The Roles and Status of Indigenious Medicine for Primary Health Care Services in the Amhara National Regional State (ANRS), Ethiopia</t>
  </si>
  <si>
    <t>Dec 6th, 2018. Global Crossroads Lecture series (SPH). "The role of indigenous medicine in primary health care services in the Amhara region, Ethiopia"</t>
  </si>
  <si>
    <t>Tebaber Chanie Workneh, Elizabeth J. King, and Helmut Kloos. Ethiop. J. Health Dev. 2020; 34(3); Exploring the contribution of indigenous medicine to primary healthcare in West Belesa District in northwestern Ethiopia: A qualitative analysis</t>
  </si>
  <si>
    <t>150</t>
  </si>
  <si>
    <t xml:space="preserve">Wudeneh </t>
  </si>
  <si>
    <t>Demis Mengist</t>
  </si>
  <si>
    <t>MA (Addis Ababa U) Geography and Environmental Studies</t>
  </si>
  <si>
    <t>Arun Agrawal (SEAS)</t>
  </si>
  <si>
    <t>demismengist@gmail.com</t>
  </si>
  <si>
    <t>251-912120885</t>
  </si>
  <si>
    <t>Implications of Large-scale Agricultural Investment for Livelihood Security and Regional Development: the case of Gambella Region, Southwest Ethiopia</t>
  </si>
  <si>
    <t xml:space="preserve">PhD in progress prior to UMAPS (PhD Candidate at AAU) </t>
  </si>
  <si>
    <t>151</t>
  </si>
  <si>
    <t xml:space="preserve">Zacharia </t>
  </si>
  <si>
    <t>Faida</t>
  </si>
  <si>
    <t>U. Dodoma</t>
  </si>
  <si>
    <t>Msc (2011, University of Dar es Sakaam) Natural Resource Management and Development</t>
  </si>
  <si>
    <t>Kelly Askew (Anthropology/DAAS)</t>
  </si>
  <si>
    <t>faidazaka@gmail.com</t>
  </si>
  <si>
    <t>255 754 505418</t>
  </si>
  <si>
    <t>Small-scale Groundwater Irrigated Agriculture and Livelihoods in Drylands Areas:
A Case of Dodoma Region, Tanzania</t>
  </si>
  <si>
    <t>not enrolled in PhD program; used UMAPS time to write PhD proposal / prospectus and is looking to enroll in PhD program as of Mar 2019</t>
  </si>
  <si>
    <t>152</t>
  </si>
  <si>
    <t>Agyei</t>
  </si>
  <si>
    <t>Doreen</t>
  </si>
  <si>
    <t>2019-2020</t>
  </si>
  <si>
    <t>LLM (YEAR, University of Hertfordshire, UK)</t>
  </si>
  <si>
    <t>Jessica Litman (Law)</t>
  </si>
  <si>
    <t>daagyei.law@knust.edu.gh</t>
  </si>
  <si>
    <t>Enforcement of copyright and related rights in Ghanaian law and practice</t>
  </si>
  <si>
    <t>Not enrolled in PhD program; admitted to Law School at U-M starting 2020-2021</t>
  </si>
  <si>
    <t>153</t>
  </si>
  <si>
    <t>Darlington</t>
  </si>
  <si>
    <t>UL</t>
  </si>
  <si>
    <t>PhD (University of Ilorin, Nigeria, 2012) Applied Mathematics</t>
  </si>
  <si>
    <t>Trachette Jackson (Mathematics)</t>
  </si>
  <si>
    <t>dsydavid@ieee.org; davidds@ul.edu.lr</t>
  </si>
  <si>
    <t>Mathematical Modeling of Cancer Self - Remission and Tumor Instability as Prey - Predator System</t>
  </si>
  <si>
    <r>
      <rPr>
        <rFont val="Calibri"/>
        <color rgb="FF000000"/>
        <sz val="12.0"/>
      </rPr>
      <t xml:space="preserve">Darlington S. David </t>
    </r>
    <r>
      <rPr>
        <rFont val="Calibri"/>
        <color rgb="FFFF0000"/>
        <sz val="12.0"/>
      </rPr>
      <t>Paper</t>
    </r>
    <r>
      <rPr>
        <rFont val="Calibri"/>
        <color rgb="FF000000"/>
        <sz val="12.0"/>
      </rPr>
      <t xml:space="preserve"> entitled "The mathematics behind the Rayleigh waves". The applications are in geotechnical engineering and earthquakes design.</t>
    </r>
    <r>
      <rPr>
        <rFont val="Calibri"/>
        <color rgb="FF000000"/>
        <sz val="12.0"/>
      </rPr>
      <t xml:space="preserve">
</t>
    </r>
  </si>
  <si>
    <t>154</t>
  </si>
  <si>
    <t>Meseret</t>
  </si>
  <si>
    <t>Gondar</t>
  </si>
  <si>
    <t>PhD (University of Natural Resources and Life Sciences (BOKU), Austria, 2015) Natural Resources and Life Sciences</t>
  </si>
  <si>
    <t xml:space="preserve">Rebecca Hardin (SEAS)
</t>
  </si>
  <si>
    <t>meseretkassie@gmail.com; meseret.kassie@uog.edu.et</t>
  </si>
  <si>
    <t>Women’s Participation in Agroforestry Practices in Maytemeko Watershed, Northwestern Ethiopia</t>
  </si>
  <si>
    <t>155</t>
  </si>
  <si>
    <t>Dramani</t>
  </si>
  <si>
    <t>Aminu</t>
  </si>
  <si>
    <t>MPhil (University of Ghana, Legon) Political Science</t>
  </si>
  <si>
    <t>Mike McGovern (Anthropology)</t>
  </si>
  <si>
    <t>daminu.cass@knust.edu.gh, aminudramani@gmail.com</t>
  </si>
  <si>
    <t>233(O)244532465</t>
  </si>
  <si>
    <t>Intractability of low intensity conflicts in West Africa: the case of Ghana</t>
  </si>
  <si>
    <t>PhD in progress prior to UMAPS (PhD student at KNUST)                                                                                                                                                                                                                                                           ORCID ID No. 0000-0001-8366-0861(Public record link: orcid.org/0000-0001-8366-0861)
LINKEDIN: https://www.linkedin.com/in/aminu-dramani-45a66672/
RESEARCHGATE: https://www.researchgate.net/profile/Aminu_Dramani</t>
  </si>
  <si>
    <t>156</t>
  </si>
  <si>
    <t>Habtu</t>
  </si>
  <si>
    <t>Tesfaye</t>
  </si>
  <si>
    <t>AAU</t>
  </si>
  <si>
    <t>MA (Institute of Ethiopian Studies, AAU) Cultural Studies</t>
  </si>
  <si>
    <t>Anita Gonzales (SMTD)</t>
  </si>
  <si>
    <t>tesmerewa@yahoo.com</t>
  </si>
  <si>
    <t>Representation and State Ideology in Ethiopian Drama: A Critical Study of Historical Dramas of King Thewodros II</t>
  </si>
  <si>
    <t>Not enrolled in PhD program</t>
  </si>
  <si>
    <t>157</t>
  </si>
  <si>
    <t xml:space="preserve">Hena, Jr. </t>
  </si>
  <si>
    <t xml:space="preserve">MSc (Kenyatta University, Kenya) Applied Analytical Chemistry </t>
  </si>
  <si>
    <t>Robert Kennedy (Chemistry)</t>
  </si>
  <si>
    <t>johnhena86@yahoo.com; jsenkulohena@gmail.com</t>
  </si>
  <si>
    <t>Evaluation of Metabolomics Methods for Health-Related Research: Introducing emerging life science research techniques at the University of Liberia</t>
  </si>
  <si>
    <t>post-UMAPS admitted to the PhD program in Chemistry at UConn starting 2020-2021 per email to AC/HF 4/21/2020</t>
  </si>
  <si>
    <t>158</t>
  </si>
  <si>
    <t>Ikpo</t>
  </si>
  <si>
    <t>Chinwe</t>
  </si>
  <si>
    <t>PhD (UWC, 2011) Chemistry</t>
  </si>
  <si>
    <t>Ferdinand Poudeu-Poudeu (Materials Science and Engineering)</t>
  </si>
  <si>
    <t>cikpo@uwc.ac.za</t>
  </si>
  <si>
    <t>Investigating the Electrochemical and Structural Properties of Na2MnSiO4 and Li2MnSiO4 in CNT-Graphene Nanonetworks for Na/Li-ion Batteries</t>
  </si>
  <si>
    <t>159</t>
  </si>
  <si>
    <t>Imokola</t>
  </si>
  <si>
    <t>John-Baptist</t>
  </si>
  <si>
    <t>Makere U</t>
  </si>
  <si>
    <t>MA (Makerere) Journalism and Communication</t>
  </si>
  <si>
    <t xml:space="preserve">Stuart Soroka (Communication Studies and Political Science)
</t>
  </si>
  <si>
    <t>jbimokola@chuss.mak.ac.ug; imokola@gmail.com</t>
  </si>
  <si>
    <t>Perspectives On Television Local Content Regulation in Uganda</t>
  </si>
  <si>
    <t>Diss submitted Sep 2021 (PhD in progress prior to UMAPS)</t>
  </si>
  <si>
    <t>160</t>
  </si>
  <si>
    <t>Mbatha</t>
  </si>
  <si>
    <t>Philile</t>
  </si>
  <si>
    <t xml:space="preserve">PhD (UCT, 2018) Environmental and Geographical Science </t>
  </si>
  <si>
    <t>Bilal Butt (SEAS)</t>
  </si>
  <si>
    <t>phililembatha87@gmail.com</t>
  </si>
  <si>
    <t>Plural conservation governance systems and rural coastal communities in the Western Indian Ocean Region of South Africa</t>
  </si>
  <si>
    <t>PLUS 1 contribution to report: BLUE PAPER Swilling, M., Ruckelshaus, M., Rudolph, T. B., Allison, E. H., Gelcich, S., Mbatha, P., &amp; Österblom, H. The Ocean Transition. 2020 Commissioned by High Level Panel for A Sustainable Ocean Economy</t>
  </si>
  <si>
    <t>161</t>
  </si>
  <si>
    <t>Nkosi</t>
  </si>
  <si>
    <t>Wawa</t>
  </si>
  <si>
    <t>check CV</t>
  </si>
  <si>
    <t>Williiam (Jim) Adams (Economics)</t>
  </si>
  <si>
    <t>nkosiwawa@gmail.com</t>
  </si>
  <si>
    <t>An economic analysis of the charecteristics of cartels and cartel prosecution in South Africa: A twenty year review</t>
  </si>
  <si>
    <t xml:space="preserve">PhD in progress prior to UMAPS (PhD Candidate at Stellenbosch) </t>
  </si>
  <si>
    <t>162</t>
  </si>
  <si>
    <t>Tilahun</t>
  </si>
  <si>
    <t>Abigiya</t>
  </si>
  <si>
    <t>MPH (YEAR, Addis Ababa University)</t>
  </si>
  <si>
    <t xml:space="preserve">Bradley J. Zebrack (School of Social Work)
</t>
  </si>
  <si>
    <t>Effect of Psychosocial intervention on survival of breast cancer patients</t>
  </si>
  <si>
    <t xml:space="preserve">PhD in progress prior to UMAPS (PhD Candidate at Martin Luther University, Germany) </t>
  </si>
  <si>
    <t>163</t>
  </si>
  <si>
    <t>Ucheagwu</t>
  </si>
  <si>
    <t>Valentine</t>
  </si>
  <si>
    <t>Chukwuemeka Odumegwu Ojukwu U</t>
  </si>
  <si>
    <t xml:space="preserve">PhD (Ebonyi State University, Nigeria, 2014) Counseling Psychology </t>
  </si>
  <si>
    <t>Bruno Giordani (Psychiatry, Medical School)</t>
  </si>
  <si>
    <t xml:space="preserve">afamval@yahoo.com; 	</t>
  </si>
  <si>
    <t>The Victims as well as the Caregivers: Reducing the Burden of Dementia in Developing African Nations (Nigeria as a case point)</t>
  </si>
  <si>
    <t>164</t>
  </si>
  <si>
    <t>Yimer</t>
  </si>
  <si>
    <t>Hayal</t>
  </si>
  <si>
    <t>PhD (Addis Ababa University, 2006) Environmental Planning</t>
  </si>
  <si>
    <t>Larrisa Larsen (Urban and Regional Planning, Taubman CA&amp;UP)</t>
  </si>
  <si>
    <t>hayal.desta@aau.edu.et; hayaldesta@gmail.com</t>
  </si>
  <si>
    <t>Integrated assessment of ecosystem services, livelihood dependency and anthropogenic pressures on Lake Ziway, Ethiopia</t>
  </si>
  <si>
    <t>165</t>
  </si>
  <si>
    <t>Ajwang</t>
  </si>
  <si>
    <t>Rongo U</t>
  </si>
  <si>
    <t>Kenya</t>
  </si>
  <si>
    <t>2021-2022</t>
  </si>
  <si>
    <t>Information Technology</t>
  </si>
  <si>
    <t>HV (Jag) Jagadish</t>
  </si>
  <si>
    <t>soloo@rongovarsity.ac.ke; oloohs@gmail.com</t>
  </si>
  <si>
    <t>166</t>
  </si>
  <si>
    <t>Ali</t>
  </si>
  <si>
    <t>Mohammed</t>
  </si>
  <si>
    <t>Bahir Dar University</t>
  </si>
  <si>
    <t>Political Science and International Studies</t>
  </si>
  <si>
    <t xml:space="preserve">Laura Beny (Law School) </t>
  </si>
  <si>
    <t>mohammedseid1997@gmail.com</t>
  </si>
  <si>
    <t>The State of Labor Relations in Ethiopia from Human Right and Corporate Social Responsibility Perspectives: The case of Selected Foreign Apparel and Garment Firms</t>
  </si>
  <si>
    <t>167</t>
  </si>
  <si>
    <t>Arendse</t>
  </si>
  <si>
    <t>Lorette</t>
  </si>
  <si>
    <t>Law</t>
  </si>
  <si>
    <t>lorette.arendse@up.ac.za</t>
  </si>
  <si>
    <t>168</t>
  </si>
  <si>
    <t>Bakhiet</t>
  </si>
  <si>
    <t>Fawzi</t>
  </si>
  <si>
    <t>Neelain University</t>
  </si>
  <si>
    <t>Sudan</t>
  </si>
  <si>
    <t xml:space="preserve">Archaeology </t>
  </si>
  <si>
    <t>Geoff Emberling (Kelsey Museum of Archaeology)</t>
  </si>
  <si>
    <t>fawzineelain@hotmail.com</t>
  </si>
  <si>
    <t>Landscape of Settlement around Napata, Capital of Ancient Kush</t>
  </si>
  <si>
    <t>169</t>
  </si>
  <si>
    <t>Bernard</t>
  </si>
  <si>
    <t>Oluwabunmi</t>
  </si>
  <si>
    <t>Obafemi Awolowo University</t>
  </si>
  <si>
    <t>African Languages</t>
  </si>
  <si>
    <t>Omolade Adunbi (LSA: DAAS)</t>
  </si>
  <si>
    <t>bunmibernard@yahoo.co.uk</t>
  </si>
  <si>
    <t>Lend me your penis: A critical analysis of morality and sexuality in Yoruba lampooning songs</t>
  </si>
  <si>
    <t>170</t>
  </si>
  <si>
    <t>Buah</t>
  </si>
  <si>
    <t>Gifty</t>
  </si>
  <si>
    <t>U Ghana</t>
  </si>
  <si>
    <t>Computer Engineering</t>
  </si>
  <si>
    <t>Kathleen Sienko</t>
  </si>
  <si>
    <t>giftybuah@gmail.com; gbuah@ug.edu.gh</t>
  </si>
  <si>
    <t>171</t>
  </si>
  <si>
    <t>Chanie</t>
  </si>
  <si>
    <t>Bantayehu Shiferaw</t>
  </si>
  <si>
    <t>Susan Page</t>
  </si>
  <si>
    <t>bshiferaw6@hotmail.com</t>
  </si>
  <si>
    <t>172</t>
  </si>
  <si>
    <t>Dordzro</t>
  </si>
  <si>
    <t>John-Doe</t>
  </si>
  <si>
    <t>University of Cape Coast</t>
  </si>
  <si>
    <t>Music</t>
  </si>
  <si>
    <t>Kwasi Ampene (LSA: DAAS)</t>
  </si>
  <si>
    <t>doe.dordzro@ucc.edu.gh</t>
  </si>
  <si>
    <t>Colonialism and Musical Legacies: History, artistry and social change of brass bands in Ghana</t>
  </si>
  <si>
    <t>173</t>
  </si>
  <si>
    <t>Feleni</t>
  </si>
  <si>
    <t>Usisipho</t>
  </si>
  <si>
    <t>Nanotechnology</t>
  </si>
  <si>
    <t>Bart Bartlett (LSA: Chemistry)</t>
  </si>
  <si>
    <t>felenu@unisa.ac.za; usengfellz@gmail.com</t>
  </si>
  <si>
    <t>Electro-membranous Reactor for the Detection and Elimination of Environmental Persistent Pharmaceutical Pollutant – Nevirapine</t>
  </si>
  <si>
    <t>174</t>
  </si>
  <si>
    <t>Guvuriro</t>
  </si>
  <si>
    <t>Sevias</t>
  </si>
  <si>
    <t>University of the Freestate</t>
  </si>
  <si>
    <t>Erin Krupka (School of Information)</t>
  </si>
  <si>
    <t>guvuriros@ufs.ac.za, sguvuriro@yahoo.com</t>
  </si>
  <si>
    <t>A survey on economic and social preferences and health behaviour among young adolescents in an informal urban settlement</t>
  </si>
  <si>
    <t>175</t>
  </si>
  <si>
    <t>Hussen</t>
  </si>
  <si>
    <t>Fedila</t>
  </si>
  <si>
    <t>University of Gondar</t>
  </si>
  <si>
    <t>Adam Ashforth (LSA: DAAS)</t>
  </si>
  <si>
    <t>Fedilas01@gmail.com</t>
  </si>
  <si>
    <t>Intervening in the Customary Justice system for the sake of Justice: The case of Ethiopia</t>
  </si>
  <si>
    <t>176</t>
  </si>
  <si>
    <t>Anslyn</t>
  </si>
  <si>
    <t>Rhodes University</t>
  </si>
  <si>
    <t xml:space="preserve">Theoretical Physics </t>
  </si>
  <si>
    <t>August Evrard (LSA: Physics)</t>
  </si>
  <si>
    <t>anslyn@sun.ac.za</t>
  </si>
  <si>
    <t>Cosmological structure formation with shear viscosity</t>
  </si>
  <si>
    <t>177</t>
  </si>
  <si>
    <t>Manja</t>
  </si>
  <si>
    <t>Laston</t>
  </si>
  <si>
    <t>U Malawi</t>
  </si>
  <si>
    <t>Malawi</t>
  </si>
  <si>
    <t>lmanja@cc.ac.mw</t>
  </si>
  <si>
    <t>178</t>
  </si>
  <si>
    <t>Mbatudde</t>
  </si>
  <si>
    <t>Diana</t>
  </si>
  <si>
    <t>Aga Khan-Uganda</t>
  </si>
  <si>
    <t>Nursing</t>
  </si>
  <si>
    <t>Massy Mutumba</t>
  </si>
  <si>
    <t>diana.mbatudde@ymail.com; diana.mbatudde@aku.edu</t>
  </si>
  <si>
    <t>179</t>
  </si>
  <si>
    <t>Mengesha</t>
  </si>
  <si>
    <t>Millon</t>
  </si>
  <si>
    <t>Geology</t>
  </si>
  <si>
    <t>Naomi Levin</t>
  </si>
  <si>
    <t>million.alemayehu@aau.edu.et</t>
  </si>
  <si>
    <t>180</t>
  </si>
  <si>
    <t>Mngomezulu</t>
  </si>
  <si>
    <t>Nosipho</t>
  </si>
  <si>
    <t>Wits</t>
  </si>
  <si>
    <t>Social Anthropology</t>
  </si>
  <si>
    <t>Jatin Dua</t>
  </si>
  <si>
    <t>nosipho.mngomezulu@wits.ac.za</t>
  </si>
  <si>
    <t>181</t>
  </si>
  <si>
    <t>Mubiayi</t>
  </si>
  <si>
    <t>Pierre Kalenga</t>
  </si>
  <si>
    <t>Kalenga.Mubiayi@wits.ac.za</t>
  </si>
  <si>
    <t>182</t>
  </si>
  <si>
    <t>Mugumya</t>
  </si>
  <si>
    <t>Firminus</t>
  </si>
  <si>
    <t>Makerere U</t>
  </si>
  <si>
    <t>Social Work</t>
  </si>
  <si>
    <t>Philip Bowman (School of Education)</t>
  </si>
  <si>
    <t xml:space="preserve">firmlib@yahoo.co.uk </t>
  </si>
  <si>
    <t>183</t>
  </si>
  <si>
    <t>Muthoni</t>
  </si>
  <si>
    <t>Purity</t>
  </si>
  <si>
    <t>Kenyatta University</t>
  </si>
  <si>
    <t>Environmental Planning and Management</t>
  </si>
  <si>
    <t>Martin Murray (LSA: DAAS; Architecture)</t>
  </si>
  <si>
    <t>muthoni_purity@ymail.com; njeri.purity@ku.ac.ke</t>
  </si>
  <si>
    <t>Environmental Sustainability in Kenyan Cities</t>
  </si>
  <si>
    <t>184</t>
  </si>
  <si>
    <t>Olawole</t>
  </si>
  <si>
    <t>Tolulope</t>
  </si>
  <si>
    <t>Covenant University</t>
  </si>
  <si>
    <t>Biochemistry</t>
  </si>
  <si>
    <t>Jackie Goodrich (SPH: Environmental Health Sciences)</t>
  </si>
  <si>
    <t>tolulope.olawole@covenantuniversity.edu.ng,  tolulopeolawole@yahoo.com</t>
  </si>
  <si>
    <t>BPA-Associated Early Life Epigenomic Changes in Nigerian Neonates</t>
  </si>
  <si>
    <t>185</t>
  </si>
  <si>
    <t>Sepuru</t>
  </si>
  <si>
    <t>Phutti</t>
  </si>
  <si>
    <t>Ellen Rowe</t>
  </si>
  <si>
    <t>phuti.sepuru@up.ac.za</t>
  </si>
  <si>
    <t>186</t>
  </si>
  <si>
    <t>Twesigye</t>
  </si>
  <si>
    <t>Justus</t>
  </si>
  <si>
    <t>Trina Shanks (Social Work)</t>
  </si>
  <si>
    <t>justustwesigye@yahoo.com</t>
  </si>
  <si>
    <t>187</t>
  </si>
  <si>
    <t>Awori</t>
  </si>
  <si>
    <t>Nancy</t>
  </si>
  <si>
    <t>Multimedia U of Kenya</t>
  </si>
  <si>
    <t>Fall 2022</t>
  </si>
  <si>
    <t>Women and Gender Studies</t>
  </si>
  <si>
    <t>Larry La Fountain-Stokes</t>
  </si>
  <si>
    <t>lawrlafo</t>
  </si>
  <si>
    <t>188</t>
  </si>
  <si>
    <t>Hargoe</t>
  </si>
  <si>
    <t>Aristedes</t>
  </si>
  <si>
    <t>Fine Arts</t>
  </si>
  <si>
    <t>Christian Matija-Mecca &amp; Robin Wilson</t>
  </si>
  <si>
    <t>Primary: xmecca@umich.edu, Secondary:robinwil@umich.edu</t>
  </si>
  <si>
    <t>189</t>
  </si>
  <si>
    <t>Jepkemboi</t>
  </si>
  <si>
    <t>Anne</t>
  </si>
  <si>
    <t>Kyamboho U</t>
  </si>
  <si>
    <t>History</t>
  </si>
  <si>
    <t>Ellen Poteet</t>
  </si>
  <si>
    <t>poteet</t>
  </si>
  <si>
    <t>190</t>
  </si>
  <si>
    <t>Luthuli</t>
  </si>
  <si>
    <t>Thembelihle</t>
  </si>
  <si>
    <t>Population Studies</t>
  </si>
  <si>
    <t>Lindsay Kobayashi</t>
  </si>
  <si>
    <t>lkob</t>
  </si>
  <si>
    <t>191</t>
  </si>
  <si>
    <t>Makombe</t>
  </si>
  <si>
    <t>Rodwell</t>
  </si>
  <si>
    <t>U Free State</t>
  </si>
  <si>
    <t>Comparative Literature</t>
  </si>
  <si>
    <t>Justine Davis</t>
  </si>
  <si>
    <t>jumdavis@umich.edu</t>
  </si>
  <si>
    <t>192</t>
  </si>
  <si>
    <t>Moagi</t>
  </si>
  <si>
    <t>Anna</t>
  </si>
  <si>
    <t>Sociology</t>
  </si>
  <si>
    <t>Raevin Jimenez</t>
  </si>
  <si>
    <t>raevinj</t>
  </si>
  <si>
    <t>193</t>
  </si>
  <si>
    <t>Monjane</t>
  </si>
  <si>
    <t>Celso</t>
  </si>
  <si>
    <t>U Joaquim Chissano</t>
  </si>
  <si>
    <t>Mozambique</t>
  </si>
  <si>
    <t>Applied Data Science</t>
  </si>
  <si>
    <t>pitchera@umich.edu</t>
  </si>
  <si>
    <t>194</t>
  </si>
  <si>
    <t>Nzweundji</t>
  </si>
  <si>
    <t>Justine</t>
  </si>
  <si>
    <t>Universite des Montagnes</t>
  </si>
  <si>
    <t>Plant Biotechnologist</t>
  </si>
  <si>
    <t>Nkem Khumbah</t>
  </si>
  <si>
    <t>nkhumbah</t>
  </si>
  <si>
    <t>195</t>
  </si>
  <si>
    <t>Okengqu</t>
  </si>
  <si>
    <t>Ugochi</t>
  </si>
  <si>
    <t>U Port Harcourt</t>
  </si>
  <si>
    <t>Computer Science</t>
  </si>
  <si>
    <t>Rada Mihalcea</t>
  </si>
  <si>
    <t>mihalcea</t>
  </si>
  <si>
    <t>196</t>
  </si>
  <si>
    <t>Uwitonze</t>
  </si>
  <si>
    <t>Pierre Celestin</t>
  </si>
  <si>
    <t>U Rwanda</t>
  </si>
  <si>
    <t>Rwanda</t>
  </si>
  <si>
    <t>Physics</t>
  </si>
  <si>
    <t>Tim McKay</t>
  </si>
  <si>
    <t>tamckay@umich.edu</t>
  </si>
  <si>
    <t>197</t>
  </si>
  <si>
    <t xml:space="preserve">Seika </t>
  </si>
  <si>
    <t>Medicine</t>
  </si>
  <si>
    <t>Jody Lori</t>
  </si>
  <si>
    <t>jrlori</t>
  </si>
  <si>
    <t>198</t>
  </si>
  <si>
    <t>Boahen</t>
  </si>
  <si>
    <t>Kwame Nkrumah University of Science &amp; Technology Ghana</t>
  </si>
  <si>
    <t>Mechanical Engineering</t>
  </si>
  <si>
    <t>Panos Y. Papalambros</t>
  </si>
  <si>
    <t>pyp</t>
  </si>
  <si>
    <t>199</t>
  </si>
  <si>
    <t>Pahaladh</t>
  </si>
  <si>
    <t>Marissa</t>
  </si>
  <si>
    <t>PhD UKZN</t>
  </si>
  <si>
    <t>Winter 2023</t>
  </si>
  <si>
    <t>Max Wicha</t>
  </si>
  <si>
    <t>marissa.balmith@up.ac.za</t>
  </si>
  <si>
    <t>Molecular mediators of cancer metastasis</t>
  </si>
  <si>
    <t>200</t>
  </si>
  <si>
    <t>Okoye</t>
  </si>
  <si>
    <t xml:space="preserve">Jude </t>
  </si>
  <si>
    <t>MA Nnamdi Azikiwe U</t>
  </si>
  <si>
    <t>Yatrik Shah</t>
  </si>
  <si>
    <t>judeogeokoye@gmail.com</t>
  </si>
  <si>
    <t>Gut microbiome and Colon cancer</t>
  </si>
  <si>
    <t>201</t>
  </si>
  <si>
    <t>Ramotsoela</t>
  </si>
  <si>
    <t xml:space="preserve">Daniel </t>
  </si>
  <si>
    <t>PhD U Pretoria</t>
  </si>
  <si>
    <t>Todd Austin</t>
  </si>
  <si>
    <t>daniel.ramotsoela@uct.ac.za</t>
  </si>
  <si>
    <t>A Framework for Intrusion Detection in Industrial Control Systems</t>
  </si>
  <si>
    <t>202</t>
  </si>
  <si>
    <t>Scott</t>
  </si>
  <si>
    <t xml:space="preserve">Tshepiso </t>
  </si>
  <si>
    <t>PhD UNISA</t>
  </si>
  <si>
    <t xml:space="preserve">Kyle Logue </t>
  </si>
  <si>
    <t>tshepiso.scott@up.ac.za</t>
  </si>
  <si>
    <t>Improving consumer access to redress in South Africa</t>
  </si>
  <si>
    <t>203</t>
  </si>
  <si>
    <t>Tsegaye</t>
  </si>
  <si>
    <t xml:space="preserve">Tesfaye Wondyifraw </t>
  </si>
  <si>
    <t>Mr</t>
  </si>
  <si>
    <t>Brian Stewart</t>
  </si>
  <si>
    <t>twondifraw2@gmail.com</t>
  </si>
  <si>
    <t>204</t>
  </si>
  <si>
    <t>Maina</t>
  </si>
  <si>
    <t xml:space="preserve">Grace </t>
  </si>
  <si>
    <t>MA Kenyatta U</t>
  </si>
  <si>
    <t>David Temin</t>
  </si>
  <si>
    <t>njokimaina11@gmail.com</t>
  </si>
  <si>
    <t>Women in traditional governance of Kenya:Agikuyu women 'Ndundu cia Aaka.'</t>
  </si>
  <si>
    <t>205</t>
  </si>
  <si>
    <t>Ngendahayo</t>
  </si>
  <si>
    <t xml:space="preserve">Jean Pierre </t>
  </si>
  <si>
    <t>Masters U Rwanda</t>
  </si>
  <si>
    <t>pingenda9@gmail.com</t>
  </si>
  <si>
    <t>Analysis of solution of transient inverse heat conduction problem of quenching a hallow cylinder using generalized minimal residual method and Tikhonov regularization method</t>
  </si>
  <si>
    <t>206</t>
  </si>
  <si>
    <t>Orwa</t>
  </si>
  <si>
    <t xml:space="preserve">James </t>
  </si>
  <si>
    <t>MA, Hasselt U, Belgium</t>
  </si>
  <si>
    <t>Akbar Waljee</t>
  </si>
  <si>
    <t>james.orwa@aku.edu</t>
  </si>
  <si>
    <t>Machine learning approaches for identification of predictors of maternal, neonatal and child health risks and their timely management</t>
  </si>
  <si>
    <t>207</t>
  </si>
  <si>
    <t>Ayele</t>
  </si>
  <si>
    <t xml:space="preserve">Eyerusaleam </t>
  </si>
  <si>
    <t>MA, Addis Ababa Univesity</t>
  </si>
  <si>
    <t>Frieda Ekotto</t>
  </si>
  <si>
    <t>eyerusalemkassahun6@gamil.com</t>
  </si>
  <si>
    <t>Re-Theorizing Colonialism through Ethiopian Theatre</t>
  </si>
  <si>
    <t>208</t>
  </si>
  <si>
    <t>Azene</t>
  </si>
  <si>
    <t xml:space="preserve">Meseret </t>
  </si>
  <si>
    <t>Joseph Eisenberg</t>
  </si>
  <si>
    <t>mazene8@gmail.com</t>
  </si>
  <si>
    <t>Epidemiology of diarrhea among children of 6-59 months in community and hospital settings in Addis Ababa, Ethiopia and determination of antibacterial and antidiarrheal effect of Ethiopian Salvia schimpri Benth. seed</t>
  </si>
  <si>
    <t>209</t>
  </si>
  <si>
    <t>Yirga</t>
  </si>
  <si>
    <t>Bosena</t>
  </si>
  <si>
    <t>Larissa Larsen</t>
  </si>
  <si>
    <t>bosenayirg@gmail.com</t>
  </si>
  <si>
    <t>Governance Approaches for Green Infrastructure Planning and Management in Selected Ethiopian Urban Areas</t>
  </si>
  <si>
    <t>210</t>
  </si>
  <si>
    <t>Eshetu</t>
  </si>
  <si>
    <t>Abebech</t>
  </si>
  <si>
    <t>Fall 2023</t>
  </si>
  <si>
    <t>MA</t>
  </si>
  <si>
    <t>Bilal Butt</t>
  </si>
  <si>
    <t>abebie1212@gmail.com
abebeche@umich.edu</t>
  </si>
  <si>
    <t>Gender Dimension Impacts of Climate Change on Household Food Security and Their Adaptation Strategies in Northeast Ethiopia</t>
  </si>
  <si>
    <t>211</t>
  </si>
  <si>
    <t>Kachim</t>
  </si>
  <si>
    <t>PhD</t>
  </si>
  <si>
    <t>Carina Ray</t>
  </si>
  <si>
    <t>joseph.kachim@ucc.edu.gh
jkachim@umich.edu</t>
  </si>
  <si>
    <t>Staying on the Margins: Konkomba Mobility and Belonging in Northern Ghana, 1896-1996</t>
  </si>
  <si>
    <t>212</t>
  </si>
  <si>
    <t>Mutchamua</t>
  </si>
  <si>
    <t>Heitor</t>
  </si>
  <si>
    <t>Instituto Superior Politécnico Engineering</t>
  </si>
  <si>
    <t>Theodore Goodson</t>
  </si>
  <si>
    <t>hbmutchamua@gmail.com
heitorhm@umich.edu</t>
  </si>
  <si>
    <t>Interfacial properties of poly (butylene succinate) biodegradable composite: An approach for understanding the impact of natural fibers on mechanical properties of polymer composites</t>
  </si>
  <si>
    <t>213</t>
  </si>
  <si>
    <t>Edagbami</t>
  </si>
  <si>
    <t>Sola</t>
  </si>
  <si>
    <t>University of Lagos</t>
  </si>
  <si>
    <t>Kayvan Najarian</t>
  </si>
  <si>
    <t>solaeboda@gmail.com
solaee@umich.edu</t>
  </si>
  <si>
    <t>Investigate the performance of lateral growth rooted tree optimisation algorithn as an approach to multilevel image segmentation problem</t>
  </si>
  <si>
    <t>214</t>
  </si>
  <si>
    <t>Emordi</t>
  </si>
  <si>
    <t>Amaka</t>
  </si>
  <si>
    <t>a.emordi@oauife.edu.ng
aemordi@umich.edu</t>
  </si>
  <si>
    <t>Child Neglect, Streetism, and Urban Violence: A Study of Skolombo Boys and Lacasera Girls of Calabar, Nigeria</t>
  </si>
  <si>
    <t>215</t>
  </si>
  <si>
    <t xml:space="preserve">Theoneste </t>
  </si>
  <si>
    <t>Hagenimana</t>
  </si>
  <si>
    <t>University of Rwanda</t>
  </si>
  <si>
    <t>Eric Martens</t>
  </si>
  <si>
    <t>hagenatheos2006@gmail.com
theonesh@umich.edu</t>
  </si>
  <si>
    <t>The Role of African Government, Chinese Lenders and others in Financing Public-Private Partnership Infrastructures in Africa: A Comparative Analysis</t>
  </si>
  <si>
    <t>216</t>
  </si>
  <si>
    <t>Kabinga</t>
  </si>
  <si>
    <t>Mundia</t>
  </si>
  <si>
    <t>University of Cape Town</t>
  </si>
  <si>
    <t>Panos Papalambros</t>
  </si>
  <si>
    <t>mundia.kabinga@uct.ac.za
mkabinga@umich.edu</t>
  </si>
  <si>
    <t>Decarbonized and decentralized power systems in South Africa</t>
  </si>
  <si>
    <t>217</t>
  </si>
  <si>
    <t>Magoqwana</t>
  </si>
  <si>
    <t>Babalwa</t>
  </si>
  <si>
    <t>Nelson Mandela University</t>
  </si>
  <si>
    <t>Fatma Gocek</t>
  </si>
  <si>
    <t>Babalwa.Magoqwana@mandela.ac.za
bmagoq@umich.edu</t>
  </si>
  <si>
    <t>Maternal legacies of Knowledge: Towards a Woman-Centered Vernacular Sociology in South Africa</t>
  </si>
  <si>
    <t>218</t>
  </si>
  <si>
    <t>Mirembe</t>
  </si>
  <si>
    <t>Fatumah</t>
  </si>
  <si>
    <t>Makerere University</t>
  </si>
  <si>
    <t>Brian Stewart - main host
Geoff Emberling</t>
  </si>
  <si>
    <t>fmirembe21@gmail.com
fmirembe@umich.edu</t>
  </si>
  <si>
    <t>Iron production technologies in Eastern Uganda; An Archaeometallurgical Investigation</t>
  </si>
  <si>
    <t>219</t>
  </si>
  <si>
    <t>Yalew</t>
  </si>
  <si>
    <t>Ayalnesh</t>
  </si>
  <si>
    <t>St Pauls Millenium Hospital</t>
  </si>
  <si>
    <t>Winter 2024</t>
  </si>
  <si>
    <t>Medical School</t>
  </si>
  <si>
    <t>Sarah Compton</t>
  </si>
  <si>
    <t>Medical School        Medical School</t>
  </si>
  <si>
    <t>ayuzem4@gmail.com</t>
  </si>
  <si>
    <t>220</t>
  </si>
  <si>
    <t>Omondi</t>
  </si>
  <si>
    <t>Allan</t>
  </si>
  <si>
    <t>Stratmore University</t>
  </si>
  <si>
    <t>Department of Engineering</t>
  </si>
  <si>
    <t>Department of Engineering        College of Engineering</t>
  </si>
  <si>
    <t>aomondi@strathmore.edu</t>
  </si>
  <si>
    <t>221</t>
  </si>
  <si>
    <t>Abonyi</t>
  </si>
  <si>
    <t>Chinasa</t>
  </si>
  <si>
    <t>University of Nigeria, Nsukka, Nigeria</t>
  </si>
  <si>
    <t>College of Lit, Science &amp; Arts</t>
  </si>
  <si>
    <t>Guarav Desai</t>
  </si>
  <si>
    <t>College of Lit, Science &amp; Arts        College of Lit, Science &amp; Arts</t>
  </si>
  <si>
    <t>chinasa.abonyi@unn.edu.ng</t>
  </si>
  <si>
    <t>222</t>
  </si>
  <si>
    <t>Akande</t>
  </si>
  <si>
    <t>Benyin</t>
  </si>
  <si>
    <t>University of Calabar, Nigeria</t>
  </si>
  <si>
    <t>School of Information</t>
  </si>
  <si>
    <t>Joypjeet Pal</t>
  </si>
  <si>
    <t>School of Information        School of Information</t>
  </si>
  <si>
    <t>baakande@unical.edu.ng</t>
  </si>
  <si>
    <t>223</t>
  </si>
  <si>
    <t>Daniel</t>
  </si>
  <si>
    <t>Makai</t>
  </si>
  <si>
    <t>Federal University Wukari,Taraba State, Nigeria.</t>
  </si>
  <si>
    <t>Adrian Deese</t>
  </si>
  <si>
    <t>makai@fuwukari.edu.ng</t>
  </si>
  <si>
    <t>224</t>
  </si>
  <si>
    <t>Niyigena</t>
  </si>
  <si>
    <t>Jean de Dieu</t>
  </si>
  <si>
    <t>School of Public Health</t>
  </si>
  <si>
    <t>Bhramar Mukkherjee (Biostats)</t>
  </si>
  <si>
    <t>College of Lit, Science &amp; Arts        Medical school</t>
  </si>
  <si>
    <t>jniyigena@aims.ac.tz</t>
  </si>
  <si>
    <t>225</t>
  </si>
  <si>
    <t xml:space="preserve">Muthumuni </t>
  </si>
  <si>
    <t>Elizabeth Managa</t>
  </si>
  <si>
    <t>University of South 
Africa</t>
  </si>
  <si>
    <t>College of Engineering</t>
  </si>
  <si>
    <t xml:space="preserve"> Theodore Goodson</t>
  </si>
  <si>
    <t>School of Public Health        School of Public Health</t>
  </si>
  <si>
    <t>managme@unisa.ac.za</t>
  </si>
  <si>
    <t>226</t>
  </si>
  <si>
    <t>Nesengani</t>
  </si>
  <si>
    <t>Tintswalo</t>
  </si>
  <si>
    <t>University of Pretoria</t>
  </si>
  <si>
    <t>School of Nursing</t>
  </si>
  <si>
    <t>Massy Matumba</t>
  </si>
  <si>
    <t>College of Engineering        College of Lit, Science &amp; Arts</t>
  </si>
  <si>
    <t>vicky.nesenganie@gmail.com</t>
  </si>
  <si>
    <t>227</t>
  </si>
  <si>
    <t>Wamamela</t>
  </si>
  <si>
    <t>Nixon</t>
  </si>
  <si>
    <t>Mariah Zeisberg</t>
  </si>
  <si>
    <t>Health Behavior 
and Biological 
Science 
Department        School of Nursing</t>
  </si>
  <si>
    <t>Wamamela@yahoo.co.uk</t>
  </si>
  <si>
    <t>228</t>
  </si>
  <si>
    <t>Basil</t>
  </si>
  <si>
    <t>Sisty</t>
  </si>
  <si>
    <t>Pan African Uni</t>
  </si>
  <si>
    <t>Department of Anthropology</t>
  </si>
  <si>
    <t>Dept of Afro American and African Studies College of Lit, Science &amp; Arts</t>
  </si>
  <si>
    <t>stiba7@gmail.com</t>
  </si>
  <si>
    <t>229</t>
  </si>
  <si>
    <t>Gebregziabher</t>
  </si>
  <si>
    <t>Hanna Teklu</t>
  </si>
  <si>
    <t>Hawassa University</t>
  </si>
  <si>
    <t>OBGYN department</t>
  </si>
  <si>
    <t>Vanessa Dalton</t>
  </si>
  <si>
    <t>hanotek@yahoo.com</t>
  </si>
  <si>
    <t>230</t>
  </si>
  <si>
    <t>Sidiq</t>
  </si>
  <si>
    <t>Latifat</t>
  </si>
  <si>
    <t>Kwara State University</t>
  </si>
  <si>
    <t>Qiong Yang and 
Magda Ivanova</t>
  </si>
  <si>
    <t>OBGYN department        The Center for International Reproductive Health Training</t>
  </si>
  <si>
    <t>anuoluwanimorigba@gmail.com</t>
  </si>
  <si>
    <t>231</t>
  </si>
  <si>
    <t>Iyamuremye</t>
  </si>
  <si>
    <t xml:space="preserve"> Emmanuel</t>
  </si>
  <si>
    <t>University of Rwanda College of Education</t>
  </si>
  <si>
    <t>Fall 2024</t>
  </si>
  <si>
    <t xml:space="preserve">Dan Burns </t>
  </si>
  <si>
    <t>eiyamuremye@aims.ac.tz</t>
  </si>
  <si>
    <t>232</t>
  </si>
  <si>
    <t>Abidemi-Iromini</t>
  </si>
  <si>
    <t xml:space="preserve"> Atilola</t>
  </si>
  <si>
    <t>The Federal University of Technology, Akure, Nigeria</t>
  </si>
  <si>
    <t xml:space="preserve">Nancy Love </t>
  </si>
  <si>
    <t>aoabidemi-iromini@futa.edu.ng</t>
  </si>
  <si>
    <t>233</t>
  </si>
  <si>
    <t>Molefi</t>
  </si>
  <si>
    <t>Mooketsi</t>
  </si>
  <si>
    <t>University of Botswana</t>
  </si>
  <si>
    <t>Botswana</t>
  </si>
  <si>
    <t xml:space="preserve">Douglas Wiebe </t>
  </si>
  <si>
    <t>molefim@ub.ac.bw        
Alt Email        mooketsimolefi@gmail.com</t>
  </si>
  <si>
    <t>234</t>
  </si>
  <si>
    <t>Bamidele-Nelly</t>
  </si>
  <si>
    <t>Oluwanifemi</t>
  </si>
  <si>
    <t>FEDERAL UNIVERSITY OF TECHNOLOGY AKURE, ONDO STATE, NIGERIA.</t>
  </si>
  <si>
    <t xml:space="preserve">Supriya Nair </t>
  </si>
  <si>
    <t>ndbamidele-nelly@futa.edu.ng</t>
  </si>
  <si>
    <t>235</t>
  </si>
  <si>
    <t>Antwiwaa</t>
  </si>
  <si>
    <t>Stella</t>
  </si>
  <si>
    <t>University of Cape Coast, Ghana</t>
  </si>
  <si>
    <t xml:space="preserve">Arthur Verghoot </t>
  </si>
  <si>
    <t>stella.antwiwaa@ucc.edu.gh</t>
  </si>
  <si>
    <t>236</t>
  </si>
  <si>
    <t>Lwassampijja</t>
  </si>
  <si>
    <t>Anatoli</t>
  </si>
  <si>
    <t>alwassampijja@gmail.com</t>
  </si>
  <si>
    <t>237</t>
  </si>
  <si>
    <t>Martin</t>
  </si>
  <si>
    <t>Oswald</t>
  </si>
  <si>
    <t>The Mwalimu Nyerere Memorial Academy</t>
  </si>
  <si>
    <t xml:space="preserve">Anne Pitcher </t>
  </si>
  <si>
    <t>mafikirio@gmail.com</t>
  </si>
  <si>
    <t>238</t>
  </si>
  <si>
    <t>NSENGIYUMVA</t>
  </si>
  <si>
    <t>Richard</t>
  </si>
  <si>
    <t>UNIVERSITY OF RWANDA</t>
  </si>
  <si>
    <t xml:space="preserve">Jody Lori  </t>
  </si>
  <si>
    <t>richnse2@gmail.com</t>
  </si>
  <si>
    <t>239</t>
  </si>
  <si>
    <t>Baffoe-Ashun</t>
  </si>
  <si>
    <t>Ayisha</t>
  </si>
  <si>
    <t>Kwame Nkrumah University of Science and Technology, Kumasi, Ghana</t>
  </si>
  <si>
    <t xml:space="preserve">Kuukuwa O Manful  </t>
  </si>
  <si>
    <t>idakaada@gmail.com</t>
  </si>
  <si>
    <t>240</t>
  </si>
  <si>
    <t>Benson</t>
  </si>
  <si>
    <t>Faith</t>
  </si>
  <si>
    <t>Aga Khan University</t>
  </si>
  <si>
    <t xml:space="preserve">Cheryl Moyer </t>
  </si>
  <si>
    <t>faith.neema@aku.edu</t>
  </si>
  <si>
    <t>241</t>
  </si>
  <si>
    <t>Mwigereri</t>
  </si>
  <si>
    <t>Dorcas</t>
  </si>
  <si>
    <t>Winter 2025</t>
  </si>
  <si>
    <t>Graduate student 
(Ph.D)</t>
  </si>
  <si>
    <t xml:space="preserve">        Haus Eileen</t>
  </si>
  <si>
    <t>Dorcas.Mwigereri@aku.edu</t>
  </si>
  <si>
    <t>Leveraging High-Performance Computing and 
Machine Learning for Early Prediction of 
Healthcare Workers' Mental Health.</t>
  </si>
  <si>
    <t>242</t>
  </si>
  <si>
    <t>Ajala</t>
  </si>
  <si>
    <t>Mary</t>
  </si>
  <si>
    <t>UNIVERSITY OF ILORIN, KWARA STATE, NIGERIA</t>
  </si>
  <si>
    <t>Ph.D</t>
  </si>
  <si>
    <t>Brian Ellis and Glen Daigger</t>
  </si>
  <si>
    <t>ajala.ma@unilorin.edu.ng</t>
  </si>
  <si>
    <t>Column Adsorption of Heavy Metals 
Using Synthesized Silver Immobilized 
Titanium Oxide Nanocomposites 
Supported on Clay.</t>
  </si>
  <si>
    <t>243</t>
  </si>
  <si>
    <t>NSABIMANA</t>
  </si>
  <si>
    <t>Jean Paul</t>
  </si>
  <si>
    <t>Ph.D Candidate</t>
  </si>
  <si>
    <t>Margaret Wooldridge</t>
  </si>
  <si>
    <t>nsapa123@gmail.com</t>
  </si>
  <si>
    <t>Experimental investigation on biodiesel 
and skin care oil production potential of 
black soldier fly larvae and comparing 
bioethanol gel fuel properties as an 
alternative fuel and waste management.</t>
  </si>
  <si>
    <t>244</t>
  </si>
  <si>
    <t>Gebeyehu</t>
  </si>
  <si>
    <t xml:space="preserve"> Desta</t>
  </si>
  <si>
    <t>Injibara University</t>
  </si>
  <si>
    <t>Ph.D Student</t>
  </si>
  <si>
    <t xml:space="preserve">Howard Stein </t>
  </si>
  <si>
    <t>desty21@gmail.com</t>
  </si>
  <si>
    <t>Dynamic Programming Approach for 
Financial Market under Uncertainty.</t>
  </si>
  <si>
    <t>245</t>
  </si>
  <si>
    <t>Abrahams</t>
  </si>
  <si>
    <t>Clint</t>
  </si>
  <si>
    <t>MA/ Graduate student 
(Ph.D)</t>
  </si>
  <si>
    <t>clint.abrahams@uct.ac.za</t>
  </si>
  <si>
    <t>Self-assessment of Completion of 
first-trimester Abortion at St. Paul’s 
Hospital Millennium Medical College: a 
cross-sectional study.</t>
  </si>
  <si>
    <t>246</t>
  </si>
  <si>
    <t>ASONGU</t>
  </si>
  <si>
    <t>NORAH</t>
  </si>
  <si>
    <t>UNIVERSITY OF YAOUNDE 1.</t>
  </si>
  <si>
    <t>M(Arch) 
Graduate Student (Ph.D)</t>
  </si>
  <si>
    <t>Martin Murray and Anya Sirota,</t>
  </si>
  <si>
    <t>norahasongu@yahoo.com</t>
  </si>
  <si>
    <t>Tectonics of Empathy: A Study of 
post-apartheid self-made building of Macassar.</t>
  </si>
  <si>
    <t>247</t>
  </si>
  <si>
    <t>Hunegnaw</t>
  </si>
  <si>
    <t>Yilkal</t>
  </si>
  <si>
    <t>Elizabeth Durham</t>
  </si>
  <si>
    <t>joemakalister123@gmail.com</t>
  </si>
  <si>
    <t>Socio-economic economic factors which 
influence the prevalence of malnutrition in 
various age groups</t>
  </si>
  <si>
    <t>248</t>
  </si>
  <si>
    <t>Dziwornu</t>
  </si>
  <si>
    <t>Michael</t>
  </si>
  <si>
    <t>Architecture &amp; Urban Planning</t>
  </si>
  <si>
    <t>Elizabeth King</t>
  </si>
  <si>
    <t>dzimike.md@gmail.com</t>
  </si>
  <si>
    <t>Treatment-seeking behavior and barriers 
in services utilization for sexually 
transmitted infections among female sex 
workers in Hawassa City, Ethiopia: a mixed
method study.</t>
  </si>
  <si>
    <t>249</t>
  </si>
  <si>
    <t>Gwande</t>
  </si>
  <si>
    <t>Victor</t>
  </si>
  <si>
    <t>University of the Free State</t>
  </si>
  <si>
    <t>GwandeVM@ufs.ac.za</t>
  </si>
  <si>
    <t>Under the crisis, a new country is 
emerging: the rise of the ‘small man’ and 
new livelihoods in Zimbabwe since the 
2000s.</t>
  </si>
  <si>
    <t>250</t>
  </si>
  <si>
    <t>Ochei</t>
  </si>
  <si>
    <t>Bukola</t>
  </si>
  <si>
    <t xml:space="preserve">University of Ibadan 	</t>
  </si>
  <si>
    <t>Charlotte Karem Albrecht</t>
  </si>
  <si>
    <t>desiri29@gmail.com</t>
  </si>
  <si>
    <t>The Religious, Cultural, Social, Criminal and 
Human Rights Dimensions of Cross-Dressing 
In Nigeria.</t>
  </si>
  <si>
    <t>251</t>
  </si>
  <si>
    <t>Bodiba</t>
  </si>
  <si>
    <t>Molebogeng</t>
  </si>
  <si>
    <t>Sefako Makgatho Health Sciences University</t>
  </si>
  <si>
    <t>Fall 2025</t>
  </si>
  <si>
    <t>Masters</t>
  </si>
  <si>
    <t>Anuska Andjelkovic-Zochowska</t>
  </si>
  <si>
    <t>molebo.k@gmail.com</t>
  </si>
  <si>
    <t>“The Ameliorative Benefits Of Tulbaghia Violacea 
On The Hippocampi Of Streptozotocin Diabetes 
Induced Sprague Dawley Rats”</t>
  </si>
  <si>
    <t>252</t>
  </si>
  <si>
    <t>Charles</t>
  </si>
  <si>
    <t>Gafita</t>
  </si>
  <si>
    <t>Andrew Jones</t>
  </si>
  <si>
    <t>gafitcha@gmail.com</t>
  </si>
  <si>
    <t>“Understanding the Level and Impact of High Sugar
Consumption in Beverages in Rwanda”</t>
  </si>
  <si>
    <t>253</t>
  </si>
  <si>
    <t>Kwisanga</t>
  </si>
  <si>
    <t>PHD</t>
  </si>
  <si>
    <t>Kim Kearfott (primary)
Denia Djokic (secondary)</t>
  </si>
  <si>
    <t>kwistiand@gmail.com</t>
  </si>
  <si>
    <t>“Analysis of prevalent artisanal small-scale mining
of tantalum, tin, tungsten (3T), niobium, and lithium
In Rwanda”</t>
  </si>
  <si>
    <t>254</t>
  </si>
  <si>
    <t>Alecia</t>
  </si>
  <si>
    <t>Univ of Cape Town</t>
  </si>
  <si>
    <t>Anne Pitcher/Omolade</t>
  </si>
  <si>
    <t>alecia.ndlovu@gmail.com</t>
  </si>
  <si>
    <t>“Political Accountability and Development in
Sub-Saharan Africa’s Resource Economies.”</t>
  </si>
  <si>
    <t>255</t>
  </si>
  <si>
    <t>Ogungbe</t>
  </si>
  <si>
    <t>Folakemi</t>
  </si>
  <si>
    <t>Pan-Atlantic University</t>
  </si>
  <si>
    <t>Swapnil Rai</t>
  </si>
  <si>
    <t>fogungbe@pau.edu.ng</t>
  </si>
  <si>
    <t>“The Nigerian Historical Film and the Country's 
History: A Dissertation for a Book Project”</t>
  </si>
  <si>
    <t>256</t>
  </si>
  <si>
    <t>Ajayeoba</t>
  </si>
  <si>
    <t>Yetunde</t>
  </si>
  <si>
    <t>Osun State University</t>
  </si>
  <si>
    <t xml:space="preserve">Winter 2026 </t>
  </si>
  <si>
    <t>Ted Goodson</t>
  </si>
  <si>
    <t>yetunde.ajayeoba@uniosun.edu.ng</t>
  </si>
  <si>
    <t>257</t>
  </si>
  <si>
    <t>Bello</t>
  </si>
  <si>
    <t>Zainab</t>
  </si>
  <si>
    <t>AHMADU BELLO UNIVERSITY ZARIA, NIGERIA</t>
  </si>
  <si>
    <t>Anya Sirota/ additional input from Sean Alquist and Tsz Yan Ng</t>
  </si>
  <si>
    <t>bellozainab55@yahoo.com</t>
  </si>
  <si>
    <t>258</t>
  </si>
  <si>
    <t>Chirwa</t>
  </si>
  <si>
    <t>Masauso</t>
  </si>
  <si>
    <t>University of Zambia</t>
  </si>
  <si>
    <t>Ashley Cureton</t>
  </si>
  <si>
    <t>masauso.chirwa@unza.zm</t>
  </si>
  <si>
    <t>259</t>
  </si>
  <si>
    <t>Coulibaly</t>
  </si>
  <si>
    <t>Tata</t>
  </si>
  <si>
    <t>Pasteur Institute of Cote d'Ivoire</t>
  </si>
  <si>
    <t>Cote d’Ivoire</t>
  </si>
  <si>
    <t>Simpa Salami</t>
  </si>
  <si>
    <t>csafiatou@gmail.com</t>
  </si>
  <si>
    <t>260</t>
  </si>
  <si>
    <t>Kayaga</t>
  </si>
  <si>
    <t xml:space="preserve">Bahati </t>
  </si>
  <si>
    <t>St JOhn's Univ. of Tanzania</t>
  </si>
  <si>
    <t>bahati2203@gmail.com</t>
  </si>
  <si>
    <t>261</t>
  </si>
  <si>
    <t>Metuonu</t>
  </si>
  <si>
    <t>Iheanacho</t>
  </si>
  <si>
    <t>University of Medical Sciences, Ondo City, Nigeria.</t>
  </si>
  <si>
    <t>Ekow Yankah</t>
  </si>
  <si>
    <t>imetuonu@unimed.edu.ng</t>
  </si>
  <si>
    <t>262</t>
  </si>
  <si>
    <t>Mokwebo</t>
  </si>
  <si>
    <t>Kefilwe</t>
  </si>
  <si>
    <t>University of the Western Cape</t>
  </si>
  <si>
    <t>Pierre Poudeu-Poudeu</t>
  </si>
  <si>
    <t>vmokwebo@uwc.ac.za</t>
  </si>
  <si>
    <t>263</t>
  </si>
  <si>
    <t>Munakamwe</t>
  </si>
  <si>
    <t>University of the Witwatersrand</t>
  </si>
  <si>
    <t>Brian Klein</t>
  </si>
  <si>
    <t>munaxjan@proton.me</t>
  </si>
  <si>
    <t>264</t>
  </si>
  <si>
    <t>Negassa</t>
  </si>
  <si>
    <t>Mekelle University</t>
  </si>
  <si>
    <t>jalugebeyehu13@gmail.com</t>
  </si>
  <si>
    <t>265</t>
  </si>
  <si>
    <t>Tawiah</t>
  </si>
  <si>
    <t>Kassim</t>
  </si>
  <si>
    <t>University of Energy and Natural Resources, Sunyani, Ghana</t>
  </si>
  <si>
    <t>Kerby Shedden</t>
  </si>
  <si>
    <t>kassim.tawiah@uenr.edu.gh</t>
  </si>
  <si>
    <t>266</t>
  </si>
  <si>
    <t>Irankunda</t>
  </si>
  <si>
    <t>Brigitte</t>
  </si>
  <si>
    <t>brigitteirankunda@gmail.com</t>
  </si>
  <si>
    <t>267</t>
  </si>
  <si>
    <t>Alidou</t>
  </si>
  <si>
    <t>Aboubakar</t>
  </si>
  <si>
    <t>University of Abomey-Calavi, Benin</t>
  </si>
  <si>
    <t>Benin</t>
  </si>
  <si>
    <t xml:space="preserve">Fall 2026 </t>
  </si>
  <si>
    <t>Jeffrey G. Heath</t>
  </si>
  <si>
    <t>aboubakaralidou@gmail.com</t>
  </si>
  <si>
    <t>Complete documentation of the Dendi languages of Djougou and Kandi</t>
  </si>
  <si>
    <t>268</t>
  </si>
  <si>
    <t>Fall</t>
  </si>
  <si>
    <t xml:space="preserve">Doudou </t>
  </si>
  <si>
    <t xml:space="preserve">Cheikh Anta Diop University of Dakar (UCAD), Department of Computer Science, Cameroon </t>
  </si>
  <si>
    <t>Senegal</t>
  </si>
  <si>
    <t>doudou.fall@esp.sn</t>
  </si>
  <si>
    <t>Design Science Meets Cybersecurity: A Secure-by-Design Research Initiative</t>
  </si>
  <si>
    <t>269</t>
  </si>
  <si>
    <t>Agbavor</t>
  </si>
  <si>
    <t>Bernadette</t>
  </si>
  <si>
    <t>KNUST, Kumasi, Ghana</t>
  </si>
  <si>
    <t>Krishnan Raghavendran</t>
  </si>
  <si>
    <t>agbavor@kccr.de</t>
  </si>
  <si>
    <t>Polymicrobial infections in tropical ulcers: impact on wound healing dynamics</t>
  </si>
  <si>
    <t>270</t>
  </si>
  <si>
    <t>Odekunle</t>
  </si>
  <si>
    <t>Damilola</t>
  </si>
  <si>
    <t>University of Lagos,  Department of Urban and Regional Planning, Nigeria</t>
  </si>
  <si>
    <t xml:space="preserve">Nigeria </t>
  </si>
  <si>
    <t>Professor Lukasz Stanek</t>
  </si>
  <si>
    <t xml:space="preserve">dodekunle@unilag.edu.ng </t>
  </si>
  <si>
    <t xml:space="preserve">Micro-scale Built Environments for Active Living and Health Equity in African Megacities:  A Case Study of Lagos </t>
  </si>
  <si>
    <t>271</t>
  </si>
  <si>
    <t>Nthunya</t>
  </si>
  <si>
    <t>Lebea</t>
  </si>
  <si>
    <t>University of the Witwatersrand, South Africa</t>
  </si>
  <si>
    <t>Lesotho</t>
  </si>
  <si>
    <t xml:space="preserve">Theodore Goodson        </t>
  </si>
  <si>
    <t>nthunln@unisa.ac.za</t>
  </si>
  <si>
    <t>Nanofiltration-integrated membrane distillation crystallization for lithium recovery and production of high-quality water from acid mine drainage: An experimental optimization</t>
  </si>
  <si>
    <t>272</t>
  </si>
  <si>
    <t>Links</t>
  </si>
  <si>
    <t>Calumet</t>
  </si>
  <si>
    <t>Stellenbosch University, South Africa</t>
  </si>
  <si>
    <t>Public Policy, History and Economics</t>
  </si>
  <si>
    <t xml:space="preserve">Professor Paul W. Rhode </t>
  </si>
  <si>
    <t>calumetlinks@sun.ac.za</t>
  </si>
  <si>
    <t>The Long Shadow of Racial Classification: Identity, Forced Removals, and Violence in Post-Apartheid South Africa</t>
  </si>
  <si>
    <t>273</t>
  </si>
  <si>
    <t>Mambwe</t>
  </si>
  <si>
    <t>Elastus</t>
  </si>
  <si>
    <t>University of Zambia, Zambia</t>
  </si>
  <si>
    <t>Literature, Science, and the Arts</t>
  </si>
  <si>
    <t xml:space="preserve">Sheila Murphy </t>
  </si>
  <si>
    <t>elastus@gmail.com</t>
  </si>
  <si>
    <t>Screen Media in Transition: Digitalization, Streaming, and Policy Shifts in the Evolving Film and Television Landscape in Zambia</t>
  </si>
  <si>
    <t>274</t>
  </si>
  <si>
    <t>Ashie-Nikoi</t>
  </si>
  <si>
    <t xml:space="preserve">Edwina  </t>
  </si>
  <si>
    <t>University of Ghana, Ghana</t>
  </si>
  <si>
    <t>Information</t>
  </si>
  <si>
    <t>Prof. Carina Ray</t>
  </si>
  <si>
    <t>edashie-nikoi@ug.edu.gh</t>
  </si>
  <si>
    <t>Archival Connections: The Place of Archives in Transnational African Diasporan Narratives, Solidarities, and Methodologies</t>
  </si>
  <si>
    <t>275</t>
  </si>
  <si>
    <t>Mushimiyimana</t>
  </si>
  <si>
    <t xml:space="preserve">Jean Baptiste </t>
  </si>
  <si>
    <t>University of Rwanda, Rwanda</t>
  </si>
  <si>
    <t>Camille Wilson</t>
  </si>
  <si>
    <t>baptimu@gmail.com</t>
  </si>
  <si>
    <t>The Impact of Tutors' Beliefs, Knowledge and Practices on shaping ICT Integration in Pre-service Teacher Education in Rwanda</t>
  </si>
  <si>
    <t>276</t>
  </si>
  <si>
    <t>Nassanga</t>
  </si>
  <si>
    <t>Rita</t>
  </si>
  <si>
    <t>Makerere University College of Health Sciences, Uganda</t>
  </si>
  <si>
    <t>Benjamin Hampstead</t>
  </si>
  <si>
    <t>ritanassanga@gmail.com</t>
  </si>
  <si>
    <t>Advancing Neuroimaging Capacity for Dementia Diagnosis in Uganda: Dissertation Completion, Advanced Analytic Training, and Collaborative Protocol Development</t>
  </si>
  <si>
    <t>277</t>
  </si>
  <si>
    <t>Ayegbusi</t>
  </si>
  <si>
    <t>Talabi</t>
  </si>
  <si>
    <t>Federal University Oye-Ekiti, Nigeria</t>
  </si>
  <si>
    <t>nursing, social work, public policy</t>
  </si>
  <si>
    <t>K Rivet Amico</t>
  </si>
  <si>
    <t>talabi.ayegbusi@fuoye.edu.ng</t>
  </si>
  <si>
    <t xml:space="preserve">Gendered Vulnerabilities and Civilian Agency: Grassroots Responses to Conflict-Related  Sexual Violence (CRSV) in Northwestern Nigeria </t>
  </si>
  <si>
    <t>278</t>
  </si>
  <si>
    <t>Bamigboye</t>
  </si>
  <si>
    <t>Oluwaseun</t>
  </si>
  <si>
    <t>Federal University Oye Ekiti Nigeria	Nigeria</t>
  </si>
  <si>
    <t>Winter 2027</t>
  </si>
  <si>
    <t>Environment and Sustainability</t>
  </si>
  <si>
    <t>Professor Meha Jain</t>
  </si>
  <si>
    <t>Oluwaseun.bamigboye@fuoye.edu.ng</t>
  </si>
  <si>
    <t>Exploring the Rural-Urban Linkages in the Water–Energy–Food Nexus: Implications for Sustainable Livelihoods in Nigeria</t>
  </si>
  <si>
    <t>279</t>
  </si>
  <si>
    <t>Belayneh</t>
  </si>
  <si>
    <t>Geletaw Behailu</t>
  </si>
  <si>
    <t>Bahir Dar University, Department of Physics	Ethiopia</t>
  </si>
  <si>
    <t>Ethiopian</t>
  </si>
  <si>
    <t xml:space="preserve">Michael W. Liemhon </t>
  </si>
  <si>
    <t>geletawbphys@gmail.com</t>
  </si>
  <si>
    <t>Modeling and Forecasting Ionospheric Parameters (TEC, foF2, MUF)  using INLA for Ethiopia</t>
  </si>
  <si>
    <t>280</t>
  </si>
  <si>
    <t>Atemnkeng</t>
  </si>
  <si>
    <t>Nkemngong</t>
  </si>
  <si>
    <t>University of Buea, Department of Educational Psychology	Cameroon</t>
  </si>
  <si>
    <t xml:space="preserve">Michelle Bellino </t>
  </si>
  <si>
    <t>ankemngong@yahoo.com</t>
  </si>
  <si>
    <t xml:space="preserve">Bridging the gap: Developing School-based interventions to address adolescent substance use in Rural Cameroon -A public Health and Education Perspective </t>
  </si>
  <si>
    <t>281</t>
  </si>
  <si>
    <t>Tamfu</t>
  </si>
  <si>
    <t>Alfred Ngenge</t>
  </si>
  <si>
    <t>University of Ngaoundere 	Cameroon</t>
  </si>
  <si>
    <t>Marcy J. Balunas</t>
  </si>
  <si>
    <t>macntamfu@yahoo.co.uk</t>
  </si>
  <si>
    <t>Assessing the pharmaceutical potential of African stingless bees propolis used in folk medicine</t>
  </si>
  <si>
    <t>282</t>
  </si>
  <si>
    <t>Ayeke</t>
  </si>
  <si>
    <t>Elom</t>
  </si>
  <si>
    <t>Ho Technical University Department of Architecture and Real Estate Management 	Ghana</t>
  </si>
  <si>
    <t>Dr Kuukuwa O Manful</t>
  </si>
  <si>
    <t>Elayke68@gmail.com</t>
  </si>
  <si>
    <t>Living with Water: Community-based Strategies for Informal Coastal Communities.</t>
  </si>
  <si>
    <t>283</t>
  </si>
  <si>
    <t>Musamba</t>
  </si>
  <si>
    <t>William</t>
  </si>
  <si>
    <t>Makerere University	Uganda</t>
  </si>
  <si>
    <t>Professor Derek Peterson</t>
  </si>
  <si>
    <t>wmusamba@gmail.com</t>
  </si>
  <si>
    <t>Conflicts and the Politics of Identity in Busoga, Uganda, 1890-1967</t>
  </si>
  <si>
    <t>284</t>
  </si>
  <si>
    <t>Tijani</t>
  </si>
  <si>
    <t>Naheem</t>
  </si>
  <si>
    <t>Kampala International University, Department of Microbiology and Immunology	Uganda</t>
  </si>
  <si>
    <t>Teresa O'Meara</t>
  </si>
  <si>
    <t>tijani.naheem@kiu.ac.ug</t>
  </si>
  <si>
    <t>Biogenic silver nanoparticles from Termitomyces mushroom and their antifungal activity against resistant clinical isolates of Candida albicans</t>
  </si>
  <si>
    <t>285</t>
  </si>
  <si>
    <t>Aina</t>
  </si>
  <si>
    <t>Wuraola</t>
  </si>
  <si>
    <t>University of Ibadan, Department of Archaeology and Anthropology 	Nigeria</t>
  </si>
  <si>
    <t>Anthropology</t>
  </si>
  <si>
    <t xml:space="preserve">Liz Roberts </t>
  </si>
  <si>
    <t>omolewaaina76@gmail.com</t>
  </si>
  <si>
    <t xml:space="preserve">Illness Narratives of Selected Neglected Tropical Diseases in Northern Nigeria </t>
  </si>
  <si>
    <t>286</t>
  </si>
  <si>
    <t>Ezekannagha</t>
  </si>
  <si>
    <t>Chinyere</t>
  </si>
  <si>
    <t>Madonna University, Department of Chemical Engineering	Nigeria</t>
  </si>
  <si>
    <t>Eranda Nikolla</t>
  </si>
  <si>
    <t>contactchy20@gmail.com</t>
  </si>
  <si>
    <t>Innovative Catalytic Valorization of Biomass and Plastic Waste into Clean Fuels for National Energy Security and Environmental Sustainability</t>
  </si>
  <si>
    <t>287</t>
  </si>
  <si>
    <t>Jiyane</t>
  </si>
  <si>
    <t>Mbali</t>
  </si>
  <si>
    <t>Rhodes University, Linguistics Department	South Africa</t>
  </si>
  <si>
    <t>Acrisio Pires</t>
  </si>
  <si>
    <t>m.jiyane@ru.ac.za</t>
  </si>
  <si>
    <t>An analysis of isiZulu Negation</t>
  </si>
  <si>
    <t>288</t>
  </si>
  <si>
    <t>Munang'andu</t>
  </si>
  <si>
    <t>Samantha</t>
  </si>
  <si>
    <t>University of Zambia, School of Nursing Sciences 	Zambia</t>
  </si>
  <si>
    <t xml:space="preserve">Miatta Buxton </t>
  </si>
  <si>
    <t>smufungwe24@gmail.com</t>
  </si>
  <si>
    <t>Provision Of Neurodevelopmental Supportive Care to Preterm Babies at Selected Tertiary Hospitals in Zambia</t>
  </si>
  <si>
    <t>Untill Winter 2025</t>
  </si>
  <si>
    <t>Per Country</t>
  </si>
  <si>
    <t>Percent of total</t>
  </si>
  <si>
    <t>Total</t>
  </si>
  <si>
    <t>Other Countries</t>
  </si>
  <si>
    <t>Female</t>
  </si>
  <si>
    <t>Male</t>
  </si>
  <si>
    <t>Last name</t>
  </si>
  <si>
    <t>Mentor</t>
  </si>
  <si>
    <t>Update: PhD</t>
  </si>
  <si>
    <t>PhD process notes</t>
  </si>
  <si>
    <t>presentations during UMAPS (except colloquium series)</t>
  </si>
  <si>
    <t>post-UMAPS publications</t>
  </si>
  <si>
    <t>pre-UMAPS publications (based on CVs submitted w/UMAPS application)</t>
  </si>
  <si>
    <t>Balmith</t>
  </si>
  <si>
    <t xml:space="preserve">Marissa </t>
  </si>
  <si>
    <t>Hematology/ Oncology</t>
  </si>
  <si>
    <t>mwicha</t>
  </si>
  <si>
    <t>Law School</t>
  </si>
  <si>
    <t>klogue</t>
  </si>
  <si>
    <t>Mukoki</t>
  </si>
  <si>
    <t>Department of Environment and Sustainability</t>
  </si>
  <si>
    <t>Pam Jagger</t>
  </si>
  <si>
    <t>jammy.mukoki@gmail.com</t>
  </si>
  <si>
    <t>EFFECTS OF LIVILIHOOD DIVERSIFICATION STRATEGIES ON HOUSEHOLD WELFARE AND HEALTH OUTCOMES IN UGANDA</t>
  </si>
  <si>
    <t>MA Dar es Salaam (TZ)</t>
  </si>
  <si>
    <t>pjagger@umich.edu</t>
  </si>
  <si>
    <t>Molecular and Integrative Physiology</t>
  </si>
  <si>
    <t>shahy@umich.edu</t>
  </si>
  <si>
    <t xml:space="preserve"> Daniel </t>
  </si>
  <si>
    <t>Computer Science and Engineering</t>
  </si>
  <si>
    <t>austin@umich.edu</t>
  </si>
  <si>
    <t>Tesgaye</t>
  </si>
  <si>
    <t>Debre Markos U</t>
  </si>
  <si>
    <t>Anthropology/ Museum of Anthropology</t>
  </si>
  <si>
    <t>bastew</t>
  </si>
  <si>
    <t xml:space="preserve"> Grace </t>
  </si>
  <si>
    <t>KCAU</t>
  </si>
  <si>
    <t>Department of Political Science</t>
  </si>
  <si>
    <t>dtemin</t>
  </si>
  <si>
    <t xml:space="preserve"> Jean Pierre </t>
  </si>
  <si>
    <t>Department of Mathematics</t>
  </si>
  <si>
    <t>divakar@umich.edu</t>
  </si>
  <si>
    <t>awaljee@med.umich.edu</t>
  </si>
  <si>
    <t>paid through CGHE</t>
  </si>
  <si>
    <t>Addis Ababa University</t>
  </si>
  <si>
    <t>DAAS</t>
  </si>
  <si>
    <t>ekotto@umich.edu</t>
  </si>
  <si>
    <t>jnse@umich.edu</t>
  </si>
  <si>
    <t xml:space="preserve"> Bosena</t>
  </si>
  <si>
    <t>Taubman College of Architecture and Urban Planning</t>
  </si>
  <si>
    <t>larissal@umich.edu</t>
  </si>
  <si>
    <t>list of PhDs acquired AFTER (in 1 case during) UMAPS residency; last updated 5 July 2020 by HF</t>
  </si>
  <si>
    <t>Ordered by UMAPS cohort from oldest to newst, alphabetical w.in each cohort! Additional ways of organizing in Word Doc Ongoing Updateable</t>
  </si>
  <si>
    <t>running total</t>
  </si>
  <si>
    <t>Notes</t>
  </si>
  <si>
    <t>Dissertation title (if known)</t>
  </si>
  <si>
    <t>PhD UNISA, 2010</t>
  </si>
  <si>
    <t>Carol</t>
  </si>
  <si>
    <t xml:space="preserve">PhD UKZN, 2017 </t>
  </si>
  <si>
    <t>per email from KA 9/15/2017</t>
  </si>
  <si>
    <t xml:space="preserve">Ndanga </t>
  </si>
  <si>
    <t>PhD U Massachusetts-Amherst, 2018</t>
  </si>
  <si>
    <t>per Linked-in update and email signature line</t>
  </si>
  <si>
    <t>PhD U Ghana, 2013</t>
  </si>
  <si>
    <t>PhD U Ghana, 2011</t>
  </si>
  <si>
    <t xml:space="preserve"> Mahunele</t>
  </si>
  <si>
    <t>PhD U Pretoria, 2015</t>
  </si>
  <si>
    <t>PhD U Ghana, 2014</t>
  </si>
  <si>
    <t>per new CV to ASC, Oct 2017</t>
  </si>
  <si>
    <t>PhD U Muenster, 2016 (Chemistry)</t>
  </si>
  <si>
    <t>PhD KNUST, 2012</t>
  </si>
  <si>
    <t xml:space="preserve">PhD U Texas, (May) 2017 (Archaeology) </t>
  </si>
  <si>
    <t>per email 7/17/2017</t>
  </si>
  <si>
    <t>PhD U Ghana, 2009 (Public Health)</t>
  </si>
  <si>
    <t>PhD conferred during UMAPS tenure</t>
  </si>
  <si>
    <t>PhD KNUST, 2015</t>
  </si>
  <si>
    <t xml:space="preserve">PhD Coventry U (UK), 2016 </t>
  </si>
  <si>
    <t>confirmed per email HF on 7/12/2017</t>
  </si>
  <si>
    <t>PhD KNUST, 2011</t>
  </si>
  <si>
    <t>PhD KNUST/ Ouagadougou, 2013</t>
  </si>
  <si>
    <t>PhD UCT, 2012</t>
  </si>
  <si>
    <t>Botha</t>
  </si>
  <si>
    <t>2009-2010/2011-2012</t>
  </si>
  <si>
    <t>PhD Wits, 2015</t>
  </si>
  <si>
    <t>per Pierre's notes, from KA?</t>
  </si>
  <si>
    <t xml:space="preserve">PhD Obafemi Awolowo U, Nigeria, 2017 (Botany and Biotechnology) </t>
  </si>
  <si>
    <t>per email to HF with updated CV 10/17/2017</t>
  </si>
  <si>
    <t>PhD U Pretoria, 2013</t>
  </si>
  <si>
    <t>PhD U Pittsburgh, 2016 (Biomedical Informatics)</t>
  </si>
  <si>
    <t>PhD KNUST, 2015 (Painting)</t>
  </si>
  <si>
    <t>Madida (formerly Sambumbu)</t>
  </si>
  <si>
    <t>Sipokazi</t>
  </si>
  <si>
    <t>PhD UWC, 2017</t>
  </si>
  <si>
    <t>per correspondance w/HF about Mellon Nov 2017 workshop, email 9/14/17</t>
  </si>
  <si>
    <t>PhD UCC, post-2012</t>
  </si>
  <si>
    <t>per email Rebecca Hardin accompanying his Seed Grant funding request Feb 2017</t>
  </si>
  <si>
    <t>Arhin-Sam</t>
  </si>
  <si>
    <t>PhD KNUST,  2016 (Veterinary Disease Biology)</t>
  </si>
  <si>
    <t>now Vivian Boamah; was external PhD candidate at the University of Copenhagen, Dept of Veterinary Disease Biology, where she defended her PhD in 2015; however, degree was granted by KNUST in 2016</t>
  </si>
  <si>
    <t>PhD Stellenbosch U, 2017</t>
  </si>
  <si>
    <t xml:space="preserve">Per email to HF on 11/27/17 in response to update request </t>
  </si>
  <si>
    <t xml:space="preserve">PhD U Ghana, (Nov) 2016 (Public Health)  </t>
  </si>
  <si>
    <t>per email to HF 07/13/17</t>
  </si>
  <si>
    <t>PhD U Ghana, 2017 (Pharmacy)</t>
  </si>
  <si>
    <t>per email to HF 07/12/17; PhD in progress prior to UMAPS</t>
  </si>
  <si>
    <t>PhD UWC, 2014</t>
  </si>
  <si>
    <t>PhD Edith Cowan U, Australia, 2017 (Political Science)</t>
  </si>
  <si>
    <t>Per email to SS 3/11/2020; enrolled in PhD program post-UMAPS</t>
  </si>
  <si>
    <t>PhD KNUST, 2015 (Bioengineering)</t>
  </si>
  <si>
    <t>PhD Indiana University, 2020</t>
  </si>
  <si>
    <t>Per email sent to SS 02/16/2020</t>
  </si>
  <si>
    <t>PhD KNUST, 2016 (Pharmaceutics)</t>
  </si>
  <si>
    <t>PhD UDS, Ghana, 2016 (Endogenous Development)</t>
  </si>
  <si>
    <t xml:space="preserve">PhD in progress prior to UMAPS </t>
  </si>
  <si>
    <t>PhD UCT, 2016</t>
  </si>
  <si>
    <t xml:space="preserve">PhD UG, 2016 </t>
  </si>
  <si>
    <t>PhD Fort Hare, 2018</t>
  </si>
  <si>
    <t>PhD in progress prior to UMAPS; learned about PhD rec'd from email to HF Mar 2019</t>
  </si>
  <si>
    <t>Hagdu (Gebregzabher)</t>
  </si>
  <si>
    <t>Endale</t>
  </si>
  <si>
    <t xml:space="preserve">PhD Addis Ababa U School of Medicine, (Jul) 2017 (Biochemistry) </t>
  </si>
  <si>
    <t>per email to KA 07/28/17; PhD in progress prior to UMAPS residency</t>
  </si>
  <si>
    <t>PhD North West U, 2016</t>
  </si>
  <si>
    <t xml:space="preserve">Per email to HF on 12/13/17 in response to update request </t>
  </si>
  <si>
    <t xml:space="preserve">PhD Makerere U, 2017 </t>
  </si>
  <si>
    <t>per email to ASC on 03/02/17; PhD in progress prior to UMAPS residency</t>
  </si>
  <si>
    <t xml:space="preserve">PhD Addis Ababa U (Computer Engineering) </t>
  </si>
  <si>
    <t>PhD in progress prior to UMAPS residency; defended May 2019, per email to HF 5/31/2019</t>
  </si>
  <si>
    <t>"Acceleration and Energy Reduction of Object Detection on the Mobile Graphics Processing Unit"</t>
  </si>
  <si>
    <t>PhD U Oslo, Norway, 2018 (Media Studies)</t>
  </si>
  <si>
    <t>Belete Adugna</t>
  </si>
  <si>
    <t>PhD Addis Ababa U, 2018</t>
  </si>
  <si>
    <t>PhD in progress prior to UMAPS residency; defended June 2018, per mentor email to ASC 8/2/18</t>
  </si>
  <si>
    <t>PhD Makerere U, 2019 (MISER)</t>
  </si>
  <si>
    <t>per email from MISER re: defense 2/10/2019</t>
  </si>
  <si>
    <t xml:space="preserve">Kholekile </t>
  </si>
  <si>
    <t>PhD Stellenbosch U, 2019 (Economics)</t>
  </si>
  <si>
    <t>PhD in progress prior to UMAPS residency; defended Feb 2019, per email to HF 2/19/2019</t>
  </si>
  <si>
    <t>PhD Makerere ISR, 2020 (History)</t>
  </si>
  <si>
    <t>Per WhatsApp to HF</t>
  </si>
  <si>
    <t xml:space="preserve">Beza </t>
  </si>
  <si>
    <t>Lemlem</t>
  </si>
  <si>
    <t>PhD Emory</t>
  </si>
  <si>
    <t>From email</t>
  </si>
  <si>
    <t>publication year</t>
  </si>
  <si>
    <t>Book title</t>
  </si>
  <si>
    <t>Monograph/ edit. vol.?</t>
  </si>
  <si>
    <t>Co-authors / coeditors</t>
  </si>
  <si>
    <t>Publisher</t>
  </si>
  <si>
    <t>list of post-UMAPS publications; so far, only monographs/edited volumes started/last updated 2/19/2019 by HF</t>
  </si>
  <si>
    <t xml:space="preserve">Ordered by book's publication date </t>
  </si>
  <si>
    <t>Alex Kaakyire Duku</t>
  </si>
  <si>
    <t xml:space="preserve">Electoral Politics in Ghana’s Fourth Republic in the Context of Post-Cold War Africa </t>
  </si>
  <si>
    <t>YAMENS Press, Accra</t>
  </si>
  <si>
    <t>Amtaika</t>
  </si>
  <si>
    <t xml:space="preserve">Local Government in South Africa since 1994: Leadership, democracy, development and service delivery in a post-apartheid era. </t>
  </si>
  <si>
    <t>Carolina Academic Press (Durham, NC)</t>
  </si>
  <si>
    <t>Annet</t>
  </si>
  <si>
    <t>Tax Law: An Introduction</t>
  </si>
  <si>
    <t>edited volume</t>
  </si>
  <si>
    <t>Croome, B, Muller, E , Legwaila, T, Kolitz, M, Williams, RC, Louw, C</t>
  </si>
  <si>
    <t xml:space="preserve">South Africa’s Renegade Reels: The Making and Public Lives of Black-Centred Films. </t>
  </si>
  <si>
    <t>Palgrave Macmillan (New York)</t>
  </si>
  <si>
    <t>WATER, HISTORY AND POLITICS IN ZIMBABWE: BULAWAYO'S STRUGGLES WITH THE ENVIRONMENT, 1894-2008.</t>
  </si>
  <si>
    <t>AFRICA WORLD PRESS (TREETON, NEW JERSEY)</t>
  </si>
  <si>
    <t>Published during UMAPS</t>
  </si>
  <si>
    <t>Elections in Ghana (1951-2012)</t>
  </si>
  <si>
    <t>Life @60 Publishers, Accra</t>
  </si>
  <si>
    <t>Culture, Democracy and Development in Africa</t>
  </si>
  <si>
    <t>PanAfrican University Press</t>
  </si>
  <si>
    <t>The Democratization of Africa: Dynamics and Trends</t>
  </si>
  <si>
    <t>PanAfrican University Press at the U Texas</t>
  </si>
  <si>
    <t>Socio-Economic Development in Africa: Challenges and Dimensions</t>
  </si>
  <si>
    <t xml:space="preserve">The Postcolonial African State in Transition: Stateness and Modes of Sovereignty </t>
  </si>
  <si>
    <t>Rowland &amp; Little</t>
  </si>
  <si>
    <t>2018?</t>
  </si>
  <si>
    <t xml:space="preserve">William </t>
  </si>
  <si>
    <t>Archaeology and Socio-political Engagement: The Case of the Krobo Mountain Archaeological Research.</t>
  </si>
  <si>
    <t>Samuel Nkumbaan, UMAPS cohort 2014-2015</t>
  </si>
  <si>
    <t>Accra, Sub-Saharan Publishers</t>
  </si>
  <si>
    <t>Book in series,  Current Perspective on the Archaeology of Ghana. Currently (2018) in press--can't find it yet?</t>
  </si>
  <si>
    <t>Olajulo</t>
  </si>
  <si>
    <t xml:space="preserve"> Unshared Identity: Posthumous paternity in a contemporary Yoruba community</t>
  </si>
  <si>
    <t>monograph</t>
  </si>
  <si>
    <t>African Books Collectiove (NISC), South Africa</t>
  </si>
  <si>
    <t>The Geography of Climate Change Adaptation in Urban Ghana</t>
  </si>
  <si>
    <t>Addaney, M</t>
  </si>
  <si>
    <t xml:space="preserve">Palgrave Macmillan </t>
  </si>
  <si>
    <t>Sekibakiba Peter</t>
  </si>
  <si>
    <t>Guerrilla Radios in Southern Africa
Broadcasters, Technology, Propaganda Wars, and the Armed Struggle</t>
  </si>
  <si>
    <t xml:space="preserve">    Tshepo Moloi and Alda Romao Saute Saide</t>
  </si>
  <si>
    <t>Rowman &amp; Littlefield Publishers / Rowman &amp; Littlefield International</t>
  </si>
  <si>
    <t xml:space="preserve">Okechukwu </t>
  </si>
  <si>
    <t>Under contract w/UM Press, exp pub date May 2021</t>
  </si>
  <si>
    <t>One of my greatest achievements as a UMAPS-MELLON fellow is my book contract with the University of Michigan Press. The book, titled, Aso ebì: Dress, Fashion, Visual Culture, and Urban Cosmopolitanism in West Africa, is already under production with the University of Michigan Press and scheduled to come out in May 2021. It is currently being advertised on Amazon and many other important academic sites.</t>
  </si>
  <si>
    <t>list of promotions AFTER UMAPS residency; last updated 9/16/2020 HF</t>
  </si>
  <si>
    <t xml:space="preserve">Ordered by </t>
  </si>
  <si>
    <t>Update: Promotion</t>
  </si>
  <si>
    <t>New institution Y/N?</t>
  </si>
  <si>
    <t>Additional notes</t>
  </si>
  <si>
    <t>thru 23</t>
  </si>
  <si>
    <t>list of promotions AFTER UMAPS residency; last updated 1/20/2021 HF</t>
  </si>
  <si>
    <t>thru 71</t>
  </si>
  <si>
    <t>Research Residency- Andrew W. Mellon Early Careers Fellowship</t>
  </si>
  <si>
    <t xml:space="preserve">She is investigating indegenous environmental wisdom of the Baganda in folktales. </t>
  </si>
  <si>
    <t>Gerard</t>
  </si>
  <si>
    <t xml:space="preserve">•[NIH Grant NCI:P30:CA046592-S1] in collaboration with a team from the University of Michigan Cancer Center for a supplementary research in Pathogenetics of HIV Related Head and Neck Cancers: Tools for Translational Cancer Care in LMIC (2015).                                                                              •Grant Award of $50,000 from University of Michigan, African Studies Center for Biomedical Research in Head and Neck Squamous Cell Cancers (November 2014).
</t>
  </si>
  <si>
    <r>
      <rPr/>
      <t xml:space="preserve">Research Grants: 2012: Udofia, E. A. (PI), Gulis, G., Fobil, J. N; Building Stronger Universities in Developing Countries – Platform for Human Health; PhD research: A Study of Solid Medical Waste at the Community Level: Generation and Collection from Households, Traditional Birth Attendants (TBAs) and Chemical Shop Vendors (CSVs) and Impacts on Health; Aims to investigate the management of solid medical waste at community level; US$ 86,879 (amount available to candidate: US$ 61,603.42).                                                                                                                                                              </t>
    </r>
    <r>
      <rPr>
        <b/>
      </rPr>
      <t>Academic Awards                                                                                                                                                                                                                                            •</t>
    </r>
    <r>
      <rPr/>
      <t xml:space="preserve">Best Part II candidate in Public Health, National Postgraduate Medical College of Nigeria (September, 2004 - convocation)                                                        • Building Stronger Universities (BSU)-Platform for Human Health Fellowship Award for PhD in Public Health; 01/08/2012 – 08/2016; Department of Biological, Environmental and Occupational Health Sciences, School of Public Health, University of Ghana, Legon, Ghana     </t>
    </r>
    <r>
      <rPr>
        <b/>
      </rPr>
      <t xml:space="preserve">                                    Fellowships</t>
    </r>
    <r>
      <rPr/>
      <t xml:space="preserve">                                                                                                                                                                                                                                                 •University of Michigan African Presidential Scholar (2012-2013) (Contact: Prof. Kelly Askew, Director, African Studies Center International Institute, University of Michigan, USA).</t>
    </r>
  </si>
  <si>
    <t xml:space="preserve">Nansubuga </t>
  </si>
  <si>
    <t xml:space="preserve">Elizabeth </t>
  </si>
  <si>
    <t>international grant worth 86,380 USD for a project titled: Socio-Cultural Dynamics of COVID-19 Transmission among Long Distance Truck Drivers and their contacts in East Africa: Evidence to inform Policy and Programming Response</t>
  </si>
  <si>
    <t>Complete UMAPS/Moody (SAIO) alumni/current listing (last updated 1/27/2021 HF)</t>
  </si>
  <si>
    <t>A Decade in the Politics of Heritage 'Democratisation': The South African Heritage Resources Agency, 1999-2009</t>
  </si>
  <si>
    <t>PhD (U Zululand), Biochemistry</t>
  </si>
  <si>
    <t>Kelly Askew (DAAS)</t>
  </si>
  <si>
    <t>Ikpo, Chinwe</t>
  </si>
  <si>
    <t>PhD (YEAR, UWC) Chemistry</t>
  </si>
  <si>
    <t xml:space="preserve">PhD (YEAR, UCT) Environmental and Geographical Science </t>
  </si>
  <si>
    <t>Jim Adams (Economics)</t>
  </si>
  <si>
    <t>F20</t>
  </si>
  <si>
    <t>W21</t>
  </si>
  <si>
    <t>Ogujiuba</t>
  </si>
  <si>
    <t>Kanayo</t>
  </si>
  <si>
    <t>University of Mpumalanga</t>
  </si>
  <si>
    <t>Jim Adams (LSA: Economics)</t>
  </si>
  <si>
    <t>Business Success Factors of SMEs in SA: Case study of Entrepreneurs in Mpumalanga Province</t>
  </si>
  <si>
    <t>organized by Univ (1st), cohort (2nd) and alpha (3th)</t>
  </si>
  <si>
    <t>last updated 4/20/2021 by HF</t>
  </si>
  <si>
    <t>Institution (incoming UMAPS)</t>
  </si>
  <si>
    <t>new institution if changed</t>
  </si>
  <si>
    <t>study democracy and elections in post cold war Africa: electoral politics in Ghana's Fourth Republic</t>
  </si>
  <si>
    <t>research the music, ritual and drama of Nungua Kplejoo religious festivals</t>
  </si>
  <si>
    <t>stephensjudith@yahoo.com</t>
  </si>
  <si>
    <t>research on malaria infection and immunity</t>
  </si>
  <si>
    <t xml:space="preserve">evandyck@ug.edu.gh; efuav@yahoo.com
</t>
  </si>
  <si>
    <t>investigate the use and enforcement of health and safety regulations for garment production environments in Ghana</t>
  </si>
  <si>
    <t>wngblerkpor@ug.edu.gh; wgblerkpor@gmail.com</t>
  </si>
  <si>
    <t xml:space="preserve">PhD U Texas (Archaeology), May 2017 (per email 7/17/2017) </t>
  </si>
  <si>
    <t>Ford Fellowship Scholar at U Texas, Austin; use of drone technology in archaeological research</t>
  </si>
  <si>
    <t>mawuli_gyakobo@yahoo.com</t>
  </si>
  <si>
    <t>PhD U Ghana, 2009 (Public Health); PhD conferred during UMAPS tenure</t>
  </si>
  <si>
    <t xml:space="preserve">chair of Tetteh Quarshie Memorial Hospital Mgmt Committee and Superintendent Memorial Hospital, Akuapem-Mampong; post-doc fellowship U-M Global Health, 2011; Post-doc fellowship San Diego Institute for Palliative Medicine, 2012; International Pain Policy Fellowship at U Wisconsin-Madison, 2014-15 </t>
  </si>
  <si>
    <r>
      <rPr>
        <rFont val="Arial"/>
        <color rgb="FF000000"/>
        <sz val="11.0"/>
      </rPr>
      <t xml:space="preserve">PhD Nov 2016 (Coventry U, UK) </t>
    </r>
    <r>
      <rPr>
        <rFont val="Arial"/>
        <color rgb="FF000000"/>
        <sz val="11.0"/>
      </rPr>
      <t>confirmed on 7/12/2017</t>
    </r>
  </si>
  <si>
    <t>U Pittsburgh</t>
  </si>
  <si>
    <t>PhD U Pittsburgh, 2016</t>
  </si>
  <si>
    <t>PhD is in Biomedical Informatics</t>
  </si>
  <si>
    <t>emiliaudf@yahoo.com</t>
  </si>
  <si>
    <t>233 024 64184 58</t>
  </si>
  <si>
    <t>PhD in Public Health, Univ Ghana (UG), awarded Nov 2016, per email to HF 07/13/17</t>
  </si>
  <si>
    <t xml:space="preserve">PhD awarded July 8, 2017 </t>
  </si>
  <si>
    <t>snnkumbaan@gmail.com</t>
  </si>
  <si>
    <t xml:space="preserve">PhD 2016, UG </t>
  </si>
  <si>
    <t>MBChB (U Ghana), Medicine; FWACP (W Afr College of Physicians post-grad program, 2005)</t>
  </si>
  <si>
    <t>Philip Zazove; Katy Gold</t>
  </si>
  <si>
    <t xml:space="preserve">Gifty </t>
  </si>
  <si>
    <t>now a department chair at KNUST, per email from David Sherman to KS on 10/24/2017. Also note: PhD research built on work started w/David Sherman (Neurodegenerative Diseases) and was funded by German Academic Exchange Service</t>
  </si>
  <si>
    <t>ofaking1@yahoo.co.uk</t>
  </si>
  <si>
    <t>Updated bio Oct 2017: Was promoted to Senior Lecturer and Head of Department. Long-term goals include developing a molecular database for antibiotic resistant enteric pathogens and to set up enteric disease molecular surveillance systems in Ghana.</t>
  </si>
  <si>
    <t>Enhancing Medical Science Education in Ghana: Development of Interactive Design Template Models for OER</t>
  </si>
  <si>
    <t>sent email about PhD status: no answer rec'd; still Mr on KNUST website Oct 2017</t>
  </si>
  <si>
    <t>PhD is in Painting (College of Art); per email to HF in Dec 2017: still lecturer, and also serves as a Moderator to Radford University College Accra, Ghana  (affiliated to KNUST) in charge of the Bsc Graphic Design Program 2012--2018</t>
  </si>
  <si>
    <t>Promoted to Associate Prof in 2011 (Pharmacognosy, KNUST); Rec'd certificate in Logistics and Supply Chain Management in Health Commodities (USAID/DELIVER) in 2013; Rec'd "Building Stronger Universities Work Package II Pilot Studies" thru U Copenhagen/KNUST program on “Antimicrobial Resistance” in 2016; DAAD sponsored Academic visit to the Lab of Prof Dr Michael Spiteller Infu, U of Technology, Dortmund, Germany in 2015; Awarded African Studies seed grant to research "Ethnopharmaceutical investigation of the treatment of Buruli ulcers in sub-Saharan Africa" between Apr 2013- March 2014; Awarded Commonwealth Fellowship, University of Bradford, West Yorkshire, United Kingdom, for study Mar 2012-Aug 2012.</t>
  </si>
  <si>
    <t>PhD 2016, KNUST</t>
  </si>
  <si>
    <t>Characterization of fatty acids using spectroscopic and chromatographic methods and rubber biosynthetic pathways</t>
  </si>
  <si>
    <t>PhD 2015, KNUST</t>
  </si>
  <si>
    <t>Duku</t>
  </si>
  <si>
    <t>see succes story on UMAPS page; currently doing research on STEM-Africa seed grant awarded to Andrew Campbell; Nov 2017 update: currently PhD candidate in UK</t>
  </si>
  <si>
    <t>PhD 2015, KNUST, Bioengineering</t>
  </si>
  <si>
    <t>formulation, physiocochemical evaluation and bioavailability assessment of rectal suppositories of selected antimalarial medicines</t>
  </si>
  <si>
    <t>PhD 2016, KNUST, Pharmaceutics</t>
  </si>
  <si>
    <t>krisobiri@yahoo.com</t>
  </si>
  <si>
    <t>Veronica</t>
  </si>
  <si>
    <t xml:space="preserve">vmdzomeku@gmail.com </t>
  </si>
  <si>
    <t>pcobbinah@csu.edu.au</t>
  </si>
  <si>
    <t>daminu.cass@knust.edu.gh</t>
  </si>
  <si>
    <t>Seed grant funding req rec'd Feb 2017, listing him as Dr</t>
  </si>
  <si>
    <t>incoming as PhD candidate, finished some time afterward (per email Rebecca Hardin accompanying his Seed Grant funding request Feb 2017)</t>
  </si>
  <si>
    <t>sent email about PhD status: expects to finish Sept 2017 (in email to SS on 03/25/17)</t>
  </si>
  <si>
    <t>currently in PhD program in School of Psychology and Social Science at the Edith Cowan U in Western Australia; other update, in email to SS on 03/25/17:established a school, Global Educational Institute (GEI), at Nkawkaw, in the Eastern Region</t>
  </si>
  <si>
    <t xml:space="preserve">senyoadzei@gmail.com </t>
  </si>
  <si>
    <t>PhD candidate at UG; PhD in progress prior to UMAPS residency</t>
  </si>
  <si>
    <t>PhD 2014, UWC (Public Policy and Administration)</t>
  </si>
  <si>
    <t>Updated CV Oct 2017: Serves as Postgraduate Coordinator of Graduate Programmes, Faculty of Planning and Land Management, at U Development Studies (UDS), Ghana, 2017-2018; Member of the Academic Board, UDS, 2015-2018; CODESRIA post-doctoral fellow, 2016; Advanced Research Institutes Fellow in Population and Development at Brown, 2015; Visiting Lecturer at Bonn-Rhein-Sieg University of Applied Sciences, Germany, 2015--now; Population Reference Bureau’s Policy Communication Fellow, Washington, 2014-2015</t>
  </si>
  <si>
    <t>PhD 2016, UDS</t>
  </si>
  <si>
    <t>MBChB is terminal degree in this field</t>
  </si>
  <si>
    <t>last updated 20/4/2021 by HF</t>
  </si>
  <si>
    <t>deceased</t>
  </si>
  <si>
    <t>NOW DECEASED (2019); Accepted position as Head of Department at Nelson Mandela Metropolitan University in Port Elizabeth in 2014</t>
  </si>
  <si>
    <t>service learning, the critical reflection process, and ways of knowing</t>
  </si>
  <si>
    <t>complete PhD thesis on the social, cultural and historical aspects of Raditladi's poetry</t>
  </si>
  <si>
    <t>Now at UP</t>
  </si>
  <si>
    <t xml:space="preserve">annetoguttu@gmail.com </t>
  </si>
  <si>
    <t>investigate the challenges of taxing profits attributed to permanent establishments in South Africa</t>
  </si>
  <si>
    <t>now at West Chester U</t>
  </si>
  <si>
    <t>leahzbndanga@yahoo.com</t>
  </si>
  <si>
    <t>analyze optimal institutional arrangement in wine supply chains: the case of "Black Brands" in SA wine industry</t>
  </si>
  <si>
    <t>MSc Purdue, 2012 (Agribusiness); currently @Umass-Amherst, PhD program in Strategic Management</t>
  </si>
  <si>
    <t>now at U Limpopo</t>
  </si>
  <si>
    <t>mahunele.thotse@ul.ac.za</t>
  </si>
  <si>
    <t>investigate the significance of commemorative monuments/names in promoting a sense of national cohesion</t>
  </si>
  <si>
    <t xml:space="preserve">acting director of HPRD; per January 2017, Lecturer in History Education, Department of Languages and Social Sciences, University of Limpopo </t>
  </si>
  <si>
    <t>now in private practice</t>
  </si>
  <si>
    <t>proposal stage of PhD (incoming)</t>
  </si>
  <si>
    <t>E. Mathagka</t>
  </si>
  <si>
    <t>2009-2010 and 2011-2012</t>
  </si>
  <si>
    <t>U Cape Town</t>
  </si>
  <si>
    <t>now BACK TO UCT (thru CPUT)</t>
  </si>
  <si>
    <t>cecil.madell@uct.ac.za</t>
  </si>
  <si>
    <t>PROMOTED and new job per Aug 2020 (email to HF): Senior Lecturer, Department of Construction Economics and Management, UCT (prev job: Lecturer, Department of Town and Regional Planning at Cape Peninsula University of Technology)</t>
  </si>
  <si>
    <t>then at HSRC, no longer there</t>
  </si>
  <si>
    <t>ingrid.sange@gmail.com</t>
  </si>
  <si>
    <t xml:space="preserve">Period of writing, PhD research, “South African bisexual women’s constructions of their sexuality: A discourse analysis”  &amp;increase knowledge of qual. Methods </t>
  </si>
  <si>
    <t>Now at HSRC (since 2014?); PhD in progress before UMAPS</t>
  </si>
  <si>
    <t>now at UNISA</t>
  </si>
  <si>
    <t>maiths@unisa.ac.za</t>
  </si>
  <si>
    <t>Sambumbu</t>
  </si>
  <si>
    <t>now at Wits: History Education Dept</t>
  </si>
  <si>
    <t>was Harvard South Africa Fellow with the Grad School of Arts and Sciences in 2014-15; currently PhD student at UWC</t>
  </si>
  <si>
    <t>sebibakiba.lekgoathi@wits.ac.za</t>
  </si>
  <si>
    <r>
      <rPr>
        <rFont val="Calibri"/>
        <color rgb="FF000000"/>
        <sz val="12.0"/>
      </rPr>
      <t xml:space="preserve">promoted to Head of Department, Dept of Histt, Wits </t>
    </r>
  </si>
  <si>
    <t>Cape Peninsula U of Technology (CPUT)</t>
  </si>
  <si>
    <t>Now at MSU</t>
  </si>
  <si>
    <t>denmaths@yahoo.com</t>
  </si>
  <si>
    <t>PhD 2016, UCT</t>
  </si>
  <si>
    <t>nic_dewet@yahoo.com</t>
  </si>
  <si>
    <t>received a fellowship under the Global Fellowship Programme of the Berlin Social Science Center and International Social Science Council in 2016 (4 months at WZB, Berlin Soc Sc Cen)</t>
  </si>
  <si>
    <t>musemwa@yahoo.com</t>
  </si>
  <si>
    <t>Water Scarcity: Colonial and Postcolonial Hydraulic Interventions in South-western Matabeleland, Zimbabwe, 1945-1992</t>
  </si>
  <si>
    <t>was promoted to Assistant Dean of Graduate Studies, Faculty of Humanities, Wits</t>
  </si>
  <si>
    <t>now at  Mohammed VI Polytechnic University, Morocco</t>
  </si>
  <si>
    <t>was awarded an ACLS African Humanities Fellowship in 2014-15, a Mercator Fellowship at the U of Halle for 2015-16, and is currently holding a Fung fellowship at the U of Princeton</t>
  </si>
  <si>
    <t>27 (0)18 299 1487</t>
  </si>
  <si>
    <t>now at UJ</t>
  </si>
  <si>
    <t>PhD received prior to starting UMAPS residency. Was promoted to Senior lecturer (per email to HF Nov 2018).</t>
  </si>
  <si>
    <t>Stellenbosch U</t>
  </si>
  <si>
    <r>
      <rPr>
        <rFont val="Calibri"/>
        <color rgb="FFFF0000"/>
        <sz val="12.0"/>
      </rPr>
      <t xml:space="preserve">(44) </t>
    </r>
    <r>
      <rPr>
        <rFont val="Calibri"/>
        <color rgb="FF000000"/>
        <sz val="12.0"/>
      </rPr>
      <t>PhD 2019, Stellenbosch (Economics)</t>
    </r>
  </si>
  <si>
    <t>a.john@ru.ac.za</t>
  </si>
  <si>
    <t>guvuriros@ufs.ac.za</t>
  </si>
  <si>
    <t>Kanayo.Ogujiuba@ump.ac.za</t>
  </si>
  <si>
    <t>morlee2002@yahoo.com</t>
  </si>
  <si>
    <t xml:space="preserve">Rebuilding Social Capital within the Context of Peace, Security, Gender and Dev.  </t>
  </si>
  <si>
    <t>Deceased</t>
  </si>
  <si>
    <t xml:space="preserve">Ken </t>
  </si>
  <si>
    <t>Class J Radio Frequency Power Amplifier at Hight Frequency &amp; Microwave Filters Design</t>
  </si>
  <si>
    <t>e_johnny53@yahoo.com ednagjohnny@yahoo.com</t>
  </si>
  <si>
    <t>PhD in progress following UMAPS</t>
  </si>
  <si>
    <t>currently (sep 2016) PhD candidate in Agricultural Economics at Makerere U, Uganda</t>
  </si>
  <si>
    <r>
      <rPr>
        <rFont val="Arial"/>
        <color rgb="FF000000"/>
        <sz val="11.0"/>
      </rPr>
      <t xml:space="preserve">promoted to Chair, Dept. of Chemistry, College of Science &amp; Technology, U. Liberia; currently (2016) PhD candidate in Environmental Health at Indiana University, </t>
    </r>
    <r>
      <rPr>
        <rFont val="Arial"/>
        <b/>
        <color rgb="FF000000"/>
        <sz val="11.0"/>
      </rPr>
      <t>expected PhD completion: 2019</t>
    </r>
  </si>
  <si>
    <t>Incoming position: Head of Department</t>
  </si>
  <si>
    <t>W Clay Brown (Life Sciences Institute)</t>
  </si>
  <si>
    <t>PhD (YEAR, University of Ilorin, Nigeria) Applied Mathematics</t>
  </si>
  <si>
    <t>dsydavid@ieee.org</t>
  </si>
  <si>
    <t>Hena</t>
  </si>
  <si>
    <t>admitted to Chemistry PhD program after UMAPS completion</t>
  </si>
  <si>
    <t>mflomo1989@gmail.com</t>
  </si>
  <si>
    <t>Aga Khan University-Uganda</t>
  </si>
  <si>
    <t>muhoozicc@gmail.com; cmuhoozi@umich.edu</t>
  </si>
  <si>
    <t>Mary Wright (CRLT)</t>
  </si>
  <si>
    <t xml:space="preserve">Mulekya Francis </t>
  </si>
  <si>
    <t>PhD in Literature, Stellenbosch U, SA, Dec 2017</t>
  </si>
  <si>
    <t>jnakigudde@chs.mak.ac.ug janetnakigudde@gmail.com</t>
  </si>
  <si>
    <t>was awarded a medal at the last 2015 Uganda International Women’s day cerebrations as one of the Ugandan women achievers, for her work during the 2013 Ebola and Maburg virus outbreaks in Uganda in 2012-13</t>
  </si>
  <si>
    <t>not enrolled in PhD program during UMAPS, is currently exploring options</t>
  </si>
  <si>
    <t>developed and submitted a PhD proposal during UMAPS, currently PhD student at U of Kessel, Germany</t>
  </si>
  <si>
    <t xml:space="preserve">PhD in Population Studies, North-West University, South Africa, May 2016  </t>
  </si>
  <si>
    <t>PhD candidate in Media Studies, U Oslo, Norway (PhD in progress prior to UMAPS residency)</t>
  </si>
  <si>
    <t>Brisa Sanchez (Biostatistics, Public Health)</t>
  </si>
  <si>
    <t>odurbenard@yahoo.com</t>
  </si>
  <si>
    <t xml:space="preserve">PhD (Northwestern U) History </t>
  </si>
  <si>
    <t xml:space="preserve">Makerere </t>
  </si>
  <si>
    <t>jbimokola@chuss.mak.ac.ug</t>
  </si>
  <si>
    <t xml:space="preserve">in 2015, LUC was renamed Lira University (LU) </t>
  </si>
  <si>
    <t>PhD granted 2017 (per email to ASC on 03/02/17)</t>
  </si>
  <si>
    <t xml:space="preserve">in 2015, LUC was renamed Lira University (LU); PhD in progress prior to UMAPS residency (PhD candidate at Makerere); received ACLS African Humanities Program Dissertation Fellowship in 2016 </t>
  </si>
  <si>
    <t>currently PhD candidate at Makerere</t>
  </si>
  <si>
    <t>ngabiranoe2002@yahoo.com</t>
  </si>
  <si>
    <t>currently PhD student at Makerere (MISR) (year of entry: 2015)</t>
  </si>
  <si>
    <t>PhD (Wits) Animal, Plant, and Environmental Sciences</t>
  </si>
  <si>
    <t>musacot@gmail.com</t>
  </si>
  <si>
    <t xml:space="preserve">Tshimba </t>
  </si>
  <si>
    <t>Uganda Martyrs U.</t>
  </si>
  <si>
    <t>Transgressing the State: An Inquiry into Violence in the Rwenzori Borderlands, ca.
1830 – 1998</t>
  </si>
  <si>
    <t>PhD in progress prior to UMAPS (Makerere, ISR) (Political Studies and History)</t>
  </si>
  <si>
    <t>last updated 23/2/2020 by HF</t>
  </si>
  <si>
    <t>Discipline/ Degree (incoming)</t>
  </si>
  <si>
    <t>Mike McGovern (LSA, Anthro)</t>
  </si>
  <si>
    <t>Sofia Merajver (Medicine and SPH)</t>
  </si>
  <si>
    <t>Nancy Love; Krista Wigginton (CoE)</t>
  </si>
  <si>
    <t>endalehadgu@yahoo.com; egebregz@umich.edu</t>
  </si>
  <si>
    <t xml:space="preserve">PhD in Biochemistry, Addis Ababa U School of Medicine, 7/28/2017 per email to KA </t>
  </si>
  <si>
    <t>Belete</t>
  </si>
  <si>
    <t>dagnachew2@gmail.com</t>
  </si>
  <si>
    <t>Judith Irvine (Anthropology)/ Daniel Herwitz (History of Art/ Comp Lit)</t>
  </si>
  <si>
    <t>PhD in progress prior to UMAPS (joint betw/ Emory and AAU)</t>
  </si>
  <si>
    <t>not enrolled in PhD program</t>
  </si>
  <si>
    <t>Brad Zebrack (Social Work)</t>
  </si>
  <si>
    <t>hayal.desta@aau.edu.et</t>
  </si>
  <si>
    <t>PhD (Bahir Dar U and International Center for Theoretical Physics, Italy; 2014) Space Physics</t>
  </si>
  <si>
    <t>Mark Moldwin (Climate and Space Engineering, CoE)</t>
  </si>
  <si>
    <t>Debre Markos University</t>
  </si>
  <si>
    <t>currently PhD candidate at AAU</t>
  </si>
  <si>
    <t>MSc (AAU), Pharmacology</t>
  </si>
  <si>
    <t>Srijan Sen (Psychiatry, Med School)</t>
  </si>
  <si>
    <t>Pharmacogenetics and neuropharmacology, w/focus on pharmacogenetic predictors of antidepressant drug response</t>
  </si>
  <si>
    <t>PhD candidate at AAU; PhD in progress prior to UMAPS residency</t>
  </si>
  <si>
    <t>Mestewat</t>
  </si>
  <si>
    <t>MSc (AAU), Medical Biochemistry</t>
  </si>
  <si>
    <t>MSc (AAU) Physiology</t>
  </si>
  <si>
    <t>jima@sphmmc.edu.et</t>
  </si>
  <si>
    <t>MA (Addis Ababa) Geography and Environmental Studies</t>
  </si>
  <si>
    <t>Rebecca Hardin (SEAS)</t>
  </si>
  <si>
    <t>meseretkassie@gmail.com</t>
  </si>
  <si>
    <t>Ethiopia stats</t>
  </si>
  <si>
    <t>First Ethiopia UMAPS</t>
  </si>
  <si>
    <t xml:space="preserve">Ethiopian UMAPS alumni </t>
  </si>
  <si>
    <t>7F</t>
  </si>
  <si>
    <t>18M</t>
  </si>
  <si>
    <t>(includes 2 ppl in deferred 2020-21 cohort)</t>
  </si>
  <si>
    <t>Institutional Affliation</t>
  </si>
  <si>
    <t>(1 in deferred 2020-21 cohort)</t>
  </si>
  <si>
    <t>U Gondar</t>
  </si>
  <si>
    <t>U-M mentors/hosts from</t>
  </si>
  <si>
    <t>Architecture and Urban Planning</t>
  </si>
  <si>
    <t>(Urban planning)</t>
  </si>
  <si>
    <t>(Chemical Engineering; Civil and Environmental Engineering; Climate and Space Engineering; Electrical Engineering and Computer Science)</t>
  </si>
  <si>
    <t>LSA</t>
  </si>
  <si>
    <t>(1 in deferred 2020-21 cohort. Afroamerican and African Studies: Anthropology; Art History; Comparative Literature)</t>
  </si>
  <si>
    <t>Michigan Medicine</t>
  </si>
  <si>
    <t>(Cardiovascular Medicine; Internal Medicine; Otorhinolaryngology and Pharmacology; Psychiatry; Surgery)</t>
  </si>
  <si>
    <t>SEAS</t>
  </si>
  <si>
    <t>SMTD</t>
  </si>
  <si>
    <t>(Theater)</t>
  </si>
  <si>
    <t>SPH</t>
  </si>
  <si>
    <t>Mimiafou</t>
  </si>
  <si>
    <t>U Buea (Cameroon)</t>
  </si>
  <si>
    <t>U Yaounde (Cameroon)</t>
  </si>
  <si>
    <t>Dan Burns; Nkem Khumbah</t>
  </si>
  <si>
    <t>U Kinshasa (DRC)</t>
  </si>
  <si>
    <t>leon_tsambu@yahoo.com</t>
  </si>
  <si>
    <t>U. Sci Tech Masuku (Gabon)</t>
  </si>
  <si>
    <t>U Ibadan (Nigeria)</t>
  </si>
  <si>
    <t>Covenant U (Nigeria)</t>
  </si>
  <si>
    <t>PhD (Federal U Agriculture, Abeokuta, Nigeria) Biochemistry (toxology)</t>
  </si>
  <si>
    <t>tolulope.olawole@covenantuniversity.edu.ng</t>
  </si>
  <si>
    <t>Popoola</t>
  </si>
  <si>
    <t>Rosemary</t>
  </si>
  <si>
    <t>Political Science and International Relations</t>
  </si>
  <si>
    <t>Amal Fadlalla and Omolade Adunbi (both LSA: DAAS)</t>
  </si>
  <si>
    <t>popoolarosemary@gmail.com</t>
  </si>
  <si>
    <t>“Say Yes to Amaechi”: Artists, Popular Culture, and Political Participation in Nigeria, 1999-2018</t>
  </si>
  <si>
    <t>Nnamdi Azikiwe U (Nigeria)</t>
  </si>
  <si>
    <t xml:space="preserve">M </t>
  </si>
  <si>
    <r>
      <rPr>
        <rFont val="Calibri"/>
        <color rgb="FF000000"/>
        <sz val="12.0"/>
      </rPr>
      <t xml:space="preserve">Completing book Ms </t>
    </r>
    <r>
      <rPr>
        <rFont val="Calibri"/>
        <i/>
        <color rgb="FF000000"/>
        <sz val="12.0"/>
      </rPr>
      <t>The Ubiquitous Image: Obituary Photographs in S-E Nigeria</t>
    </r>
  </si>
  <si>
    <t>Kwara State U. Malete (Nigeria)</t>
  </si>
  <si>
    <t>otunkabir2705@gmail.com</t>
  </si>
  <si>
    <t>PhD in progress prior to UMAPS (UNISA) (focus on Heterogeneous Catalysis)</t>
  </si>
  <si>
    <t xml:space="preserve">PhD (YEAR, Ebonyi State University, Nigeria) Counseling Psychology </t>
  </si>
  <si>
    <t>afamval@yahoo.com</t>
  </si>
  <si>
    <t>U Dodoma (Tanzania)</t>
  </si>
  <si>
    <t>audreykalindi@gmail.com</t>
  </si>
  <si>
    <t>enrolled in PhD program post-UMAPS: Australian U, Melbourne, Australia</t>
  </si>
  <si>
    <t>Running count of DIFFERENT INSTITUTIONS, Last updated by HF 20/4/2021</t>
  </si>
  <si>
    <t># of Universities</t>
  </si>
  <si>
    <t>University of Ghana</t>
  </si>
  <si>
    <t>Political science</t>
  </si>
  <si>
    <t>Occupational Health</t>
  </si>
  <si>
    <t>University of the Free State (UFS)</t>
  </si>
  <si>
    <t>Political Science</t>
  </si>
  <si>
    <t>University of KwaZulu-Natal (UKZN)</t>
  </si>
  <si>
    <t>Psychology</t>
  </si>
  <si>
    <t>University of South Africa (UNISA)</t>
  </si>
  <si>
    <t>African Literature</t>
  </si>
  <si>
    <t>Tax Law</t>
  </si>
  <si>
    <t>oguttaw@unisa.ac.za</t>
  </si>
  <si>
    <t>University of Pretoria (UP)</t>
  </si>
  <si>
    <t>wgblerkpor@gmail.com</t>
  </si>
  <si>
    <t>Health Services Planning and Management</t>
  </si>
  <si>
    <t>Kwame Nkrumah University of Science and Technology (KNUST)</t>
  </si>
  <si>
    <t>Environmental Science</t>
  </si>
  <si>
    <t xml:space="preserve">University of the Witwatersrand (WITS) </t>
  </si>
  <si>
    <t>University of Liberia</t>
  </si>
  <si>
    <t>University of Cape Town (UCT)</t>
  </si>
  <si>
    <t>2009-2010 and 2010-2011</t>
  </si>
  <si>
    <t>madellc@cput.ac.za</t>
  </si>
  <si>
    <t>Clinical Microbiology</t>
  </si>
  <si>
    <t>Art and Design</t>
  </si>
  <si>
    <t>Enhancing Medical Science Education in Ghana: Dev.  of Interactive Design Template Models for OER</t>
  </si>
  <si>
    <t>Languages and Literature</t>
  </si>
  <si>
    <t>University of Venda</t>
  </si>
  <si>
    <t>Community  Development</t>
  </si>
  <si>
    <t>Educational Psychology</t>
  </si>
  <si>
    <t>Forest Industries</t>
  </si>
  <si>
    <t>Pharmacognosy</t>
  </si>
  <si>
    <t>University of Cape Coast (UCC)</t>
  </si>
  <si>
    <t>Development Studies</t>
  </si>
  <si>
    <t>University of the Western Cape (UWC)</t>
  </si>
  <si>
    <t>Public History</t>
  </si>
  <si>
    <t>Curriculum Studies</t>
  </si>
  <si>
    <t>jltamba2006@yahoo.com</t>
  </si>
  <si>
    <r>
      <rPr>
        <rFont val="Calibri"/>
        <color rgb="FF0000FF"/>
        <sz val="12.0"/>
        <u/>
      </rPr>
      <t>adyeeristate@hotmail.com</t>
    </r>
    <r>
      <rPr>
        <rFont val="Calibri"/>
        <color rgb="FF0000FF"/>
        <sz val="12.0"/>
        <u/>
      </rPr>
      <t xml:space="preserve"> or </t>
    </r>
    <r>
      <rPr>
        <rFont val="Calibri"/>
        <color rgb="FF0000FF"/>
        <sz val="12.0"/>
        <u/>
      </rPr>
      <t>state@ss.mak.ac.ug</t>
    </r>
  </si>
  <si>
    <t>Pharmaceutical Microbiology</t>
  </si>
  <si>
    <t>Evolutionary Biology</t>
  </si>
  <si>
    <t>Mathematics</t>
  </si>
  <si>
    <t>francisbmf@yahoo.com.uk</t>
  </si>
  <si>
    <t>Literature</t>
  </si>
  <si>
    <t>Pharmaceutics</t>
  </si>
  <si>
    <t>African Studies</t>
  </si>
  <si>
    <t>Biomedical Science</t>
  </si>
  <si>
    <t xml:space="preserve">Environmental Engineering </t>
  </si>
  <si>
    <t>University of Development Studies (UDS)</t>
  </si>
  <si>
    <t>Public Policy</t>
  </si>
  <si>
    <t>Women's and Gender Studies</t>
  </si>
  <si>
    <t>Physical Chemistry</t>
  </si>
  <si>
    <t>Mountains of the Moon University</t>
  </si>
  <si>
    <t>Agricultural and Extension Education</t>
  </si>
  <si>
    <t>jboat2009@gmail.com</t>
  </si>
  <si>
    <t>Archaeology and Heritage Studies</t>
  </si>
  <si>
    <t>Molecular Medicine</t>
  </si>
  <si>
    <t>Anatomic Pathology</t>
  </si>
  <si>
    <t>Cape Peninsula University of Technology</t>
  </si>
  <si>
    <t xml:space="preserve">English </t>
  </si>
  <si>
    <t>University of Fort Hare</t>
  </si>
  <si>
    <t xml:space="preserve">Nursing </t>
  </si>
  <si>
    <t>Applied Mathematics</t>
  </si>
  <si>
    <t>Politics and International Relations</t>
  </si>
  <si>
    <t>aniang@gmail.com</t>
  </si>
  <si>
    <t>Mining Engineering</t>
  </si>
  <si>
    <t>Psychiatry</t>
  </si>
  <si>
    <t>Renewable Energy</t>
  </si>
  <si>
    <t>Population Health</t>
  </si>
  <si>
    <t>Lira University</t>
  </si>
  <si>
    <t>Microbiology</t>
  </si>
  <si>
    <t>Medical Biochemistry</t>
  </si>
  <si>
    <t>University of Buea</t>
  </si>
  <si>
    <t>Université de Yaoundé</t>
  </si>
  <si>
    <t>Université de Kinshasa</t>
  </si>
  <si>
    <t>University of Dodoma</t>
  </si>
  <si>
    <t xml:space="preserve">Natural Resource Management </t>
  </si>
  <si>
    <t>Pharmacology</t>
  </si>
  <si>
    <t>North-West University</t>
  </si>
  <si>
    <t>English</t>
  </si>
  <si>
    <t>Cuttington University</t>
  </si>
  <si>
    <t>Material Science and Engineering</t>
  </si>
  <si>
    <t>Media Studies</t>
  </si>
  <si>
    <t xml:space="preserve">Computer  Engineering </t>
  </si>
  <si>
    <t>Cultural Studies</t>
  </si>
  <si>
    <t>University of Ibadan</t>
  </si>
  <si>
    <t>Rona Carter</t>
  </si>
  <si>
    <t>Plant Biotechnology</t>
  </si>
  <si>
    <t>Biostatistics</t>
  </si>
  <si>
    <t xml:space="preserve">History </t>
  </si>
  <si>
    <t>Environmental Sciences</t>
  </si>
  <si>
    <t>Philosophy</t>
  </si>
  <si>
    <t>Space Physics</t>
  </si>
  <si>
    <t>Physiology</t>
  </si>
  <si>
    <t xml:space="preserve">Biochemistry </t>
  </si>
  <si>
    <t>Central University</t>
  </si>
  <si>
    <t>Human Geography</t>
  </si>
  <si>
    <t>Stellenbosch University</t>
  </si>
  <si>
    <t xml:space="preserve">Literature </t>
  </si>
  <si>
    <t>Uganda Martyrs University</t>
  </si>
  <si>
    <t>Theater</t>
  </si>
  <si>
    <t xml:space="preserve">Geography </t>
  </si>
  <si>
    <t>Université des Sciences et Techniques de Masuku (USTM)</t>
  </si>
  <si>
    <t>Molecular Biology</t>
  </si>
  <si>
    <t>Nnamdi Azikiwe University</t>
  </si>
  <si>
    <t>Visual History</t>
  </si>
  <si>
    <r>
      <rPr>
        <rFont val="Calibri"/>
        <color rgb="FF000000"/>
        <sz val="12.0"/>
      </rPr>
      <t xml:space="preserve">Completing book Ms </t>
    </r>
    <r>
      <rPr>
        <rFont val="Calibri"/>
        <i/>
        <color rgb="FF000000"/>
        <sz val="12.0"/>
      </rPr>
      <t>The Ubiquitous Image: Obituary Photographs in S-E Nigeria</t>
    </r>
  </si>
  <si>
    <t>Kwara State University Malete</t>
  </si>
  <si>
    <t>kabir.otun@kwasu.edu.ng</t>
  </si>
  <si>
    <t xml:space="preserve">Environmental Sciences </t>
  </si>
  <si>
    <t xml:space="preserve">Chemistry </t>
  </si>
  <si>
    <t xml:space="preserve">Journalism </t>
  </si>
  <si>
    <t>Chukwuemeka Odumegwu Ojukwu University</t>
  </si>
  <si>
    <t xml:space="preserve">Counseling Psychology </t>
  </si>
  <si>
    <t>Rongo University</t>
  </si>
  <si>
    <t>University of Malawi</t>
  </si>
  <si>
    <t>2022-2023</t>
  </si>
  <si>
    <t xml:space="preserve">Awori </t>
  </si>
  <si>
    <t>All Universities home to UMAPS scholars and alumni, institution at time of application; last modified 9/9/2020 HF</t>
  </si>
  <si>
    <t>Organized alphabetically, all countries</t>
  </si>
  <si>
    <t>University (Acronym)</t>
  </si>
  <si>
    <t>City (State), Country</t>
  </si>
  <si>
    <t>Addis Ababa, Ethiopia</t>
  </si>
  <si>
    <t>Kampala, Uganda</t>
  </si>
  <si>
    <t>Bahir Dar, Ethiopia</t>
  </si>
  <si>
    <t>Cape Town, South Africa</t>
  </si>
  <si>
    <t>Accra, Ghana</t>
  </si>
  <si>
    <t>Uli Ihiala, Anambra, Nigeria</t>
  </si>
  <si>
    <t>Ota, Ogun, Nigeria</t>
  </si>
  <si>
    <t>Suacoco, Liberia</t>
  </si>
  <si>
    <t>Debre Markos, Ethiopia</t>
  </si>
  <si>
    <t>new 2021-2022</t>
  </si>
  <si>
    <t>Nairobi, Kenya</t>
  </si>
  <si>
    <t>new 2020-2021</t>
  </si>
  <si>
    <t>Kumasi, Ghana</t>
  </si>
  <si>
    <t>Maleta, Kwara, Nigeria</t>
  </si>
  <si>
    <t>Lira, Uganda</t>
  </si>
  <si>
    <t>Fort Portal, Uganda</t>
  </si>
  <si>
    <t>Khartoum, Sudan</t>
  </si>
  <si>
    <t>Awka, Anambra, Nigeria</t>
  </si>
  <si>
    <t>Potchefstroom, South Africa</t>
  </si>
  <si>
    <t>Ife-Ife, Osun, Nigeria</t>
  </si>
  <si>
    <t>Grahamstown, South Africa</t>
  </si>
  <si>
    <t>Rongo, Kenya</t>
  </si>
  <si>
    <t>Stellenbosch, South Africa</t>
  </si>
  <si>
    <t>Kinshasa, DRC</t>
  </si>
  <si>
    <t>Yaounde, Cameroon</t>
  </si>
  <si>
    <t>Buea, Cameroon</t>
  </si>
  <si>
    <t>Cape Coast, Ghana</t>
  </si>
  <si>
    <t>Tamale, Ghana</t>
  </si>
  <si>
    <t>Dodoma, Tanzania</t>
  </si>
  <si>
    <t>Alice, South Africa</t>
  </si>
  <si>
    <t>Bloemfontein, South Africa</t>
  </si>
  <si>
    <t>Gondar, Ethiopia</t>
  </si>
  <si>
    <t>Ibadan, Nigeria</t>
  </si>
  <si>
    <t>Durban, South Africa</t>
  </si>
  <si>
    <t>Monrovia, Liberia</t>
  </si>
  <si>
    <t>Zomba, Malawi</t>
  </si>
  <si>
    <t>Mbombela, South Africa</t>
  </si>
  <si>
    <t>Pretoria, South Africa</t>
  </si>
  <si>
    <t>Franceville, Gabon</t>
  </si>
  <si>
    <t>Johannesburg, South Africa</t>
  </si>
  <si>
    <t>Thohoyandou, South Africa</t>
  </si>
  <si>
    <t>Lusaka, Zambia</t>
  </si>
  <si>
    <t>Scholar's Name</t>
  </si>
  <si>
    <t>Books (Monograph)</t>
  </si>
  <si>
    <t xml:space="preserve"> Book Contribution (Editorial Volume)</t>
  </si>
  <si>
    <t>Peer-Reviewed Article</t>
  </si>
  <si>
    <t>Non-Peer Reviewed Article</t>
  </si>
  <si>
    <t>Peer Reviewed Status Unknown Articles</t>
  </si>
  <si>
    <t>Ofosua Adi-Dako</t>
  </si>
  <si>
    <t xml:space="preserve">1.        Adi-Dako O, Sackeyfio A C, Debrah P, Allotey-Babington G L, 2014, Scientific Formulation of Herbal Medicine, In Sackeyfio A C, Nyarko A, Amoateng P (eds), Development and use of Quality Medicines in Ghana, S, Digibooks, Tema, Ghana, 15-31. 
2.        Allotey-Babington L, Nettey H, Adi-Dako O, 2014, Pharmacotherapy at the extremes of life, In Sackeyfio A C, Nyarko A, Amoateng P (eds), Development and use of Quality Medicines in Ghana, Digibooks , Tema, Ghana, 69-76.
3.        Debrah P, Nettey H, Hinneh J A, Adi-Dako O, 2014, A Cursory look at resistance to antimicrobial agents in Sub-Saharan Africa, In  Sackeyfio A C,  Nyarko A, Amoateng P,(eds), Development and use of Quality Medicines in Ghana, Digibooks, Tema, 77-88. 
</t>
  </si>
  <si>
    <r>
      <rPr/>
      <t xml:space="preserve">1.        Osei-Asare, C., Oppong, E. E., Apenteng, J. A., Adi-Dako, O., Kumadoh, D., Akosua, A. A., &amp; Ohemeng, K. A. (2020). Managing Vibrio cholerae with a local beverage: preparation of an affordable ethanol based hand sanitizer. </t>
    </r>
    <r>
      <rPr>
        <i/>
      </rPr>
      <t>Heliyon</t>
    </r>
    <r>
      <rPr/>
      <t xml:space="preserve">, 6(1), e03105.
2.        Adi-Dako, O., Ofori-Kwakye, K., Frimpong Manso, S., Boakye-Gyasi, M. E., Sasu, C., &amp; Pobee, M. (2016). Physicochemical and antimicrobial properties of cocoa pod husk pectin intended as a versatile pharmaceutical excipient and nutraceutical. </t>
    </r>
    <r>
      <rPr>
        <i/>
      </rPr>
      <t>Journal of Pharmaceutics,</t>
    </r>
    <r>
      <rPr/>
      <t xml:space="preserve"> 2016. 
3.        Adi-Dako, O., Ofori-Kwakye, K., Boakye-Gyasi, M. E., Oppong Bekoe, S., &amp; Okyem, S. (2017). In Vitro Evaluation of Cocoa Pod Husk Pectin as a Carrier for Chronodelivery of Hydrocortisone Intended for Adrenal Insufficiency. </t>
    </r>
    <r>
      <rPr>
        <i/>
      </rPr>
      <t>Journal of Drug Delivery</t>
    </r>
    <r>
      <rPr/>
      <t xml:space="preserve">, 2017.
4.        Adi-Dako, O., Ofori-Kwakye, K., Kukuia, K. K. E., Asiedu-Larbi, J., Nyarko, A. K., Kumadoh, D., &amp; Frimpong, G. (2018). Cocoa Pod Husk Pectin Intended as a Pharmaceutical Excipient Has No Adverse Effects on Haematological Parameters in Sprague Dawley Rats. </t>
    </r>
    <r>
      <rPr>
        <i/>
      </rPr>
      <t>Journal of Pharmaceutics</t>
    </r>
    <r>
      <rPr/>
      <t>, 2018. 
5.        Frimpong, G., Ofori-Kwakye, K., Kuntworbe, N., Buabeng, K. O., Osei, Y. A., Boakye-Gyasi, M. E., &amp; Adi-Dako, O. (2018). Quality Assessment of Some Essential Children’s Medicines Sold in Licensed Outlets in Ashanti Region, Ghana.</t>
    </r>
    <r>
      <rPr>
        <i/>
      </rPr>
      <t xml:space="preserve"> Journal of Tropical Medicine,</t>
    </r>
    <r>
      <rPr/>
      <t xml:space="preserve"> 2018. 
6.        Adi-Dako, O., Oppong Bekoe, S., Ofori-Kwakye, K., Appiah, E., &amp; Peprah, P. (2017). Novel HPLC analysis of hydrocortisone in conventional and controlled-release pharmaceutical preparations.</t>
    </r>
    <r>
      <rPr>
        <i/>
      </rPr>
      <t xml:space="preserve"> Journal of Pharmaceutics</t>
    </r>
    <r>
      <rPr/>
      <t>, 2017 
7.        Adi-Dako O, Ofori-Kwakye K, Kukuia KKE, Asiedu-Larbi J, Nyarko A, Kumadoh D, Osei-Asare C (2018) Subchronic toxicity studies of cocoa pod husk pectin intended as a pharmaceutical excipient in Sprague Dawley rats.</t>
    </r>
    <r>
      <rPr>
        <i/>
      </rPr>
      <t xml:space="preserve"> J Pharm Pharmacogn Res </t>
    </r>
    <r>
      <rPr/>
      <t xml:space="preserve">6(4): 271–284. 
8.        Adi-Dako, O., Ofori-Kwakye, K., Amponsah S. K, Boamah I., Kuntworbe N., Eshun Oppong E., (2018).. Potential of Cocoa Pod Husk Pectin-Based Modified Release Capsules as a Carrier for Chronodelivery of Hydrocortisone in Sprague-Dawley Rats,” </t>
    </r>
    <r>
      <rPr>
        <i/>
      </rPr>
      <t>Journal of Drug Delivery</t>
    </r>
    <r>
      <rPr/>
      <t xml:space="preserve">.
9.        Nettey, H., Allotey-Babington, G. L., Debrah, P., Adi-Dako, O., Shaick, M., Kintoh, I.,&amp; Holison, M. (2014). The Quality and in vitro Efficacy of Amoxicillin/Clavulanic Acid Formulations in the Central Region of Ghana. </t>
    </r>
    <r>
      <rPr>
        <i/>
      </rPr>
      <t>Pharmacology &amp; Pharmacy</t>
    </r>
    <r>
      <rPr/>
      <t xml:space="preserve">, 5(01), 49. 
10.        Allotey-Babington, G. L., Nettey, H., Debrah, P., Adi-Dako, O., Sasu, C., Antwi, A., &amp; Asare, J. (2014). Screening of Several Anti-Infectives for In Vitro Activity against Mycobacterium smegmatis. </t>
    </r>
    <r>
      <rPr>
        <i/>
      </rPr>
      <t>Advances in Microbiology</t>
    </r>
    <r>
      <rPr/>
      <t xml:space="preserve">, 4(16), 1197.)
</t>
    </r>
  </si>
  <si>
    <t>Books (Monographs)</t>
  </si>
  <si>
    <t>Book Contributions (Editorial Volume)</t>
  </si>
  <si>
    <t>Peer-Reviewed Articles</t>
  </si>
  <si>
    <t>Non-Peer Reviewed Articles</t>
  </si>
  <si>
    <t>Kennedy Alatinga</t>
  </si>
  <si>
    <r>
      <rPr>
        <rFont val="Arial"/>
        <color rgb="FF000000"/>
        <sz val="10.0"/>
      </rPr>
      <t>1.Alatinga, R. K. A. &amp; Alatinga, K. A. (2016). Microfinance, women empowerment and improvement in household welfare: Evidence from Ghana.</t>
    </r>
    <r>
      <rPr>
        <rFont val="Arial"/>
        <i/>
        <color rgb="FF000000"/>
        <sz val="10.0"/>
      </rPr>
      <t xml:space="preserve"> Asian Journal of Management Sciences and Economics</t>
    </r>
    <r>
      <rPr>
        <rFont val="Arial"/>
        <color rgb="FF000000"/>
        <sz val="10.0"/>
      </rPr>
      <t xml:space="preserve">, 3 (2), 22-37.                                                                                                                                                                                                                                                                                    2. Alatinga, K.A., &amp; Williams, J.J. (2014). Community Perceptions on the Provision of Quality Health Care in Ghana: The Case of Kassena-Nankana Mutual Health Insurance Scheme. </t>
    </r>
    <r>
      <rPr>
        <rFont val="Arial"/>
        <i/>
        <color rgb="FF000000"/>
        <sz val="10.0"/>
      </rPr>
      <t>Ghana Journal of Development Studies</t>
    </r>
    <r>
      <rPr>
        <rFont val="Arial"/>
        <color rgb="FF000000"/>
        <sz val="10.0"/>
      </rPr>
      <t>, 11(2); 83-99.</t>
    </r>
  </si>
  <si>
    <r>
      <rPr/>
      <t>1.Alatinga, R. K. A., &amp;</t>
    </r>
    <r>
      <rPr>
        <b/>
      </rPr>
      <t xml:space="preserve"> Alatinga, K.A., </t>
    </r>
    <r>
      <rPr/>
      <t xml:space="preserve">(2016). Microfinance, Women Empowerment and Improvement in Household Welfare: Evidence from Ghana. Asian Journal of
Management Science and Economics, 3(2); 22-37. </t>
    </r>
    <r>
      <rPr>
        <color rgb="FFFF0000"/>
      </rPr>
      <t>(moved to peer-reviewed)</t>
    </r>
    <r>
      <rPr/>
      <t xml:space="preserve">
2. §</t>
    </r>
    <r>
      <rPr>
        <b/>
      </rPr>
      <t xml:space="preserve"> Alatinga, K.A.</t>
    </r>
    <r>
      <rPr/>
      <t>, &amp; Williams, J.J. (2014). Community Perceptions on the Provision of Quality Health Care in Ghana: The Case of Kassena-Nankana Mutual Health
Insurance Scheme. Ghana Journal of Development Studies, 11(2); 83-99.</t>
    </r>
    <r>
      <rPr>
        <color rgb="FFFF0000"/>
      </rPr>
      <t>(moved to peer-reviewed)</t>
    </r>
    <r>
      <rPr/>
      <t xml:space="preserve">
3. §</t>
    </r>
    <r>
      <rPr>
        <b/>
      </rPr>
      <t xml:space="preserve"> Alatinga, K.A.</t>
    </r>
    <r>
      <rPr/>
      <t xml:space="preserve"> (2011). An Assessment of the Health Reform Policy Process in Ghana: The Case of the National Health Insurance Policy Process. </t>
    </r>
    <r>
      <rPr>
        <i/>
      </rPr>
      <t>World Journal of Young
Researchers</t>
    </r>
    <r>
      <rPr/>
      <t>; 1(4); 45.</t>
    </r>
    <r>
      <rPr>
        <color rgb="FFFF0000"/>
      </rPr>
      <t xml:space="preserve"> (can't identify)</t>
    </r>
  </si>
  <si>
    <t>Samuel Asare-Nkansah</t>
  </si>
  <si>
    <r>
      <rPr>
        <rFont val="Calibri"/>
        <color rgb="FF000000"/>
        <sz val="11.0"/>
      </rPr>
      <t xml:space="preserve">1. Oppong Kyekyeku J., Adosraku RK., Asare-Nkansah S. (2017). LC-HRESI-MS/MS profiling of isolated flavonoids from the Ghanaian medicinal plant Chlorophora regia (Moraceae). </t>
    </r>
    <r>
      <rPr>
        <rFont val="Calibri"/>
        <i/>
        <color rgb="FF000000"/>
        <sz val="11.0"/>
      </rPr>
      <t>British Journal of Pharmaceutical</t>
    </r>
    <r>
      <rPr>
        <rFont val="Calibri"/>
        <color rgb="FF000000"/>
        <sz val="11.0"/>
      </rPr>
      <t xml:space="preserve"> </t>
    </r>
    <r>
      <rPr>
        <rFont val="Calibri"/>
        <i/>
        <color rgb="FF000000"/>
        <sz val="11.0"/>
      </rPr>
      <t>Research</t>
    </r>
    <r>
      <rPr>
        <rFont val="Calibri"/>
        <color rgb="FF000000"/>
        <sz val="11.0"/>
      </rPr>
      <t xml:space="preserve">, 16(1), 1 – 9, Doi: 10.9734/BJPR/2017/32893 .                                                                                                                                                                                                                                                                                                                                                   2. Brobbey A, Somuah-Asante S., Asare-Nkansah S., Boateng F. O., Ayensu I. (2017). Preliminary phytochemical screening and scientific validation of the anti-diabetic effect of the dried husk of Zea mays L. (corn, poaceae). International </t>
    </r>
    <r>
      <rPr>
        <rFont val="Calibri"/>
        <i/>
        <color rgb="FF000000"/>
        <sz val="11.0"/>
      </rPr>
      <t>Journal of Phytopharmacy,</t>
    </r>
    <r>
      <rPr>
        <rFont val="Calibri"/>
        <color rgb="FF000000"/>
        <sz val="11.0"/>
      </rPr>
      <t xml:space="preserve"> 7(1); 1-5; doi: dx.doi.org/10.7439/ijpo.                                                                                                                                                                                                                                                                         3. Asare-Nkansah S., Schepmann D., Wünsch B. (2017). Synthesis of conformationally restricted 1,3-dioxanes to analyse the bioactive conformation of 1,3-dioxane-based s1 and PCP receptor antagonists. </t>
    </r>
    <r>
      <rPr>
        <rFont val="Calibri"/>
        <i/>
        <color rgb="FF000000"/>
        <sz val="11.0"/>
      </rPr>
      <t>Bioorganic and Medicinal Chemistry</t>
    </r>
    <r>
      <rPr>
        <rFont val="Calibri"/>
        <color rgb="FF000000"/>
        <sz val="11.0"/>
      </rPr>
      <t xml:space="preserve">, 25(2017), 2472-2481,  Doi:10.1016/j.bmc.2017.03.014.                                                                                                                                                                                                                                                                                                  4. Asare-Nkansah S., Wünsch B. (2016). Double intramolecular transacetalization of polyhydroxy acetals: Synthesis of conformationally restricted 1,3-dioxanes with axially oriented phenyl moiety. </t>
    </r>
    <r>
      <rPr>
        <rFont val="Calibri"/>
        <i/>
        <color rgb="FF000000"/>
        <sz val="11.0"/>
      </rPr>
      <t>Molecules,</t>
    </r>
    <r>
      <rPr>
        <rFont val="Calibri"/>
        <color rgb="FF000000"/>
        <sz val="11.0"/>
      </rPr>
      <t xml:space="preserve"> 21(11), 1503; doi:10.3390/molecules21111503.                                                                                                                                                                                                                                                                                                                                                               5. Asare-Nkansah S., Kwakye J. K., Adosraku R. K. and Bekoe S. O. (2014), A New Dimension in Medicines Quality Monitoring: Using Surrogate Reference Standards in RP-HPLC Assay of Pharmaceuticals. International </t>
    </r>
    <r>
      <rPr>
        <rFont val="Calibri"/>
        <i/>
        <color rgb="FF000000"/>
        <sz val="11.0"/>
      </rPr>
      <t>Journal of Pure and Applied Chemistry</t>
    </r>
    <r>
      <rPr>
        <rFont val="Calibri"/>
        <color rgb="FF000000"/>
        <sz val="11.0"/>
      </rPr>
      <t xml:space="preserve">, 9(1).                                                                                                                                                                                                                                                                                                                                                                      6. Walter G. M., Raveh A., McQuade T. J., Arevang C., Schultz P. J., Smith M. C., Asare-Nkansah S, Cruz P. G., Wisen S., Matainaho T., Sherman D. H., and Gestwicki J. E. (2014),High throughput screen of natural product extracts in a Yeast model of polyglutamine proteotoxicity. </t>
    </r>
    <r>
      <rPr>
        <rFont val="Calibri"/>
        <i/>
        <color rgb="FF000000"/>
        <sz val="11.0"/>
      </rPr>
      <t>Chemical Biology and Drug Design</t>
    </r>
    <r>
      <rPr>
        <rFont val="Calibri"/>
        <color rgb="FF000000"/>
        <sz val="11.0"/>
      </rPr>
      <t xml:space="preserve">, 83:440-449.                                                                                                                                                                                                                                                      7. Asare-Nkansah S, Kwakye JK and Mohammad S (2011). Compounds Chemically Related to Analyte as Surrogate Reference Standards in Quantitative HPLC: Preliminary Study and Proof of Hypothesis. International </t>
    </r>
    <r>
      <rPr>
        <rFont val="Calibri"/>
        <i/>
        <color rgb="FF000000"/>
        <sz val="11.0"/>
      </rPr>
      <t>Journal of Pure and Applied Chemistry</t>
    </r>
    <r>
      <rPr>
        <rFont val="Calibri"/>
        <color rgb="FF000000"/>
        <sz val="11.0"/>
      </rPr>
      <t xml:space="preserve">, 6(3):253-264.                                                                                                                                                                                                                                                                                                                                                          8. Asare-Nkansah S, Bekoe SO, Opuni FMK and Kwakye JK (2011). Improving Drug Quality Monitoring in Ghana by Ion-Pair Complexes: The Case of Ciprofloxacin Hydrochloride and Bromophenol Blue. In </t>
    </r>
    <r>
      <rPr>
        <rFont val="Calibri"/>
        <i/>
        <color rgb="FF000000"/>
        <sz val="11.0"/>
      </rPr>
      <t xml:space="preserve">Journal of Pure and Applied Chemistry </t>
    </r>
    <r>
      <rPr>
        <rFont val="Calibri"/>
        <color rgb="FF000000"/>
        <sz val="11.0"/>
      </rPr>
      <t xml:space="preserve">International 6(3): 297-307.                                                                                                                                                                                                                                                                                                                                                          9. Annan K., Asante I.K., Asare C., Asare-Nkansah S., and Bayor M.T. (2010). Profile of heavy metals in some medicinal plants from Ghana commonly used as components of herbal formulations. </t>
    </r>
    <r>
      <rPr>
        <rFont val="Calibri"/>
        <i/>
        <color rgb="FF000000"/>
        <sz val="11.0"/>
      </rPr>
      <t>Pharmacognosy Research</t>
    </r>
    <r>
      <rPr>
        <rFont val="Calibri"/>
        <color rgb="FF000000"/>
        <sz val="11.0"/>
      </rPr>
      <t xml:space="preserve"> 2(7): 39-41                                                                                                                                                                                                                                                                                                                                                           10. Asare-Nkansah S., Kwakye J. K. and Adosraku R. K. (2007). Determining the bioequivalence of Paracetamol products with urinary excretory data. West African Journal of Pharmacy 20(1) .                                                   11. Okine, NNA, S Asare-Nkansah, SO Bekoe, and A Acheampong. 2007. Determination of Relative Bioavailability of a locally manufactured co-trimoxazole tablets using urinary excretory data. </t>
    </r>
    <r>
      <rPr>
        <rFont val="Calibri"/>
        <i/>
        <color rgb="FF000000"/>
        <sz val="11.0"/>
      </rPr>
      <t>Journal of Science and Technology {journal of KNUST</t>
    </r>
    <r>
      <rPr>
        <rFont val="Calibri"/>
        <color rgb="FF000000"/>
        <sz val="11.0"/>
      </rPr>
      <t xml:space="preserve">} 27(1):62-70.                                                                                                                                                                                                                                                                                                                   12. Okine, NNA, S Asare-Nkansah, and A Acheampong. 2007. Simultaneous determination of sulphamethoxazole and trimethoprim in co-trimoxazole tablets using rp-lc analysis. </t>
    </r>
    <r>
      <rPr>
        <rFont val="Calibri"/>
        <i/>
        <color rgb="FF000000"/>
        <sz val="11.0"/>
      </rPr>
      <t>Journal of the Ghana Science Association</t>
    </r>
    <r>
      <rPr>
        <rFont val="Calibri"/>
        <color rgb="FF000000"/>
        <sz val="11.0"/>
      </rPr>
      <t xml:space="preserve"> 9(1):62-70.                                                                                                                                                                                                                                                                                                                                                       13. Okine, NNA, S Asare-Nkansah, and DK Ameko. 2006. Comparative bioavailability study of Aspirin tablets using UV/Visible spectroscopy and hplc technique. Journal of the Ghana Science Association 8(1):79-88                                                                                                                                                                                                                                                                                                                                                      14. Asare-Nkansah, S and JK Kwakye. 2006. Quality evaluation of paracetamol in the bulk, dosage forms and body fluids using the high performance liquid chromatography (hplc) technique. </t>
    </r>
    <r>
      <rPr>
        <rFont val="Calibri"/>
        <i/>
        <color rgb="FF000000"/>
        <sz val="11.0"/>
      </rPr>
      <t xml:space="preserve">Journal of Science and Tecchnology {journal of KNUST} </t>
    </r>
    <r>
      <rPr>
        <rFont val="Calibri"/>
        <color rgb="FF000000"/>
        <sz val="11.0"/>
      </rPr>
      <t xml:space="preserve">27(1):62-70.                                                                                                                                                                                                                                                                                                                     15. Kwakye, JK and S Asare-Nkansah, 2006. In vitro-in vivo correlation of locally manufactured Amoxicillin capsules, Paracetamol and Chloroquine Phosphate tablets. West Afr J Pharmacy 19(2):14-22. Kwakye, JK, RK Adosraku, S Asare-Nkansah and SO Bekoe, 2005. Bioavailability in Quality Control: Performance of some local pharmaceutical industries. The Ghana Pharmaceutical Journal 30(1):37-41.                    </t>
    </r>
  </si>
  <si>
    <r>
      <rPr/>
      <t xml:space="preserve">1. Oppong Kyekyeku J., Adosraku RK., Asare-Nkansah S. (2017). LC-HRESI-MS/MS                        
profiling of isolated flavonoids from the Ghanaian medicinal plant Chlorophora regia                        
(Moraceae). </t>
    </r>
    <r>
      <rPr>
        <i/>
      </rPr>
      <t>British Journal of Pharmaceutical Research,</t>
    </r>
    <r>
      <rPr/>
      <t xml:space="preserve"> 16(1), 1 – 9, Doi:                        
10.9734/BJPR/2017/32893 </t>
    </r>
    <r>
      <rPr>
        <color rgb="FFFF0000"/>
      </rPr>
      <t xml:space="preserve">(moved to peer-reviewed) </t>
    </r>
    <r>
      <rPr/>
      <t xml:space="preserve">                     
2. Brobbey A, Somuah-Asante S., Asare-Nkansah S., Boateng F. O., Ayensu I. (2017).                        
Preliminary phytochemical screening and scientific validation of the anti-diabetic effect of                        
the dried husk of Zea mays L. (corn, poaceae).</t>
    </r>
    <r>
      <rPr>
        <i/>
      </rPr>
      <t xml:space="preserve"> International Journal of Phytopharmacy</t>
    </r>
    <r>
      <rPr/>
      <t xml:space="preserve">, 7                        
(1); 1-5; doi: dx.doi.org/10.7439/ijpo.   </t>
    </r>
    <r>
      <rPr>
        <color rgb="FFFF0000"/>
      </rPr>
      <t xml:space="preserve"> (moved to peer-reviewed)</t>
    </r>
    <r>
      <rPr/>
      <t xml:space="preserve">                                         
3. Asare-Nkansah S., Schepmann D., Wünsch B. (2017). Synthesis of conformationally                        
restricted 1,3-dioxanes to analyse the bioactive conformation of 1,3-dioxane-based s1 and                        
PCP receptor antagonists. </t>
    </r>
    <r>
      <rPr>
        <i/>
      </rPr>
      <t>Bioorganic and Medicinal Chemistry,</t>
    </r>
    <r>
      <rPr/>
      <t xml:space="preserve"> 25(2017), 2472-2481,                        
Doi:10.1016/j.bmc.2017.03.014 </t>
    </r>
    <r>
      <rPr>
        <color rgb="FFFF0000"/>
      </rPr>
      <t xml:space="preserve"> (moved to peer-reviewed) </t>
    </r>
    <r>
      <rPr/>
      <t xml:space="preserve">                     
4. Asare-Nkansah S., Wünsch B. (2016). Double intramolecular transacetalization of                        
polyhydroxy acetals: Synthesis of conformationally restricted 1,3-dioxanes with axially                        
oriented phenyl moiety. </t>
    </r>
    <r>
      <rPr>
        <i/>
      </rPr>
      <t>Molecules</t>
    </r>
    <r>
      <rPr/>
      <t>, 21(11), 1503; doi:10.3390/molecules21111503.</t>
    </r>
    <r>
      <rPr>
        <color rgb="FFFF0000"/>
      </rPr>
      <t xml:space="preserve"> (moved to peer-reviewed)     </t>
    </r>
    <r>
      <rPr/>
      <t xml:space="preserve">                  
5. Asare-Nkansah S., Kwakye J. K., Adosraku R. K. and Bekoe S. O. (2014), A New Dimension                        
in Medicines Quality Monitoring: Using Surrogate Reference Standards in RP-HPLC Assay of                        
Pharmaceuticals. </t>
    </r>
    <r>
      <rPr>
        <i/>
      </rPr>
      <t>International Journal of Pure and Applied Chemistry</t>
    </r>
    <r>
      <rPr/>
      <t xml:space="preserve">, 9(1). </t>
    </r>
    <r>
      <rPr>
        <color rgb="FFFF0000"/>
      </rPr>
      <t xml:space="preserve">(moved to peer-reviewed)   </t>
    </r>
    <r>
      <rPr/>
      <t xml:space="preserve">                    
6. Walter G. M., Raveh A., McQuade T. J., Arevang C., Schultz P. J., Smith M. C., Asare-                        
Nkansah S, Cruz P. G., Wisen S., Matainaho T., Sherman D. H., and Gestwicki J. E. (2014),                        
High throughput screen of natural product extracts in a Yeast model of polyglutamine                        
proteotoxicity. </t>
    </r>
    <r>
      <rPr>
        <i/>
      </rPr>
      <t>Chemical Biology and Drug Design,</t>
    </r>
    <r>
      <rPr/>
      <t xml:space="preserve"> 83:440-449.  </t>
    </r>
    <r>
      <rPr>
        <color rgb="FFFF0000"/>
      </rPr>
      <t xml:space="preserve">(moved to peer-reviewed)  </t>
    </r>
    <r>
      <rPr/>
      <t xml:space="preserve">                    
7. Asare-Nkansah S, Kwakye JK and Mohammad S (2011). Compounds Chemically Related                        
to Analyte as Surrogate Reference Standards in Quantitative HPLC: Preliminary Study and                        
Proof of Hypothesis.</t>
    </r>
    <r>
      <rPr>
        <i/>
      </rPr>
      <t xml:space="preserve"> International Journal of Pure and Applied Chemistry</t>
    </r>
    <r>
      <rPr/>
      <t>, 6(3):253-264</t>
    </r>
    <r>
      <rPr>
        <color rgb="FFFF0000"/>
      </rPr>
      <t xml:space="preserve"> (moved to peer-reviewed)  </t>
    </r>
    <r>
      <rPr/>
      <t xml:space="preserve">                      
8. Asare-Nkansah S, Bekoe SO, Opuni FMK and Kwakye JK (2011). Improving Drug Quality                        
Monitoring in Ghana by Ion-Pair Complexes: The Case of Ciprofloxacin Hydrochloride and                        
Bromophenol Blue.</t>
    </r>
    <r>
      <rPr>
        <i/>
      </rPr>
      <t xml:space="preserve"> International Journal of Pure and Applied Chemistry</t>
    </r>
    <r>
      <rPr/>
      <t xml:space="preserve"> 6(3): 297-307 </t>
    </r>
    <r>
      <rPr>
        <color rgb="FFFF0000"/>
      </rPr>
      <t xml:space="preserve">(moved to peer-reviewed) </t>
    </r>
    <r>
      <rPr/>
      <t xml:space="preserve">                       
9. Annan K., Asante I.K., Asare C., Asare-Nkansah S., and Bayor M.T. (2010). Profile of heavy                        
metals in some medicinal plants from Ghana commonly used as components of herbal                        
formulations. </t>
    </r>
    <r>
      <rPr>
        <i/>
      </rPr>
      <t>Pharmacognosy Research</t>
    </r>
    <r>
      <rPr/>
      <t xml:space="preserve"> 2(7): 39-41 </t>
    </r>
    <r>
      <rPr>
        <color rgb="FFFF0000"/>
      </rPr>
      <t xml:space="preserve">(moved to peer-reviewed)  </t>
    </r>
    <r>
      <rPr/>
      <t xml:space="preserve">                     
10. Asare-Nkansah S., Kwakye J. K. and Adosraku R. K. (2007). Determining the bioequivalence of Paracetamol products with urinary excretory data. </t>
    </r>
    <r>
      <rPr>
        <i/>
      </rPr>
      <t>West African Journal of Pharmacy</t>
    </r>
    <r>
      <rPr/>
      <t xml:space="preserve"> 20(1)  </t>
    </r>
    <r>
      <rPr>
        <color rgb="FFFF0000"/>
      </rPr>
      <t>(moved to peer -reviewed)</t>
    </r>
    <r>
      <rPr/>
      <t xml:space="preserve">                                                                                                                                                                                                                                                                                                                                                                         11. Okine, NNA, S Asare-Nkansah, SO Bekoe, and A Acheampong. 2007. Determination of Relative Bioavailability of a locally manufactured co-trimoxazole tablets using urinary excretory data. </t>
    </r>
    <r>
      <rPr>
        <i/>
      </rPr>
      <t>Journal of Science and Technology</t>
    </r>
    <r>
      <rPr/>
      <t xml:space="preserve"> {journal of KNUST} 27(1):62-70.  </t>
    </r>
    <r>
      <rPr>
        <color rgb="FFFF0000"/>
      </rPr>
      <t>(moved to peer-reviewed)</t>
    </r>
    <r>
      <rPr/>
      <t xml:space="preserve">                                                                                                                                                                                                                                                                                                            12. Okine, NNA, S Asare-Nkansah, and A Acheampong. 2007. Simultaneous determination of sulphamethoxazole and trimethoprim in co-trimoxazole tablets using rp-lc analysis. </t>
    </r>
    <r>
      <rPr>
        <i/>
      </rPr>
      <t>Journal of the Ghana Science Association</t>
    </r>
    <r>
      <rPr/>
      <t xml:space="preserve"> 9(1):62-70. </t>
    </r>
    <r>
      <rPr>
        <color rgb="FFFF0000"/>
      </rPr>
      <t xml:space="preserve"> (moved to peer-review) </t>
    </r>
    <r>
      <rPr/>
      <t xml:space="preserve">                                                                                                                                                                                                                                                                                                                                                   13. Okine, NNA, S Asare-Nkansah, and DK Ameko. 2006. Comparative bioavailability study of Aspirin tablets using UV/Visible spectroscopy and hplc technique. </t>
    </r>
    <r>
      <rPr>
        <i/>
      </rPr>
      <t>Journal of the Ghana</t>
    </r>
    <r>
      <rPr/>
      <t xml:space="preserve"> </t>
    </r>
    <r>
      <rPr>
        <i/>
      </rPr>
      <t>Science Association</t>
    </r>
    <r>
      <rPr/>
      <t xml:space="preserve"> 8(1):79-88. </t>
    </r>
    <r>
      <rPr>
        <color rgb="FFFF0000"/>
      </rPr>
      <t xml:space="preserve">(moved to peer-review)  </t>
    </r>
    <r>
      <rPr/>
      <t xml:space="preserve">                                                                                                                                                                                                                                                                                                                                                14. Asare-Nkansah, S and JK Kwakye. 2006. Quality evaluation of paracetamol in the bulk, dosage forms and body fluids using the high performance liquid chromatography (hplc) technique. </t>
    </r>
    <r>
      <rPr>
        <i/>
      </rPr>
      <t>Journal of Science and Tecchnology</t>
    </r>
    <r>
      <rPr/>
      <t xml:space="preserve"> {journal of KNUST} 27(1):62-70.  </t>
    </r>
    <r>
      <rPr>
        <color rgb="FFFF0000"/>
      </rPr>
      <t xml:space="preserve"> (moved to peer-reviewed)  </t>
    </r>
    <r>
      <rPr/>
      <t xml:space="preserve">                                                                                                                                                                                                                                                                                                                                                                                                15. Kwakye, JK and S Asare-Nkansah, 2006. In vitro-in vivo correlation of locally manufactured Amoxicillin capsules, Paracetamol and Chloroquine Phosphate tablets. West Afr J Pharmacy 19(2):14-22. Kwakye, JK, RK Adosraku, S Asare-Nkansah and SO Bekoe, 2005. Bioavailability in Quality Control: Performance of some local pharmaceutical industries. </t>
    </r>
    <r>
      <rPr>
        <i/>
      </rPr>
      <t>The Ghana Pharmaceutical Journal</t>
    </r>
    <r>
      <rPr/>
      <t xml:space="preserve"> 30(1):37-41. </t>
    </r>
    <r>
      <rPr>
        <color rgb="FFFF0000"/>
      </rPr>
      <t xml:space="preserve">   (moved to peer-reviewed)   </t>
    </r>
    <r>
      <rPr/>
      <t xml:space="preserve">                 </t>
    </r>
  </si>
  <si>
    <t xml:space="preserve">            </t>
  </si>
  <si>
    <t>14-22</t>
  </si>
  <si>
    <t>Jonathan Ayitey</t>
  </si>
  <si>
    <r>
      <rPr/>
      <t xml:space="preserve">1. Bismark Aha and Jonathan Z. Ayitey (2017). Biofuel and the hazards of land grabbing: tenure (in)security and indigenous farmers’ investment decisions in Ghana. </t>
    </r>
    <r>
      <rPr>
        <i/>
      </rPr>
      <t>Land Use Policy</t>
    </r>
    <r>
      <rPr/>
      <t xml:space="preserve"> 60; pp4859 
2. Lewis Abedi Asante1, Dennis Papa Odenyi Quansah, Jonathan Ayitey, and Elias Danyi Kuusaana (2017). The Practice of Defect Liability Period in the Real Estate Industry in Ghana. SAGE Open DOI: 10.1177/2158244017727038 journals.sagepub.com/home/sgo 
3. Bismark Aha and Jonathan Z. Ayitey (2016). Demand for Residential Mortgage in Ghana: Nature, Constraints and Implications </t>
    </r>
    <r>
      <rPr>
        <i/>
      </rPr>
      <t>Journal of Economics and Sustainable Development</t>
    </r>
    <r>
      <rPr/>
      <t>. www.iiste.org ISSN 2222-1700 (Paper) ISSN 2222-2855 (Online) Vol.7, No.13, 2016 
4. Lewis Abedi Asante, Alexander Sasu, Jonathan Zinzi Ayitey &amp; Naana Amakie BoakyeAgyeman (2015). The Achimota Transport Terminal in Accra: A Model Urban Regeneration Project in Ghana? J</t>
    </r>
    <r>
      <rPr>
        <i/>
      </rPr>
      <t>ournal of Sustainable Development;</t>
    </r>
    <r>
      <rPr/>
      <t xml:space="preserve"> Vol. 8, No. 9; 2015 ISSN 1913-9063 EISSN 1913-9071 
5. F. J. Nyarko, J. Z. Ayitey, E. K. Gavu. (2015). Evaluation of Home-Equity Financing Option in a Developing Economy Illustrated with an example of Ghana. Swint Nieruchomosci-</t>
    </r>
    <r>
      <rPr>
        <i/>
      </rPr>
      <t xml:space="preserve">World of Real Estate Journal </t>
    </r>
    <r>
      <rPr/>
      <t xml:space="preserve">pp23-35 
6. Kidido, J.K, Ayitey, J. Z, Kuusaana E. D. and Gavu, E.K (2015). Who is the rightful recipient of mining compensation for land use deprivation in Ghana? </t>
    </r>
    <r>
      <rPr>
        <i/>
      </rPr>
      <t xml:space="preserve">Resources Policy </t>
    </r>
    <r>
      <rPr/>
      <t xml:space="preserve">43; pp 19-27. 
7. Jonathan Zinzi Ayitey, Elias Danyi Kuusaana, Joseph Kweku Kidido (2013). Potential and Hurdles in Property Rating in Ghana: Evidence from the Wa Municipality. </t>
    </r>
    <r>
      <rPr>
        <i/>
      </rPr>
      <t>The Ghana Surveyor</t>
    </r>
    <r>
      <rPr/>
      <t xml:space="preserve"> Vol. 5 No1 
 </t>
    </r>
  </si>
  <si>
    <t>1. Asante, L. A., Sasu, A., Ayitey, J. Z. and Gavu, E. K. (2015). The Changing Face of Compound Houses in Ghana and Its Effect on Rental Value: A Case Study of Selected Neighbourhoods in Kumasi, Ghana. 31st Annual American Real Estate Society Meeting. April 14-18, 2015. Fort Myers, Florida USA                                                                                                                                                                                                                                            2. Tudzi, E. P., Gavu, E. K., Ayitey, J. Z., and Boakye-Agyeman, N. A.(2015)  Corporate Real Estate Management: A Survey of Literature. 4th International Conference on Infrastructure Development in Africa (ICIDA) March 25 &amp; 26, Kumasi Ghana 
3. Joseph Kwaku Kidido &amp; Jonathan Zinzi Ayitey (2015) Land Trade and Large Land Acquisitions Phenomenon: Ghana’s Experience Since Colonial Era. 15th Annual Conference of the African Real Estate Society. 31 August – 3rd September Kumasi, Ghana 
4. Jonathan Zinzi Ayitey, Emmanuel Kofi Gavu, and Harriet Yaa Asamoah, (2013). Pension Funds a Panacea to Housing Finance in Developing Economies? Case Study: 
Jonathan Ayitey Page 6 of 7, SSNIT, Ghana. 2nd International Conference on Infrastructure Development in Africa (ICIDA) 17-19 March 2013, University of Johannesburg, Johannesburg, South Africa 
5. Kidido, J.K, Ayitey, J.Z (2015). Housing Delivery in Ghana: Examination of the Contribution of Private Estate Developers. 4th International Conference on Infrastructure Development in Africa, Organized by College of Art and Built Environment, KNUST, (March 25-26) 
6. Joseph Kwaku Kidido, Jonathan Zinzi Ayitey, David Akelumbona Ayariga (2015). Large Land Acquisitions Phenomenon in Ghana: A Historical Overview. 15th Annual Conference of the African Real Estate Society. 31 August – 3rd September Kumasi, Ghana 
7. Ayitey, J.Z, Kidido, J.K. and Martey, E. T. (2015). Adequacy of Compensation and Alternative Livelihood Support Initiatives in Mining Communities in Ghana.  31st Annual American Real Estate Society Meeting. April 14-18, 2015. Fort Myers, Florida USA                                                                                                                                                                                                                                                                                                                            8. Ayitey, J.Z, and Kidido, J.K. (2015). State Policies and Interventions in Housing Provision and Finance-Ghana’s Experience.  31st Annual American Real Estate Society Meeting. April 14-18, 2015. Fort Myers, Florida USA 
9. Ayitey, J. Z. (2015). A Search for Sustainable and Affordable Mortgage Designs for Developing Economies. Case Study: Ghana. 31st Annual American Real Estate Society Meeting. April 14-18, 2015. Fort Myers, Florida USA 
10. Aha B. Ayitey J. Z (2015). Biofuels and the Hazards of Land Grabbing: Land Tenure (In) Security and Indigenous Farmers’ Investment Decision in Ghana.  Harvard Law School IGLP -Africa Land Grabbing International Conference: Dsc hang, Cameroon (3-7 August)- www.africaconferences.org  
11. Ayitey J.Z and Aha B. (2014). Demand for Residential Mortgage in Ghana; Nature, Constraints, and Implications. A paper presented at the 30th Annual Conference of the American Real Estate Society (ARES) at San Diego in April 2014</t>
  </si>
  <si>
    <t>Dagnachew Belete</t>
  </si>
  <si>
    <r>
      <rPr/>
      <t xml:space="preserve">1. Dagnachew Adugna, Brook Lemma, Geremew Sahilu Gebrie, and Jensen, M. B. (2019). Evaluating the Hydraulic Capacity of Existing Drain Systems and the Management Challenges of Stormwater in Addis Ababa, Ethiopia. </t>
    </r>
    <r>
      <rPr>
        <i/>
      </rPr>
      <t>Journal of Hydrology,</t>
    </r>
    <r>
      <rPr/>
      <t xml:space="preserve"> Elsvier.                                                                                                                                                                                                                                                                                    2.  Dagnachew Adugna, Brook Lemma, Geremew Sahilu Gebrie, Larissa Larsen, Kumelachew Yeshitela and Jensen, M. B. (2018). Stormwater impact on water quality of rivers subjected to point sources and urbanization gradient – the case of Addis Ababa, Ethiopia. </t>
    </r>
    <r>
      <rPr>
        <i/>
      </rPr>
      <t>Water and Environment Journal</t>
    </r>
    <r>
      <rPr/>
      <t>, Wiley.  
3. Dagnachew Adugna, Jensen, M. B., Brook Lemma and Geremew Sahilu Gebrie (2018).  Assessing the Potential for Rooftop Rainwater Harvesting from Large Public Institutions.</t>
    </r>
    <r>
      <rPr>
        <i/>
      </rPr>
      <t xml:space="preserve"> International Journal of Environmental Research and Public Health</t>
    </r>
    <r>
      <rPr/>
      <t xml:space="preserve">. 
4. Dagnachew Adugna, Laris Larsen, Brook Lemma and Geremew Sahilu Gebrie (2017). Low-Cost Stormwater Filtration System to Improve Urban Water Quality: The Case of Addis Ababa, Ethiopia. </t>
    </r>
    <r>
      <rPr>
        <i/>
      </rPr>
      <t>Journal of Water Resource and Protection</t>
    </r>
    <r>
      <rPr/>
      <t xml:space="preserve">, 2017, 9, 692-705                                                                                                                                                                                                                                                                        5.  Dagnachew Adugna (2011): Road and urban storm water drainage network integration in  Addis Ababa: Addis Ketema Sub-city. </t>
    </r>
    <r>
      <rPr>
        <i/>
      </rPr>
      <t>Journal of Engineering and Technology</t>
    </r>
    <r>
      <rPr/>
      <t xml:space="preserve"> (ISSN 2006-9790 ©2011 Academic Journals)                                                                                                                                                                                                                                                                                                                                                                     6.  Dagnachew Adugna (2011): Road and urban storm water drainage network integration in  Addis Ababa: Addis Ketema Sub-city. </t>
    </r>
    <r>
      <rPr>
        <i/>
      </rPr>
      <t>Journal of</t>
    </r>
    <r>
      <rPr/>
      <t xml:space="preserve"> </t>
    </r>
    <r>
      <rPr>
        <i/>
      </rPr>
      <t>Engineering and Technology</t>
    </r>
    <r>
      <rPr/>
      <t xml:space="preserve"> (ISSN 2006-9790 ©2011 Academic Journals)                                                                                                                                                                                                                                                                                                                                                   </t>
    </r>
  </si>
  <si>
    <r>
      <rPr/>
      <t>1.. Dagnachew Adugna (2012): Urban Transportation Systems, Traffic Management and Introducing Transport Modeling in Ethiopia. ISBN: 978-3-659-20913-0.</t>
    </r>
    <r>
      <rPr>
        <color rgb="FFFF0000"/>
      </rPr>
      <t xml:space="preserve"> Book</t>
    </r>
    <r>
      <rPr/>
      <t xml:space="preserve">                                                                                            2.  Dagnachew Adugna (2012): Urban Infrastructure Integration and its Challenges in  Ethiopia. (ISBN 978-3-659-25501-4) </t>
    </r>
    <r>
      <rPr>
        <color rgb="FFFF0000"/>
      </rPr>
      <t xml:space="preserve"> Book   </t>
    </r>
    <r>
      <rPr/>
      <t xml:space="preserve">                                                                                                                                                           
3.. Dagnachew Adugna (2011): Urban Road and Drainage in Bishoftu, Ethiopia (2011) (ISBN 978-3-8443-1988-0).</t>
    </r>
    <r>
      <rPr>
        <color rgb="FFFF0000"/>
      </rPr>
      <t xml:space="preserve"> Book</t>
    </r>
    <r>
      <rPr/>
      <t xml:space="preserve">
4.  Dagnachew Adugna (2011): Planning and Design of Urban Drainage facilities in Mekelle, Ethiopia: part-II. (ISBN 978-3-639-36714-6) </t>
    </r>
    <r>
      <rPr>
        <color rgb="FFFF0000"/>
      </rPr>
      <t xml:space="preserve"> Book</t>
    </r>
    <r>
      <rPr/>
      <t xml:space="preserve">
5.  Dagnachew Adugna (2011): Urban Drainage management in Mekelle, Ethiopia: part-I. (ISBN 978-3-639-37761-3)  </t>
    </r>
    <r>
      <rPr>
        <color rgb="FFFF0000"/>
      </rPr>
      <t>Book</t>
    </r>
    <r>
      <rPr/>
      <t xml:space="preserve">
6.  Dagnachew Adugna (2011): Study of the urban drainage system in Addis Ababa. (ISBN 978-3-639-35991-6)</t>
    </r>
    <r>
      <rPr>
        <color rgb="FFFF0000"/>
      </rPr>
      <t xml:space="preserve"> Book</t>
    </r>
    <r>
      <rPr/>
      <t xml:space="preserve">
7.  Dagnachew Adugna (2011): Road and Urban stormwater drainage integration. (ISBN 978-3-639-33174-5)  </t>
    </r>
    <r>
      <rPr>
        <color rgb="FFFF0000"/>
      </rPr>
      <t>Book</t>
    </r>
    <r>
      <rPr/>
      <t xml:space="preserve">
8. Urban stormwater drainage net-work manual, federal urban planning institute under the  Federal Ministry of Works and Urban development, Addis Ababa, Ethiopia, 2008.  1.</t>
    </r>
    <r>
      <rPr>
        <color rgb="FFFF0000"/>
      </rPr>
      <t xml:space="preserve"> (can't identify)</t>
    </r>
  </si>
  <si>
    <t xml:space="preserve"> (Arhin-Sen) Boamah</t>
  </si>
  <si>
    <r>
      <rPr>
        <b/>
        <i val="0"/>
      </rPr>
      <t>1. Boamah, V. E.,</t>
    </r>
    <r>
      <rPr>
        <b val="0"/>
        <i val="0"/>
      </rPr>
      <t xml:space="preserve"> Agyare, C., Odoi, H., Adu, F., Gbedema, S. Y., Dalsgaard, A. (2017). Prevalence and antibiotic resistance of coagulase-negative Staphylococci isolated from poultry farms in three regions of Ghana. </t>
    </r>
    <r>
      <rPr>
        <b val="0"/>
        <i/>
      </rPr>
      <t>Infection and Drug Resistance</t>
    </r>
    <r>
      <rPr>
        <b val="0"/>
        <i val="0"/>
      </rPr>
      <t xml:space="preserve">, 10: 175-183. 3.                                                                                                                                                                                                                                                                                                                                                                                                      </t>
    </r>
    <r>
      <rPr>
        <b/>
        <i val="0"/>
      </rPr>
      <t>2.</t>
    </r>
    <r>
      <rPr>
        <b val="0"/>
        <i val="0"/>
      </rPr>
      <t xml:space="preserve"> Agoba, E. E., Adu, F., Agyare C., Boamah, V. E., Boakye, Y. D. (2017), Antibiotic resistance patterns of bacterial isolates from hatcheries and selected fish farms in the Ashanti region of Ghana, </t>
    </r>
    <r>
      <rPr>
        <b val="0"/>
        <i/>
      </rPr>
      <t>Journal of</t>
    </r>
    <r>
      <rPr>
        <b val="0"/>
        <i val="0"/>
      </rPr>
      <t xml:space="preserve"> </t>
    </r>
    <r>
      <rPr>
        <b val="0"/>
        <i/>
      </rPr>
      <t>Microbiology and Antimicrobial</t>
    </r>
    <r>
      <rPr>
        <b val="0"/>
        <i val="0"/>
      </rPr>
      <t xml:space="preserve">s, Vol. 9(4), pp. 35-46.                                                                                                                                                                                                                                                                                                 </t>
    </r>
    <r>
      <rPr>
        <b/>
        <i val="0"/>
      </rPr>
      <t>3.</t>
    </r>
    <r>
      <rPr>
        <b val="0"/>
        <i val="0"/>
      </rPr>
      <t xml:space="preserve"> </t>
    </r>
    <r>
      <rPr>
        <b/>
        <i val="0"/>
      </rPr>
      <t>Boamah, V. E.,</t>
    </r>
    <r>
      <rPr>
        <b val="0"/>
        <i val="0"/>
      </rPr>
      <t xml:space="preserve"> Agyare, C., Odoi, H., Boakye Donkor, Y., Dalsgaard, A. (2016). Antibiotic practices and factors influencing the use of antibiotics in selected poultry farms in Ghana, </t>
    </r>
    <r>
      <rPr>
        <b val="0"/>
        <i/>
      </rPr>
      <t>Journal of Antimicrobial Agents</t>
    </r>
    <r>
      <rPr>
        <b val="0"/>
        <i val="0"/>
      </rPr>
      <t xml:space="preserve">, 2(2): 001-016. 4.                                                                                                                                                                                                                                                                                                                                                                  </t>
    </r>
    <r>
      <rPr>
        <b/>
        <i val="0"/>
      </rPr>
      <t xml:space="preserve">4. </t>
    </r>
    <r>
      <rPr>
        <b val="0"/>
        <i val="0"/>
      </rPr>
      <t xml:space="preserve"> Olarbi, AA, EO Bekoe, C. Agyare, N. Osafo, and </t>
    </r>
    <r>
      <rPr>
        <b/>
        <i val="0"/>
      </rPr>
      <t>VE Boamah</t>
    </r>
    <r>
      <rPr>
        <b val="0"/>
        <i val="0"/>
      </rPr>
      <t xml:space="preserve">. "In Vivo Anti-inflammatory and Antioxidant Properties of Albizia Zygia D. C. Macbr." </t>
    </r>
    <r>
      <rPr>
        <b val="0"/>
        <i/>
      </rPr>
      <t>Planta Medica</t>
    </r>
    <r>
      <rPr>
        <b val="0"/>
        <i val="0"/>
      </rPr>
      <t xml:space="preserve"> 81.S 01 (2016): n. pag. Web.                                                                                                                                                                                                                                                                                                                                                                                         </t>
    </r>
    <r>
      <rPr>
        <b/>
        <i val="0"/>
      </rPr>
      <t>5. VE, Boamah,</t>
    </r>
    <r>
      <rPr>
        <b val="0"/>
        <i val="0"/>
      </rPr>
      <t xml:space="preserve"> and Agyare C. "Antibiotic Practices and Factors Influencing the Use of Antibiotics in Selected Poultry Farms in Ghana."</t>
    </r>
    <r>
      <rPr>
        <b val="0"/>
        <i/>
      </rPr>
      <t xml:space="preserve"> Journal of Antimicrobial Agents</t>
    </r>
    <r>
      <rPr>
        <b val="0"/>
        <i val="0"/>
      </rPr>
      <t xml:space="preserve"> 2.2 (2016): n. pag. Web.                                                                                                                                                                                                                                                                                                                                                                                       </t>
    </r>
    <r>
      <rPr>
        <b/>
        <i val="0"/>
      </rPr>
      <t>6. .</t>
    </r>
    <r>
      <rPr>
        <b val="0"/>
        <i val="0"/>
      </rPr>
      <t xml:space="preserve"> Boadu, R.F., Agyare, C., Adarkwa-Yiadom, M., Adu, F.,</t>
    </r>
    <r>
      <rPr>
        <b/>
        <i val="0"/>
      </rPr>
      <t xml:space="preserve"> Boamah, V.E.</t>
    </r>
    <r>
      <rPr>
        <b val="0"/>
        <i val="0"/>
      </rPr>
      <t xml:space="preserve"> Boakye, Y. D. (2015). In vitro activity and evaluation of quality of some selected penicillins on the Ghanaian market using developed HPLC methods.</t>
    </r>
    <r>
      <rPr>
        <b val="0"/>
        <i/>
      </rPr>
      <t xml:space="preserve"> Medicinal Chemistry</t>
    </r>
    <r>
      <rPr>
        <b val="0"/>
        <i val="0"/>
      </rPr>
      <t xml:space="preserve">, 5(1): 001 - 014.                                                                                                                                                                                                                                                                                                             </t>
    </r>
    <r>
      <rPr>
        <b/>
        <i val="0"/>
      </rPr>
      <t xml:space="preserve">7. </t>
    </r>
    <r>
      <rPr>
        <b val="0"/>
        <i val="0"/>
      </rPr>
      <t xml:space="preserve">Adu, F., Sam, G.H., Agyare, C., Apenteng, J.A., </t>
    </r>
    <r>
      <rPr>
        <b/>
        <i val="0"/>
      </rPr>
      <t>Boamah, V.E</t>
    </r>
    <r>
      <rPr>
        <b val="0"/>
        <i val="0"/>
      </rPr>
      <t xml:space="preserve">., Mintah, D.N. (2014). Influence of methanol fruit and leaf extract of Myristica fragans (Myristaceae) on activity of some antibiotics. African Journal of </t>
    </r>
    <r>
      <rPr>
        <b val="0"/>
        <i/>
      </rPr>
      <t>Microbiology Research</t>
    </r>
    <r>
      <rPr>
        <b val="0"/>
        <i val="0"/>
      </rPr>
      <t xml:space="preserve">, 8(19):1982-1986.                                                                                                                                                                                                                                                                                                                      </t>
    </r>
    <r>
      <rPr>
        <b/>
        <i val="0"/>
      </rPr>
      <t xml:space="preserve">8. </t>
    </r>
    <r>
      <rPr>
        <b val="0"/>
        <i val="0"/>
      </rPr>
      <t xml:space="preserve"> Saana, S.B.B.M., Adu, F., Agyare, C., Gbedema, S.Y.,</t>
    </r>
    <r>
      <rPr>
        <b/>
        <i val="0"/>
      </rPr>
      <t xml:space="preserve"> Boamah, V. E.,</t>
    </r>
    <r>
      <rPr>
        <b val="0"/>
        <i val="0"/>
      </rPr>
      <t xml:space="preserve"> George, D. F.  (2013). Antibiotic resistance patterns of strains of Staphylococcus aureus isolated from patients in three hospitals in Kumasi, Ghana. </t>
    </r>
    <r>
      <rPr>
        <b val="0"/>
        <i/>
      </rPr>
      <t>Journal of Bacteriology Research</t>
    </r>
    <r>
      <rPr>
        <b val="0"/>
        <i val="0"/>
      </rPr>
      <t xml:space="preserve">, 5(3):35-40. doi:10.5897/JBR2012.0081.
</t>
    </r>
    <r>
      <rPr>
        <b/>
        <i val="0"/>
      </rPr>
      <t xml:space="preserve">9.  </t>
    </r>
    <r>
      <rPr>
        <b val="0"/>
        <i val="0"/>
      </rPr>
      <t>George, D.F., Gbedema, S.Y., Agyare,</t>
    </r>
    <r>
      <rPr>
        <b/>
        <i val="0"/>
      </rPr>
      <t xml:space="preserve"> </t>
    </r>
    <r>
      <rPr>
        <b val="0"/>
        <i val="0"/>
      </rPr>
      <t xml:space="preserve">C., Adu, F., </t>
    </r>
    <r>
      <rPr>
        <b/>
        <i val="0"/>
      </rPr>
      <t>Boamah, V.E.,</t>
    </r>
    <r>
      <rPr>
        <b val="0"/>
        <i val="0"/>
      </rPr>
      <t xml:space="preserve"> Tawiah, A.A., Saana, S.B.B.M. (2012). Antibiotic resistance patterns of Escherichia coli isolates from hospitals in Kumasi, Ghana. </t>
    </r>
    <r>
      <rPr>
        <b val="0"/>
        <i/>
      </rPr>
      <t>ISRN Microbiology</t>
    </r>
    <r>
      <rPr>
        <b val="0"/>
        <i val="0"/>
      </rPr>
      <t xml:space="preserve">, Article ID 658470, 5 pages, 2012. doi:10.5402/2012/658470.
</t>
    </r>
    <r>
      <rPr>
        <b/>
        <i val="0"/>
      </rPr>
      <t xml:space="preserve">10.  </t>
    </r>
    <r>
      <rPr>
        <b val="0"/>
        <i val="0"/>
      </rPr>
      <t>Tawiah, A. A., Gbedema, S. Y., Adu, F.,</t>
    </r>
    <r>
      <rPr>
        <b/>
        <i val="0"/>
      </rPr>
      <t xml:space="preserve"> Boamah, V. E., </t>
    </r>
    <r>
      <rPr>
        <b val="0"/>
        <i val="0"/>
      </rPr>
      <t xml:space="preserve">Annan, K. (2012). Antibiotic producing microorganisms from River Wiwi, Lake Bosomtwe and the Gulf of Guinea at the Doakor Sea Beach, Ghana. </t>
    </r>
    <r>
      <rPr>
        <b val="0"/>
        <i/>
      </rPr>
      <t>BMC</t>
    </r>
    <r>
      <rPr>
        <b val="0"/>
        <i val="0"/>
      </rPr>
      <t xml:space="preserve"> </t>
    </r>
    <r>
      <rPr>
        <b val="0"/>
        <i/>
      </rPr>
      <t>Microbiology</t>
    </r>
    <r>
      <rPr>
        <b val="0"/>
        <i val="0"/>
      </rPr>
      <t xml:space="preserve"> 12:234
</t>
    </r>
    <r>
      <rPr>
        <b/>
        <i val="0"/>
      </rPr>
      <t xml:space="preserve">11. </t>
    </r>
    <r>
      <rPr>
        <b val="0"/>
        <i val="0"/>
      </rPr>
      <t xml:space="preserve">Agyare, C., Kuffuor, G.A., </t>
    </r>
    <r>
      <rPr>
        <b/>
        <i val="0"/>
      </rPr>
      <t>Boamah, V.E.</t>
    </r>
    <r>
      <rPr>
        <b val="0"/>
        <i val="0"/>
      </rPr>
      <t xml:space="preserve">, Adu, F., Mensah, K.B., Adu-Amoah, L. (2012). Antimicrobial and anti-inflammatory activities of Pterygota macrocarpa and Cola gigantea (Sterculiaceae). Evidence-Based Complementary and Alternative Medicine, Article ID 902394, 9 pages. DOI:10.1155/2012/902394. 
</t>
    </r>
    <r>
      <rPr>
        <b/>
        <i val="0"/>
      </rPr>
      <t xml:space="preserve">12. </t>
    </r>
    <r>
      <rPr>
        <b val="0"/>
        <i val="0"/>
      </rPr>
      <t xml:space="preserve"> Adu F., Gbedema S.Y., Akanwariwiak W. G., Annan K., </t>
    </r>
    <r>
      <rPr>
        <b/>
        <i val="0"/>
      </rPr>
      <t>Boamah V.E.</t>
    </r>
    <r>
      <rPr>
        <b val="0"/>
        <i val="0"/>
      </rPr>
      <t xml:space="preserve">, (2011). The Effects of Acanthospermum hispidum extract on the antibacterial activity of amoxicillin and ciprofloxacin. </t>
    </r>
    <r>
      <rPr>
        <b val="0"/>
        <i/>
      </rPr>
      <t>Hygeia Journal for Drugs and Medicine</t>
    </r>
    <r>
      <rPr>
        <b val="0"/>
        <i val="0"/>
      </rPr>
      <t xml:space="preserve">. 2(1), 58-63.                                                                                                                                                                                                                                                                                                                                                          </t>
    </r>
    <r>
      <rPr>
        <b/>
        <i val="0"/>
      </rPr>
      <t xml:space="preserve">13. . </t>
    </r>
    <r>
      <rPr>
        <b val="0"/>
        <i val="0"/>
      </rPr>
      <t xml:space="preserve">Asantewaa, Y., Ofori-Kwakye, K., Kipo, S. L., </t>
    </r>
    <r>
      <rPr>
        <b/>
        <i val="0"/>
      </rPr>
      <t>Boamah, V. E.,</t>
    </r>
    <r>
      <rPr>
        <b val="0"/>
        <i val="0"/>
      </rPr>
      <t xml:space="preserve"> Johnson, R. (2011). Investigation of the emulsifying and suspending potential of cashew tree gum in pharmaceutical formulations. International </t>
    </r>
    <r>
      <rPr>
        <b val="0"/>
        <i/>
      </rPr>
      <t>Journal of Pharmacy and Pharmaceutical Sciences</t>
    </r>
    <r>
      <rPr>
        <b val="0"/>
        <i val="0"/>
      </rPr>
      <t xml:space="preserve">, 3(4), 215-219.
</t>
    </r>
    <r>
      <rPr>
        <b/>
        <i val="0"/>
      </rPr>
      <t>14. V. E. Boamah,</t>
    </r>
    <r>
      <rPr>
        <b val="0"/>
        <i val="0"/>
      </rPr>
      <t xml:space="preserve"> S. Y. Gbedema, F. Adu, K. Ofori-Kwakye, (2011). Microbial quality of household water sources and incidence of diarrhea in three peri-urban communities in Kumasi, Ghana. </t>
    </r>
    <r>
      <rPr>
        <b val="0"/>
        <i/>
      </rPr>
      <t>Journal of Pharmaceutical Sciences and Research</t>
    </r>
    <r>
      <rPr>
        <b val="0"/>
        <i val="0"/>
      </rPr>
      <t xml:space="preserve">, 3(3), 1087-1092.
</t>
    </r>
    <r>
      <rPr>
        <b/>
        <i val="0"/>
      </rPr>
      <t xml:space="preserve">15. </t>
    </r>
    <r>
      <rPr>
        <b val="0"/>
        <i val="0"/>
      </rPr>
      <t xml:space="preserve"> F. Adu, S. Y. Gbedema, P. Brown, K. Annan, </t>
    </r>
    <r>
      <rPr>
        <b/>
        <i val="0"/>
      </rPr>
      <t>V. E. Boamah,</t>
    </r>
    <r>
      <rPr>
        <b val="0"/>
        <i val="0"/>
      </rPr>
      <t xml:space="preserve"> (2011). Antimicrobial and free radical scavenging activity of Duranta Plumieri L., </t>
    </r>
    <r>
      <rPr>
        <b val="0"/>
        <i/>
      </rPr>
      <t>International Journal of Pharmaceutical Sciences and Research</t>
    </r>
    <r>
      <rPr>
        <b val="0"/>
        <i val="0"/>
      </rPr>
      <t xml:space="preserve">, 2(2), 282-287.
</t>
    </r>
    <r>
      <rPr>
        <b/>
        <i val="0"/>
      </rPr>
      <t xml:space="preserve">16. </t>
    </r>
    <r>
      <rPr>
        <b val="0"/>
        <i val="0"/>
      </rPr>
      <t xml:space="preserve"> Stephen Y. Gbedema, Francis Adu, Marcel T. Bayor, </t>
    </r>
    <r>
      <rPr>
        <b/>
        <i val="0"/>
      </rPr>
      <t>Vivian E. Arhin-Sam</t>
    </r>
    <r>
      <rPr>
        <b val="0"/>
        <i val="0"/>
      </rPr>
      <t xml:space="preserve">, Kofi Annan, (2010). In vitro antimicrobial study of the efficacy of a toothpaste formulated from Garcinia cola stem wood extract. </t>
    </r>
    <r>
      <rPr>
        <b val="0"/>
        <i/>
      </rPr>
      <t>International Journal of Pharmacy and Pharmaceutical Sciences</t>
    </r>
    <r>
      <rPr>
        <b val="0"/>
        <i val="0"/>
      </rPr>
      <t xml:space="preserve">. 2(2), 98-101.
</t>
    </r>
    <r>
      <rPr>
        <b val="0"/>
        <i/>
      </rPr>
      <t xml:space="preserve">
                                                                                                                                                                                                                                                                                                                                                                                                                                                                                                                                                                                                                                                                                                             </t>
    </r>
  </si>
  <si>
    <t>Peer Reviewed Articles</t>
  </si>
  <si>
    <t xml:space="preserve">Non- Peer- Reviewed Status </t>
  </si>
  <si>
    <t>John Boateng</t>
  </si>
  <si>
    <r>
      <rPr/>
      <t xml:space="preserve">
Tutu, A.R. Gupta, S., Boateng J.K., Elavarth S., Busingye J.D (2018). Exploring the development of a household Cholera-focused health literacy scale in James Town, Accra. </t>
    </r>
    <r>
      <rPr>
        <i/>
      </rPr>
      <t>Journal of Infection and Public Health,</t>
    </r>
    <r>
      <rPr/>
      <t xml:space="preserve"> pp 1-8 
Tutu, A.R. Gupta, S., Busingye J.D, Boateng J.K., Elavarth S.,   (2018). Self-reported functional communicative and critical health literacy on foodborne diseases in Accra, Ghana. </t>
    </r>
    <r>
      <rPr>
        <i/>
      </rPr>
      <t>Tropical Medicine and Health</t>
    </r>
    <r>
      <rPr/>
      <t>, 467: 15, pp 1-10. 
Inusah S., Boateng J.K., Kunduzore, S.S. (2018). Achieving free compulsory universal basic education through school feeding programme: Evidence from a deprived rural community in northern Ghana,</t>
    </r>
    <r>
      <rPr>
        <i/>
      </rPr>
      <t xml:space="preserve"> Cogent Education</t>
    </r>
    <r>
      <rPr/>
      <t xml:space="preserve">, 5, 1509429, pp 1-15.
Boateng J. K. (2017).Usability issues and support need: What is important to Ghanaian Learners. </t>
    </r>
    <r>
      <rPr>
        <i/>
      </rPr>
      <t>Journal of Research in Open, Distance and eLearning,</t>
    </r>
    <r>
      <rPr/>
      <t xml:space="preserve"> Vol 1, Issue 1, pp. 41-56
Boateng J.K. (2016). Accessibility considerations for e-learning in Ghana. </t>
    </r>
    <r>
      <rPr>
        <i/>
      </rPr>
      <t>Journal of Education and e-learning Research.</t>
    </r>
    <r>
      <rPr/>
      <t xml:space="preserve"> Vol 3, No.4, pp 124-129. 
Tutu, R.A., Boateng, J.K., Ameyaw, E.E., &amp; Busingye, J.D.(2016). Acculturation inclinations and subjective health status of internal migrants in James Town, an urban slum settlement in Accra. </t>
    </r>
    <r>
      <rPr>
        <i/>
      </rPr>
      <t>Journal of Population Research,</t>
    </r>
    <r>
      <rPr/>
      <t xml:space="preserve"> Doi: 10.1007/s12546-016-9182-z 
Tutu R.A., Boateng, J.K., Busingye J.D, &amp; Ameyaw, E. (2016), “Togetherness in difference”: Perceived Personal Discrimination and Acculturation Preferences. Among Internal Migrants in Poor Urban Community in Accra. Journal of Asia and African Studies (JAAS), November, pp 1-17 
Tutu R.A., Boateng, J.K., Busingye J.D, &amp; Ameyaw, E. (2016), Asymmetry in an uneven place: migrants’ lifestyles, social capital, and self-rated health status in James Town, Accra, GeoJournal, 1-15                                                                                                                                                                                                                                                                                                                                           Boateng, J. K., (2015). Adults Pursuing e-Learning in Ghana – Opportunities, Challenges and Expectations. </t>
    </r>
    <r>
      <rPr>
        <i/>
      </rPr>
      <t>Journal of Education and E-learning Research</t>
    </r>
    <r>
      <rPr/>
      <t xml:space="preserve">. ISSN: 2410 –9991, Vol 2, No. 4, 64-71. </t>
    </r>
    <r>
      <rPr>
        <color rgb="FF1155CC"/>
        <u/>
      </rPr>
      <t>http://asianonlinejournals.com/index.php/JEELR</t>
    </r>
    <r>
      <rPr/>
      <t xml:space="preserve"> </t>
    </r>
    <r>
      <rPr>
        <b/>
      </rPr>
      <t xml:space="preserve">                                                                                                                                                                                                                                                                                             </t>
    </r>
    <r>
      <rPr/>
      <t xml:space="preserve">Boateng J. K., Boadi C. (2015). Teachers’ Perception on Assessment Strategies for Continuing Education; John Kwame Boateng, Caleb Boadi. </t>
    </r>
    <r>
      <rPr>
        <i/>
      </rPr>
      <t>International Journal of Economics, Commerce and Management,</t>
    </r>
    <r>
      <rPr/>
      <t xml:space="preserve"> Vol. 3, Issue 3, ISSN 0386, pp 1 – 13, http://ijecm.co.uk/ 
Boateng, J. K., Eghan, A. Osafo-Adu, M., (2015). Quality Assurance and Employability of Graduates in a Ghanaian University.</t>
    </r>
    <r>
      <rPr>
        <i/>
      </rPr>
      <t xml:space="preserve"> Journal of Education and E-learning Research,</t>
    </r>
    <r>
      <rPr/>
      <t xml:space="preserve"> Vol 2, No. 3, 42-51. http://asianonlinejournals.com/index.php/JEELR
Boateng J. K., Boadi C. (2015). Evaluating Teachers of Adult Learners in Reflective Practice. I</t>
    </r>
    <r>
      <rPr>
        <i/>
      </rPr>
      <t>nternational Journal of Economics, Commerce and Management</t>
    </r>
    <r>
      <rPr/>
      <t xml:space="preserve">, Vol. 3 Issue 3. ISSN 2348 0386, pp 1 – 15, http://ijecm.co.uk/ 
Boateng J.K., Tetteh, H., Boateng J (2015). Managerial and usage challenges  associated with the E-zwich payment system in Ghana. </t>
    </r>
    <r>
      <rPr>
        <i/>
      </rPr>
      <t>International Journal of Economics, Commerce and Management</t>
    </r>
    <r>
      <rPr/>
      <t xml:space="preserve">, Vol. III, Issue 2, (February 2015), United Kingdom, ISSN 2348 0386; United Kingdom, http://ijecm.co.uk/ ; pp 1-17. 
Boateng J.K., Eghan, A. Osafo Adu M. (2015). Academic Managers’ Evaluation of  Adult Learning in a Summer School. </t>
    </r>
    <r>
      <rPr>
        <i/>
      </rPr>
      <t>International Journal of Economics, Commerce and Management</t>
    </r>
    <r>
      <rPr/>
      <t xml:space="preserve">, Vol. III, issue 2, (February 2015), United Kingdom, ISSN 2348 0386; United Kingdom, http://ijecm.co.uk/ ; pp 1-15.
Boateng, J.K., (2015). Management, challenges and expectations for expanding access to online adult education programme. </t>
    </r>
    <r>
      <rPr>
        <i/>
      </rPr>
      <t>International Journal of Economics, Commerce and Management,</t>
    </r>
    <r>
      <rPr/>
      <t xml:space="preserve"> Vol. III, Issue 2, (February 2015), United Kingdom,  ISSN 2348 0386; United Kingdom, http://ijecm.co.uk/ ; pp 1-15.                                                                                                                                                                                                    Adomako Ampofo, A., Boateng. J. (2007) "Understanding Masculinities; Empowering Women: What Have Boys got to do with it?" In Elliot, Carolyn. (ed) Gender Issues, New York Routledge, pp 247 – 264.                                                                                                                                                                                                                                                                                                                          Adomako Ampofo, A., Boateng, J. (2007) From boys to men: Social construction of masculinity in contemporary society.  In Ratele, Kopano, Tammy Shefer (eds.) Men and Masculinities. Cape Town Press, pp 50 - 74 . 
Boateng J.K., Tuntieya, M., Boateng J. (2015). Leadership as a motivational tool foremployee’s job related outcomes. </t>
    </r>
    <r>
      <rPr>
        <i/>
      </rPr>
      <t>International Journal of Economics, Commerce and Management</t>
    </r>
    <r>
      <rPr/>
      <t xml:space="preserve">. Vol III, Issue 1, United Kingdom, ISSN 23480386, http://ijecm.co.uk/, pp 1-17.
Boateng J.K., Eghan, A. Osafo Adu M. (2015). Enhancing graduate attributes and employability through standards aligned curriculum delivery. </t>
    </r>
    <r>
      <rPr>
        <i/>
      </rPr>
      <t>International Journal of Economics, Commerce and Management.</t>
    </r>
    <r>
      <rPr/>
      <t xml:space="preserve"> Vol III, Issue 1, United Kingdom, ISSN 23480386, http://ijecm.co.uk/, pp 1-17. 
Boateng, J.K., Nyaaba C.K.K. (2014). Perceptions on the impact of METASIP on food security in Ghana. Developing Country Studies, ISSN 2224-607X (</t>
    </r>
    <r>
      <rPr>
        <b/>
      </rPr>
      <t>paper</t>
    </r>
    <r>
      <rPr/>
      <t xml:space="preserve">) ISSN 222-0565 (online) Vol 4; No. 15 pp. 144-154.
Boateng, J.K., Ansah H.K., (2014). A comparison of “Well-Endowed” and “Deprived” Districts in Education Delivery in Ghana. </t>
    </r>
    <r>
      <rPr>
        <i/>
      </rPr>
      <t>Journal of Education and Practice</t>
    </r>
    <r>
      <rPr/>
      <t xml:space="preserve">, ISSN 222-1735 (paper) ISSN 2222-288X (online), Vol 5, No. 20, pp 165-176
Boateng J.K., Buahing, A.A. (2014). Assessing Educational Needs of Workers on Effective Health, Safety, Environment and Quality (HSEQ) Management System in Ghana’s Oil Retail Industry. </t>
    </r>
    <r>
      <rPr>
        <i/>
      </rPr>
      <t>European Journal of Business and Management.</t>
    </r>
    <r>
      <rPr/>
      <t xml:space="preserve"> ISSN 222-1905 (paper) ISSN 2222-2839 (online), Vol 6, No. 20, pp 190-199.
Boateng, J.K., Arthur, Y.A., (2014). Influence of Risk Management Practices on Service Quality in Health Care Delivery. </t>
    </r>
    <r>
      <rPr>
        <i/>
      </rPr>
      <t>Journal of Economics and Sustainable Development.</t>
    </r>
    <r>
      <rPr/>
      <t xml:space="preserve"> ISSN 2222-1700 (paper), ISSN 222-2855 (online) Vol 5, No. 14, pp 176-185.
Boateng, J.K (2014). Barriers to Internal Quality Assurance in Ghanaian Private Tertiary Institutions. Research on Humanities and Social Sciences, ISSN 2222 – 1719(</t>
    </r>
    <r>
      <rPr>
        <b/>
      </rPr>
      <t>paper</t>
    </r>
    <r>
      <rPr/>
      <t xml:space="preserve">), ISSN-2222-2863 (online), Vol 4, No. 2, pp 1-9.
Boateng J.K., (2014). Quality Assurance and Internationalization in a Private University College. </t>
    </r>
    <r>
      <rPr>
        <i/>
      </rPr>
      <t>Journal of Education and Practice.</t>
    </r>
    <r>
      <rPr/>
      <t xml:space="preserve"> ISSN 2222-1735  (paper) ISSN 2222-288X (online), Vol 5, No. 3, pp 122-131.                  
Boateng J.K., (2014). The Role of Education, Religion and Politics in Resolving the Dilemma of the Modern African State. Developing Country Studies. ISSN 2224-607X (</t>
    </r>
    <r>
      <rPr>
        <b/>
      </rPr>
      <t>paper</t>
    </r>
    <r>
      <rPr/>
      <t>) ISSN 2225-0565 (online), Vol 4, No. 2, pp 19- 
Boateng J.K. (2014). Effect of Education and Social Factors on Hygiene and  Prevention Behaviour of Women in Ghana. Research on Humanities  and Social Sciences.  ISSN 2222-1719 (</t>
    </r>
    <r>
      <rPr>
        <b/>
      </rPr>
      <t>paper</t>
    </r>
    <r>
      <rPr/>
      <t xml:space="preserve">), ISSN 2222-2863 (online), Vol 4, No. 2, pp 10-19.
Boateng J.K., Dziwornu, S.,(2014). Factors Affecting Quality Assurance Systems and Practices in Ghanaian Tertiary Education. Tertiary Education Series, Vol 7, No. 3 pp
Boateng J.K, (2014) Promoting Health Literacy through Open Educational Resources in Cape Coast, Ghana; African Health Newsletter, </t>
    </r>
    <r>
      <rPr>
        <i/>
      </rPr>
      <t>OER Africa</t>
    </r>
    <r>
      <rPr/>
      <t xml:space="preserve">, Volume 5, No. 1 Pp 1-3 .
Boateng J. K. (2012). Promoting student participation in quality enhancement at the Wisconsin international University College (WIUC). </t>
    </r>
    <r>
      <rPr>
        <i/>
      </rPr>
      <t>International Journal of Educational Leadership (IJEL);</t>
    </r>
    <r>
      <rPr/>
      <t xml:space="preserve"> Volume 4, Number 4, pp. 125 – 132.  (moved to peer-review)    
Boateng J.K. , Flanagan, C., (2008). Women’s Access to health care in Ghana: Effects of Education, residence, lineage and self-determination.n </t>
    </r>
    <r>
      <rPr>
        <i/>
      </rPr>
      <t>Biodemography and Social Biology</t>
    </r>
    <r>
      <rPr/>
      <t xml:space="preserve">, Vol 54, No. 1, pp 56 - 73
Mayuki T., Snyder R., Boateng, J.K., Lamont, W.J., Orzolek, D.M.D., Brown, K.M. and Lynch, J.P. (2006). Utility of Alumina Buffered Phosphorus Fertilizer for Vegetable Production. </t>
    </r>
    <r>
      <rPr>
        <i/>
      </rPr>
      <t xml:space="preserve">HortScience </t>
    </r>
    <r>
      <rPr/>
      <t xml:space="preserve"> Vol 41 , No.3, pp 775-779.
Jackson, D. G., &amp; Boateng J.K. (2006). Ten suggestions for a positive International Extension Experience </t>
    </r>
    <r>
      <rPr>
        <i/>
      </rPr>
      <t>AIAEE Journal</t>
    </r>
    <r>
      <rPr/>
      <t xml:space="preserve">. Proceedings of the 22 Annual Conference, Clearwater Beach, Florida, USA. Pp 282- 288.
Boateng, J.K, Govere, E. (2005, May). Criteria for deciding the breadth and depth of Topics in a time-constrained one-semester agroforestry course. </t>
    </r>
    <r>
      <rPr>
        <i/>
      </rPr>
      <t>Association for International Agricultural and Extension Education</t>
    </r>
    <r>
      <rPr/>
      <t xml:space="preserve"> </t>
    </r>
    <r>
      <rPr>
        <i/>
      </rPr>
      <t>(AIAEE) Journal</t>
    </r>
    <r>
      <rPr/>
      <t xml:space="preserve">, Proceedings of the 21 Annual Conference, San Antonio, Texas, USA. Pp 390 - 401. 
Bruening T., Boateng J. K. (2005, May). Reinventing the Teaching and Learning Process: Lessons from the University of the North. </t>
    </r>
    <r>
      <rPr>
        <i/>
      </rPr>
      <t>Association for International Agricultural and Extension Education (AIAEE) Journa</t>
    </r>
    <r>
      <rPr/>
      <t xml:space="preserve">l, Proceedings of the 21 Annual Conference, San Antonio, Texas, USA. Pp 402 - 410. 
Boateng, J.K., Adomako-Ampofo, A., Flanagan, C., Galley L, Yakah, J. (2006, May). Gender socialization of preteen youths in Ghana: Alternative approaches for Extension. Association for International Agricultural and </t>
    </r>
    <r>
      <rPr>
        <i/>
      </rPr>
      <t>Extension Education (AIAEE) Journa</t>
    </r>
    <r>
      <rPr/>
      <t xml:space="preserve">l, Proceedings of the 22 Annual Conference, Clearwater Beach, Florida, USA. Pp 70 - 78.
Boateng, J.K. Flanagan C., Gallay, L. (2006, May). Sustaining democratic governance in Ghana. The Interdependence of Health, Agriculture and Extension Education. </t>
    </r>
    <r>
      <rPr>
        <i/>
      </rPr>
      <t>Association for International Agricultural and</t>
    </r>
    <r>
      <rPr/>
      <t xml:space="preserve"> </t>
    </r>
    <r>
      <rPr>
        <i/>
      </rPr>
      <t>Extension Education (AIAEE) Journa</t>
    </r>
    <r>
      <rPr/>
      <t xml:space="preserve">l, Proceedings of the 22 Annual Conference, Clearwater Beach, Florida, USA. Pp 60 - 69. 
Boateng J.K. (2005, May) Rising youth unemployment in Ghana: What can agricultural education does to improve employability of graduating 
students? Association for </t>
    </r>
    <r>
      <rPr>
        <i/>
      </rPr>
      <t>International Agricultural and Extension Education (AIAEE) Journal</t>
    </r>
    <r>
      <rPr/>
      <t xml:space="preserve">, Proceedings of the 21 Annual Conference, San Antonio, Texas, USA. Pp 668 – 677       
Boateng J. K., Boadi C. (2015). Teachers’ Perception on Assessment Strategies for Continuing Education; John Kwame Boateng, Caleb Boadi. </t>
    </r>
    <r>
      <rPr>
        <i/>
      </rPr>
      <t xml:space="preserve">International Journal of Economics, </t>
    </r>
    <r>
      <rPr/>
      <t xml:space="preserve">Commerce and Management, Vol. 3, Issue 3, ISSN 0386, pp 1 – 13, </t>
    </r>
    <r>
      <rPr>
        <color rgb="FF1155CC"/>
        <u/>
      </rPr>
      <t>http://ijecm.co.uk/.</t>
    </r>
    <r>
      <rPr/>
      <t xml:space="preserve">                                                                                                                                                                                                                                                                                           Adomako Ampofo, A., Boateng. J. (2007) "Understanding Masculinities; Empowering Women: What Have Boys got to do with it?" In Elliot, Carolyn. (ed) Gender Issues, New York Routledge, pp 247 – 264.        Boateng, J.K., Arthur, Y.A., (2014). Influence of Risk Management Practices on Service Quality in Health Care Delivery. </t>
    </r>
    <r>
      <rPr>
        <i/>
      </rPr>
      <t>Journal of Economics and Sustainable Development.</t>
    </r>
    <r>
      <rPr/>
      <t xml:space="preserve"> ISSN 2222-1700 (paper), ISSN 222-2855 (online) Vol 5, No. 14, pp 176-185.                                                                                                                                                                                                                                                                                                                         Boateng J.K. (2014). Effect of Education and Social Factors on Hygiene and  Prevention Behaviour of Women in Ghana. Research on Humanities  and Social Sciences.  ISSN 2222-1719 (</t>
    </r>
    <r>
      <rPr>
        <b/>
      </rPr>
      <t>paper</t>
    </r>
    <r>
      <rPr/>
      <t xml:space="preserve">), ISSN 2222-2863 (online), Vol 4, No. 2, pp 10-19.                                                                                                                                                                                                                                                                                                                                             Boateng J.K. , Flanagan, C., (2008). Women’s Access to health care in Ghana: Effects of Education, residence, lineage and self-determination. </t>
    </r>
    <r>
      <rPr>
        <i/>
      </rPr>
      <t>Biodemography and Social Biology</t>
    </r>
    <r>
      <rPr/>
      <t>, Vol 54, No. 1, pp 56 - 73.                                                                                                                                                                                                                                                                                                                                   Boateng, J.K., Adomako-Ampofo, A., Flanagan, C., Galley L, Yakah, J. (2006, May). Gender socialization of preteen youths in Ghana: Alternative approaches for Extension. Association for International Agricultural and Extension Education</t>
    </r>
    <r>
      <rPr>
        <i/>
      </rPr>
      <t xml:space="preserve"> (AIAEE) Journal</t>
    </r>
    <r>
      <rPr/>
      <t xml:space="preserve">, Proceedings of the 22 Annual Conference, Clearwater Beach, Florida, USA. Pp 70 - 78.                                                                                                                                                             Mayuki T., Snyder R., Boateng, J.K., Lamont, W.J., Orzolek, D.M.D., Brown, K.M. and Lynch, J.P. (2006). Utility of Alumina Buffered Phosphorus Fertilizer for Vegetable Production. HortScience  Vol 41 , No.3, pp 775-779.      Jackson, D. G., &amp; Boateng J.K. (2006). Ten suggestions for a positive International Extension Experience </t>
    </r>
    <r>
      <rPr>
        <i/>
      </rPr>
      <t>AIAEE Journal</t>
    </r>
    <r>
      <rPr/>
      <t xml:space="preserve">. Proceedings of the 22 Annual Conference, Clearwater Beach, Florida, USA. Pp 282- 288.   Jackson, D. G., &amp; Boateng J.K. (2006). Ten suggestions for a positive International Extension Experience </t>
    </r>
    <r>
      <rPr>
        <i/>
      </rPr>
      <t>AIAEE Journal</t>
    </r>
    <r>
      <rPr/>
      <t xml:space="preserve">. Proceedings of the 22 Annual Conference, Clearwater Beach, Florida, USA. Pp 282- 288.                         </t>
    </r>
  </si>
  <si>
    <r>
      <rPr/>
      <t xml:space="preserve">Boateng, J.K. (2019). Education, Social Capital, Physical and Psychological Access to Health Care among Female Migrants in Informal Settlements in Accra City, Ghana.     </t>
    </r>
    <r>
      <rPr>
        <color rgb="FFFF0000"/>
      </rPr>
      <t xml:space="preserve">Book </t>
    </r>
    <r>
      <rPr/>
      <t xml:space="preserve">   In Biao I (2019) (ed) Learning Cities, Town Planning and the Creation of Livelihoods. IGI Global, Hershey, Pennsylvania, USA, pp 205-232.</t>
    </r>
    <r>
      <rPr>
        <color rgb="FFFF0000"/>
      </rPr>
      <t xml:space="preserve"> (can't identify)</t>
    </r>
    <r>
      <rPr/>
      <t xml:space="preserve">
Boateng J.K., Tutu, R.A. (2018). Navigating the Uncertain Path of Research Partnership: The Role of Information Communication. Technology in Facilitating Activities of a Research Collaboration, JHEA/RESA Vol. 16, No. 1, 2018, pp. 86-103 © Council for the Development of Social Science Research in Africa, 2018 (ISSN 0851-7762).</t>
    </r>
    <r>
      <rPr>
        <color rgb="FFFF0000"/>
      </rPr>
      <t xml:space="preserve"> Book</t>
    </r>
    <r>
      <rPr/>
      <t xml:space="preserve">
Tutu, A.R. Gupta, S., Boateng J.K., Elavarth S., Busingye J.D (2018). Exploring the development of a household Cholera-focused health literacy scale in James Town, Accra. </t>
    </r>
    <r>
      <rPr>
        <i/>
      </rPr>
      <t>Journal of Infection</t>
    </r>
    <r>
      <rPr/>
      <t xml:space="preserve"> and Public Health, pp 1-8 </t>
    </r>
    <r>
      <rPr>
        <color rgb="FFFF0000"/>
      </rPr>
      <t>(moved to peer-reviewed)</t>
    </r>
    <r>
      <rPr/>
      <t xml:space="preserve">
Tutu, A.R. Gupta, S., Busingye J.D, Boateng J.K., Elavarth S.,   (2018). Self-reported functional communicative and critical health literacy on foodborne diseases in Accra, Ghana. </t>
    </r>
    <r>
      <rPr>
        <i/>
      </rPr>
      <t>Tropical Medicine and Health</t>
    </r>
    <r>
      <rPr/>
      <t>, 467: 15, pp 1-10.</t>
    </r>
    <r>
      <rPr>
        <color rgb="FFFF0000"/>
      </rPr>
      <t xml:space="preserve"> (moved to peer-reviewed)</t>
    </r>
    <r>
      <rPr/>
      <t xml:space="preserve">
Inusah S., Boateng J.K., Kunduzore, S.S. (2018). Achieving free compulsory universal basic education through school feeding programme: Evidence from a deprived rural community in northern Ghana,</t>
    </r>
    <r>
      <rPr>
        <i/>
      </rPr>
      <t xml:space="preserve"> Cogent Education</t>
    </r>
    <r>
      <rPr/>
      <t>, 5, 1509429, pp 1-15.</t>
    </r>
    <r>
      <rPr>
        <color rgb="FFFF0000"/>
      </rPr>
      <t>(moved to peer-reviewed)</t>
    </r>
    <r>
      <rPr/>
      <t xml:space="preserve">
Boateng J. K. (2017).Usability issues and support need: What is important to Ghanaian Learners.</t>
    </r>
    <r>
      <rPr>
        <i/>
      </rPr>
      <t xml:space="preserve"> Journal of Research in Open, Distance and eLearning</t>
    </r>
    <r>
      <rPr/>
      <t xml:space="preserve">, Vol 1, Issue 1, pp. 41-56 </t>
    </r>
    <r>
      <rPr>
        <color rgb="FFFF0000"/>
      </rPr>
      <t>(moved to peer-reviewed)</t>
    </r>
    <r>
      <rPr/>
      <t xml:space="preserve">
Boateng J.K. (2016). Accessibility considerations for e-learning in Ghana.</t>
    </r>
    <r>
      <rPr>
        <i/>
      </rPr>
      <t xml:space="preserve"> Journal of Education and e-learning Research</t>
    </r>
    <r>
      <rPr/>
      <t xml:space="preserve">. Vol 3, No.4, pp 124-129. </t>
    </r>
    <r>
      <rPr>
        <color rgb="FFFF0000"/>
      </rPr>
      <t>(moved to peer-review)</t>
    </r>
    <r>
      <rPr/>
      <t xml:space="preserve">
Tutu, R.A., Boateng, J.K., Ameyaw, E.E., &amp; Busingye, J.D.(2016). Acculturation inclinations and subjective health status of internal migrants in James Town, an urban slum settlement in Accra. </t>
    </r>
    <r>
      <rPr>
        <i/>
      </rPr>
      <t>Journal of Population Research</t>
    </r>
    <r>
      <rPr/>
      <t xml:space="preserve">, Doi: 10.1007/s12546-016-9182- </t>
    </r>
    <r>
      <rPr>
        <color rgb="FFFF0000"/>
      </rPr>
      <t>(moved to peer-reviewed)</t>
    </r>
    <r>
      <rPr/>
      <t xml:space="preserve">
Tutu R.A., Boateng, J.K., Busingye J.D, &amp; Ameyaw, E. (2016), “Togetherness in difference”: Perceived Personal Discrimination and Acculturation Preferences. Among Internal Migrants in Poor Urban Community in Accra. J</t>
    </r>
    <r>
      <rPr>
        <i/>
      </rPr>
      <t>ournal of Asia and African Studies (JAAS),</t>
    </r>
    <r>
      <rPr/>
      <t xml:space="preserve"> November, pp 1-17 </t>
    </r>
    <r>
      <rPr>
        <color rgb="FFFF0000"/>
      </rPr>
      <t>(moved to peer-reviewed)</t>
    </r>
    <r>
      <rPr/>
      <t xml:space="preserve">
Tutu R.A., Boateng, J.K., Busingye J.D, &amp; Ameyaw, E. (2016), Asymmetry in an  uneven place: migrants’ lifestyles, social capital, and self-rated health status in James Town, Accra, </t>
    </r>
    <r>
      <rPr>
        <i/>
      </rPr>
      <t>GeoJournal,</t>
    </r>
    <r>
      <rPr/>
      <t xml:space="preserve"> 1-15 pp. </t>
    </r>
    <r>
      <rPr>
        <color rgb="FFFF0000"/>
      </rPr>
      <t>(moved to peer-review)</t>
    </r>
    <r>
      <rPr/>
      <t xml:space="preserve">
Boateng J.K., Tutu, R.A. (2016). Navigating the Uncertain Path of Research Partnership: The Role of Information Communication Technology in Facilitating Activities of a Research Collaboration, JHEA Manuscript,  under review, 1-31 pp.</t>
    </r>
    <r>
      <rPr>
        <color rgb="FFFF0000"/>
      </rPr>
      <t xml:space="preserve"> (couldn't identify)</t>
    </r>
    <r>
      <rPr/>
      <t xml:space="preserve">
Boateng, J. K., (2015). Adults Pursuing e-Learning in Ghana – Opportunities, Challenges and Expectations. </t>
    </r>
    <r>
      <rPr>
        <i/>
      </rPr>
      <t>Journal of Education and E-learning Research. I</t>
    </r>
    <r>
      <rPr/>
      <t xml:space="preserve">SSN: 2410 –9991, Vol 2, No. 4, 64-71. </t>
    </r>
    <r>
      <rPr>
        <color rgb="FF1155CC"/>
        <u/>
      </rPr>
      <t>http://asianonlinejournals.com/index.php/JEELR</t>
    </r>
    <r>
      <rPr/>
      <t xml:space="preserve"> </t>
    </r>
    <r>
      <rPr>
        <color rgb="FFFF0000"/>
      </rPr>
      <t>(moved to peer-review)</t>
    </r>
    <r>
      <rPr/>
      <t xml:space="preserve">
Boateng, J. K., Eghan, A. Osafo-Adu, M., (2015). Quality Assurance and Employability of Graduates in a Ghanaian University. </t>
    </r>
    <r>
      <rPr>
        <i/>
      </rPr>
      <t>Journal of Education and E-learning Research</t>
    </r>
    <r>
      <rPr/>
      <t xml:space="preserve">, Vol 2, No. 3, 42-51. </t>
    </r>
    <r>
      <rPr>
        <color rgb="FF1155CC"/>
        <u/>
      </rPr>
      <t>http://asianonlinejournals.com/index.php/JEELR</t>
    </r>
    <r>
      <rPr/>
      <t xml:space="preserve"> </t>
    </r>
    <r>
      <rPr>
        <color rgb="FFFF0000"/>
      </rPr>
      <t>(moved to peer-review)</t>
    </r>
    <r>
      <rPr/>
      <t xml:space="preserve">
Boateng J. K., Boadi C. (2015). Teachers’ Perception on Assessment Strategies for Continuing Education; John Kwame Boateng, Caleb Boadi. </t>
    </r>
    <r>
      <rPr>
        <i/>
      </rPr>
      <t>International Journal of Economics, Commerce and Management</t>
    </r>
    <r>
      <rPr/>
      <t>, Vol. 3, Issue 3, ISSN 0386, pp 1 – 13</t>
    </r>
    <r>
      <rPr>
        <b/>
      </rPr>
      <t xml:space="preserve">, </t>
    </r>
    <r>
      <rPr>
        <b/>
        <color rgb="FF1155CC"/>
        <u/>
      </rPr>
      <t>http://ijecm.co.uk/</t>
    </r>
    <r>
      <rPr>
        <b/>
      </rPr>
      <t xml:space="preserve"> </t>
    </r>
    <r>
      <rPr>
        <color rgb="FFFF0000"/>
      </rPr>
      <t>(moved to peer-review)</t>
    </r>
    <r>
      <rPr/>
      <t xml:space="preserve">
Boateng J. K., Boadi C. (2015). Evaluating Teachers of Adult Learners in Reflective Practice. </t>
    </r>
    <r>
      <rPr>
        <i/>
      </rPr>
      <t>International Journal of Economics, Commerce and Management,</t>
    </r>
    <r>
      <rPr/>
      <t xml:space="preserve"> Vol. 3 Issue 3. ISSN 2348 0386, pp 1 – 15, </t>
    </r>
    <r>
      <rPr>
        <color rgb="FF1155CC"/>
        <u/>
      </rPr>
      <t>http://ijecm.co.uk/</t>
    </r>
    <r>
      <rPr/>
      <t xml:space="preserve"> </t>
    </r>
    <r>
      <rPr>
        <color rgb="FFFF0000"/>
      </rPr>
      <t>(moved to peer-review)</t>
    </r>
    <r>
      <rPr/>
      <t xml:space="preserve">
Boateng J.K., Tetteh, H., Boateng J (2015). Managerial and usage challenges  associated with the E-zwich payment system in Ghana. </t>
    </r>
    <r>
      <rPr>
        <i/>
      </rPr>
      <t xml:space="preserve">International Journal of Economics, Commerce and Management, </t>
    </r>
    <r>
      <rPr/>
      <t xml:space="preserve">Vol. III, Issue 2, (February 2015), United Kingdom, ISSN 2348 0386; United Kingdom, http://ijecm.co.uk/ ; pp 1-17. </t>
    </r>
    <r>
      <rPr>
        <color rgb="FFFF0000"/>
      </rPr>
      <t>(moved to peer-review)</t>
    </r>
    <r>
      <rPr/>
      <t xml:space="preserve">
Boateng J.K., Eghan, A. Osafo Adu M. (2015). Academic Managers’ Evaluation of  Adult Learning in a Summer School. International</t>
    </r>
    <r>
      <rPr>
        <i/>
      </rPr>
      <t xml:space="preserve"> Journal of Economics, Commerce and Management</t>
    </r>
    <r>
      <rPr/>
      <t>, Vol. III, issue 2, (February 2015), United Kingdom, ISSN 2348 0386; United Kingdom, http://ijecm.co.uk/ ; pp 1-15.</t>
    </r>
    <r>
      <rPr>
        <color rgb="FFFF0000"/>
      </rPr>
      <t>(moved to peer-review)</t>
    </r>
    <r>
      <rPr/>
      <t xml:space="preserve">
Boateng, J.K., (2015). Management, challenges and expectations for expanding access to online adult education programme. </t>
    </r>
    <r>
      <rPr>
        <i/>
      </rPr>
      <t>International Journal of Economics, Commerce and Management</t>
    </r>
    <r>
      <rPr/>
      <t xml:space="preserve">, Vol. III, Issue 2, (February 2015), United Kingdom,  ISSN 2348 0386; United Kingdom, http://ijecm.co.uk/ ; pp 1-15. </t>
    </r>
    <r>
      <rPr>
        <color rgb="FFFF0000"/>
      </rPr>
      <t>(moved to peer-review)</t>
    </r>
    <r>
      <rPr/>
      <t xml:space="preserve">
Boateng J.K., Tuntieya, M., Boateng J. (2015). Leadership as a motivational tool foremployee’s job related outcomes. International </t>
    </r>
    <r>
      <rPr>
        <i/>
      </rPr>
      <t>Journal of Economics,</t>
    </r>
    <r>
      <rPr/>
      <t xml:space="preserve"> Commerce and Management. Vol III, Issue 1, United Kingdom, ISSN 23480386, http://ijecm.co.uk/, pp 1-17</t>
    </r>
    <r>
      <rPr>
        <color rgb="FFFF0000"/>
      </rPr>
      <t>.(moved to peer-review)</t>
    </r>
    <r>
      <rPr/>
      <t xml:space="preserve">
Boateng J.K., Eghan, A. Osafo Adu M. (2015). Enhancing graduate attributes and employability through standards aligned curriculum delivery. </t>
    </r>
    <r>
      <rPr>
        <i/>
      </rPr>
      <t xml:space="preserve">International Journal of Economics, Commerce and Management. </t>
    </r>
    <r>
      <rPr/>
      <t xml:space="preserve">Vol III, Issue 1, United Kingdom, ISSN 23480386, http://ijecm.co.uk/, pp 1-17. </t>
    </r>
    <r>
      <rPr>
        <color rgb="FFFF0000"/>
      </rPr>
      <t>(moved to peer-review)</t>
    </r>
    <r>
      <rPr/>
      <t xml:space="preserve">
Boateng, J.K., Nyaaba C.K.K. (2014). Perceptions on the impact of METASIP on food security in Ghana. Developing Country Studies, ISSN 2224-607X (paper) ISSN 222-0565 (online) Vol 4; No. 15 pp. 144-154.</t>
    </r>
    <r>
      <rPr>
        <color rgb="FFFF0000"/>
      </rPr>
      <t xml:space="preserve"> paper</t>
    </r>
    <r>
      <rPr/>
      <t xml:space="preserve">
Boateng, J.K., Ansah H.K., (2014). A comparison of “Well-Endowed” and “Deprived” Districts in Education Delivery in Ghana. J</t>
    </r>
    <r>
      <rPr>
        <i/>
      </rPr>
      <t>ournal of Education and Practice,</t>
    </r>
    <r>
      <rPr/>
      <t xml:space="preserve"> ISSN 222-1735 (paper) ISSN 2222-288X (online), Vol 5, No. 20, pp 165-176</t>
    </r>
    <r>
      <rPr>
        <color rgb="FFFF0000"/>
      </rPr>
      <t xml:space="preserve"> (moved to peer-review)</t>
    </r>
    <r>
      <rPr/>
      <t xml:space="preserve">
Boateng J.K., Buahing, A.A. (2014). Assessing Educational Needs of Workers on Effective Health, Safety, Environment and Quality (HSEQ) Management System in Ghana’s Oil Retail Industry. European </t>
    </r>
    <r>
      <rPr>
        <i/>
      </rPr>
      <t xml:space="preserve">Journal of Business and Management. </t>
    </r>
    <r>
      <rPr/>
      <t>ISSN 222-1905 (paper) ISSN 2222-2839 (online), Vol 6, No. 20, pp 190-199</t>
    </r>
    <r>
      <rPr>
        <color rgb="FFFF0000"/>
      </rPr>
      <t>. (moved to peer-review)</t>
    </r>
    <r>
      <rPr/>
      <t xml:space="preserve">
Boateng, J.K., Arthur, Y.A., (2014). Influence of Risk Management Practices on Service Quality in Health Care Delivery. </t>
    </r>
    <r>
      <rPr>
        <i/>
      </rPr>
      <t>Journal of Economics and 
Sustainable Development</t>
    </r>
    <r>
      <rPr/>
      <t xml:space="preserve">. ISSN 2222-1700 (paper), ISSN 222-2855 (online) Vol 5, No. 14, pp 176-185. </t>
    </r>
    <r>
      <rPr>
        <color rgb="FFFF0000"/>
      </rPr>
      <t>(moved to peer-reviewed)</t>
    </r>
    <r>
      <rPr/>
      <t xml:space="preserve">
Boateng, J.K (2014). Barriers to Internal Quality Assurance in Ghanaian Private Tertiary Institutions. Research on Humanities and Social Sciences, ISSN 2222 – 1719(paper), ISSN-2222-2863 (online), Vol 4, No. 2, pp 1-9.</t>
    </r>
    <r>
      <rPr>
        <color rgb="FFFF0000"/>
      </rPr>
      <t xml:space="preserve"> paper</t>
    </r>
    <r>
      <rPr/>
      <t xml:space="preserve">
Boateng J.K., (2014). Quality Assurance and Internationalization in a Private University College. </t>
    </r>
    <r>
      <rPr>
        <i/>
      </rPr>
      <t xml:space="preserve">Journal of Education and Practice. </t>
    </r>
    <r>
      <rPr/>
      <t xml:space="preserve">ISSN 2222-1735  paper ISSN 2222-288X (online), Vol 5, No. 3, pp 122-131.   </t>
    </r>
    <r>
      <rPr>
        <color rgb="FFFF0000"/>
      </rPr>
      <t>(Moved to peer-reviewed)</t>
    </r>
    <r>
      <rPr/>
      <t xml:space="preserve">                
Boateng J.K., (2014). The Role of Education, Religion and Politics in Resolving the Dilemma of the Modern African State. Developing Country Studies. ISSN 2224-607X (paper) ISSN 2225-0565 (online), Vol 4, No. 2, pp 19-   </t>
    </r>
    <r>
      <rPr>
        <color rgb="FFFF0000"/>
      </rPr>
      <t xml:space="preserve"> paper</t>
    </r>
    <r>
      <rPr/>
      <t xml:space="preserve">
Boateng J.K. (2014). Effect of Education and Social Factors on Hygiene and  Prevention Behaviour of Women in Ghana. Research on Humanities  and Social Sciences.  ISSN 2222-1719 (paper), ISSN 2222-2863 (online), Vol 4, No. 2, pp 10-19. </t>
    </r>
    <r>
      <rPr>
        <color rgb="FFFF0000"/>
      </rPr>
      <t>(moved to peer-reviewed)</t>
    </r>
    <r>
      <rPr/>
      <t xml:space="preserve">
Boateng J.K., Dziwornu, S.,(2014). Factors Affecting Quality Assurance Systems and Practices in Ghanaian Tertiary Education. </t>
    </r>
    <r>
      <rPr>
        <i/>
      </rPr>
      <t>Tertiary Education Series</t>
    </r>
    <r>
      <rPr/>
      <t xml:space="preserve">, Vol 7, No. 3 pp </t>
    </r>
    <r>
      <rPr>
        <color rgb="FFFF0000"/>
      </rPr>
      <t>can't identify</t>
    </r>
    <r>
      <rPr/>
      <t xml:space="preserve">
Boateng J.K, (2014) Promoting Health Literacy through Open Educational Resources in Cape Coast, Ghana; African Health Newsletter, OER Africa, Volume 5, No. 1 Pp 1-3. </t>
    </r>
    <r>
      <rPr>
        <color rgb="FFFF0000"/>
      </rPr>
      <t>newsletter</t>
    </r>
    <r>
      <rPr/>
      <t xml:space="preserve">
Boateng J. K. (2012). Promoting student participation in quality enhancement at the Wisconsin international University College (WIUC). </t>
    </r>
    <r>
      <rPr>
        <i/>
      </rPr>
      <t>International Journal of Educational Leadership (IJEL</t>
    </r>
    <r>
      <rPr/>
      <t xml:space="preserve">); Volume 4, Number 4, pp. 125 – 132.  </t>
    </r>
    <r>
      <rPr>
        <color rgb="FFFF0000"/>
      </rPr>
      <t xml:space="preserve">(moved to peer-review)  </t>
    </r>
    <r>
      <rPr/>
      <t xml:space="preserve">  
Boateng J.K. , Flanagan, C., (2008). Women’s Access to health care in Ghana: Effects of Education, residence, lineage and self-determination. Biodemography and Social Biology, Vol 54, No. 1, pp 56 - 73</t>
    </r>
    <r>
      <rPr>
        <b/>
        <color rgb="FFFF0000"/>
      </rPr>
      <t xml:space="preserve"> </t>
    </r>
    <r>
      <rPr>
        <color rgb="FFFF0000"/>
      </rPr>
      <t>(moved to peer-reviewed)</t>
    </r>
    <r>
      <rPr/>
      <t xml:space="preserve">
Mayuki T., Snyder R., Boateng, J.K., Lamont, W.J., Orzolek, D.M.D., Brown, K.M. and Lynch, J.P. (2006). Utility of Alumina Buffered Phosphorus Fertilizer for Vegetable Production.</t>
    </r>
    <r>
      <rPr>
        <i/>
      </rPr>
      <t xml:space="preserve"> HortScience</t>
    </r>
    <r>
      <rPr/>
      <t xml:space="preserve">  Vol 41 , No.3, pp 775-779</t>
    </r>
    <r>
      <rPr>
        <color rgb="FFFF0000"/>
      </rPr>
      <t>.(moved to peer-reviewed)</t>
    </r>
    <r>
      <rPr/>
      <t xml:space="preserve">
Jackson, D. G., &amp; Boateng J.K. (2006). Ten suggestions for a positive </t>
    </r>
    <r>
      <rPr>
        <i/>
      </rPr>
      <t>Internationa</t>
    </r>
    <r>
      <rPr/>
      <t xml:space="preserve">l </t>
    </r>
    <r>
      <rPr>
        <i/>
      </rPr>
      <t>Extension Experience AIAEE Journal.</t>
    </r>
    <r>
      <rPr/>
      <t xml:space="preserve"> Proceedings of the 22 Annual Conference, Clearwater Beach, Florida, USA. Pp 282- 288. </t>
    </r>
    <r>
      <rPr>
        <color rgb="FFFF0000"/>
      </rPr>
      <t>(moved to peer-reviewed)</t>
    </r>
    <r>
      <rPr/>
      <t xml:space="preserve">
Boateng, J.K, Govere, E. (2005, May). Criteria for deciding the breadth and depth of Topics in a time-constrained one-semester agroforestry course. Association for </t>
    </r>
    <r>
      <rPr>
        <i/>
      </rPr>
      <t>International Agricultural and Extension Education (AIAEE) Journal,</t>
    </r>
    <r>
      <rPr/>
      <t xml:space="preserve"> Proceedings of the 21 Annual Conference, San Antonio, Texas, USA. Pp 390 - 401</t>
    </r>
    <r>
      <rPr>
        <color rgb="FFFF0000"/>
      </rPr>
      <t>. (moved to peer-reviewed)</t>
    </r>
    <r>
      <rPr/>
      <t xml:space="preserve">
Bruening T., Boateng J. K. (2005, May). Reinventing the Teaching and Learning Process: Lessons from the University of the North. </t>
    </r>
    <r>
      <rPr>
        <i/>
      </rPr>
      <t>Association for International Agricultural and Extension Education (AIAEE) Journal</t>
    </r>
    <r>
      <rPr/>
      <t>, Proceedings of the 21 Annual Conference, San Antonio, Texas, USA. Pp 402 - 410.</t>
    </r>
    <r>
      <rPr>
        <color rgb="FFFF0000"/>
      </rPr>
      <t xml:space="preserve"> (moved to peer-reviewed)</t>
    </r>
    <r>
      <rPr/>
      <t xml:space="preserve">
Boateng, J.K., Adomako-Ampofo, A., Flanagan, C., Galley L, Yakah, J. (2006, May). Gender socialization of preteen youths in Ghana: Alternative approaches for Extension. Association for</t>
    </r>
    <r>
      <rPr>
        <i/>
      </rPr>
      <t xml:space="preserve"> International Agricultural and Extension Education (AIAEE) Journa</t>
    </r>
    <r>
      <rPr/>
      <t xml:space="preserve">l, Proceedings of the 22 Annual Conference, Clearwater Beach, Florida, USA. Pp 70 - 78 </t>
    </r>
    <r>
      <rPr>
        <color rgb="FFFF0000"/>
      </rPr>
      <t>(moved to peer-reviewed)</t>
    </r>
    <r>
      <rPr/>
      <t xml:space="preserve">.
Boateng, J.K. Flanagan C., Gallay, L. (2006, May). Sustaining democratic governance in Ghana. The Interdependence of Health, Agriculture and Extension Education. </t>
    </r>
    <r>
      <rPr>
        <i/>
      </rPr>
      <t>Association for International Agricultural and Extension Education (AIAEE) Journa</t>
    </r>
    <r>
      <rPr/>
      <t xml:space="preserve">l, Proceedings of the 22 Annual Conference, Clearwater Beach, Florida, USA. Pp 60 - 69. </t>
    </r>
    <r>
      <rPr>
        <color rgb="FFFF0000"/>
      </rPr>
      <t>(moved to peer-reviewed)</t>
    </r>
    <r>
      <rPr/>
      <t xml:space="preserve">
Boateng J.K. (2005, May) Rising youth unemployment in Ghana: What can agricultural education does to improve employability of graduating students?</t>
    </r>
    <r>
      <rPr>
        <i/>
      </rPr>
      <t xml:space="preserve"> Association for International Agricultural and Extension Education (AIAEE) Journal</t>
    </r>
    <r>
      <rPr/>
      <t xml:space="preserve">, Proceedings of the 21 Annual Conference, San Antonio, Texas, USA. Pp 668 – 677 </t>
    </r>
    <r>
      <rPr>
        <color rgb="FFFF0000"/>
      </rPr>
      <t>(moved to peer-reviewed)</t>
    </r>
    <r>
      <rPr/>
      <t xml:space="preserve">
</t>
    </r>
    <r>
      <rPr>
        <b/>
      </rPr>
      <t xml:space="preserve">Adomako Ampofo, A., Boateng, J. (2007) From boys to men: Social construction of masculinity in contemporary society.  In Ratele, Kopano, Tammy Shefer (eds.) </t>
    </r>
    <r>
      <rPr>
        <b/>
        <i/>
      </rPr>
      <t>Men and Masculinities.</t>
    </r>
    <r>
      <rPr>
        <b/>
      </rPr>
      <t xml:space="preserve"> Cape Town Press, pp 50 - 74</t>
    </r>
    <r>
      <rPr>
        <color rgb="FFFF0000"/>
      </rPr>
      <t xml:space="preserve"> (moved to peer-reviewed)</t>
    </r>
    <r>
      <rPr/>
      <t xml:space="preserve">
</t>
    </r>
    <r>
      <rPr>
        <b/>
      </rPr>
      <t xml:space="preserve">Adomako Ampofo, A., Boateng. J. (2007) "Understanding Masculinities; Empowering Women: What Have Boys got to do with it?" In Elliot, Carolyn. (ed) </t>
    </r>
    <r>
      <rPr>
        <b/>
        <i/>
      </rPr>
      <t xml:space="preserve">Gender Issues, </t>
    </r>
    <r>
      <rPr>
        <b/>
      </rPr>
      <t xml:space="preserve">New York Routledge, pp 247 – 264. </t>
    </r>
    <r>
      <rPr>
        <color rgb="FFFF0000"/>
      </rPr>
      <t>(moved to peer-reviewed)</t>
    </r>
    <r>
      <rPr/>
      <t xml:space="preserve">
Adomako Ampofo, A., Boateng. J. (2009). Becoming an adult: The training of children in Ghana. In Adomako Ampofo, Akosua and Mary Esther Kropp Dakubu (eds). I</t>
    </r>
    <r>
      <rPr>
        <i/>
      </rPr>
      <t>ssues of Teaching and Learning in Ghana. Legon: Institute of African Studies</t>
    </r>
    <r>
      <rPr/>
      <t xml:space="preserve">, University of Ghana, pp 243 – 261. </t>
    </r>
    <r>
      <rPr>
        <color rgb="FFFF0000"/>
      </rPr>
      <t>can't identify</t>
    </r>
  </si>
  <si>
    <t>Adomako Ampofo, A., Boateng. J. (2007) "Understanding Masculinities; Empowering Women: What Have Boys got to do with it?" In Elliot, Carolyn. (ed) Gender Issues, New York Routledge, pp 247 – 264.</t>
  </si>
  <si>
    <t>Mulekya Francis Bwambale</t>
  </si>
  <si>
    <t xml:space="preserve">Co-Authored a Book Chapter: “Healthcare management strategy, communication, and development challenges and solutions in developing countries” Edited by Emmanuel K. Ngwainmbi, Published by Lexington Books, Maryland, USA, 2014; ISBN 978-0-7391-8566-7 (cloth: alk. paper).ISBN 978-0-7391-8567-4(electronic); Chapter 3: Understanding the factors associated with Ill-health and the role of Public Health in Africa. Mario J Azevedo, Francis M. Bwambale, Tom S. Kiiza. </t>
  </si>
  <si>
    <r>
      <rPr/>
      <t xml:space="preserve">1.        Emilia Asuquo Udofia, Alfred E Yawson, Kwesi Adu Aduful and Francis Mulekya Bwambale: Residential characteristics as correlates of occupants’ health in the greater Accra region, Ghana: </t>
    </r>
    <r>
      <rPr>
        <i/>
      </rPr>
      <t>BMC Public Health</t>
    </r>
    <r>
      <rPr/>
      <t xml:space="preserve"> (2014), 14:244  doi:10.1186/1471-2458-14-244 
2.        Francis M Bwambale, Cheryl A Moyer, Innocent Komakech, Fred-Wabwire-Mangen, Lori R Jodi (2013): The Ten Beads Method: A novel way to collect quantitative data in rural Uganda; </t>
    </r>
    <r>
      <rPr>
        <i/>
      </rPr>
      <t>Journal of Public Health Research</t>
    </r>
    <r>
      <rPr/>
      <t xml:space="preserve"> 2013, volume 2:e6. 
3.        E Namukwaya, FN Nakwagala, F Mulekya, H Mayanja-Kizza, and R Mugerwa: Predictors of treatment failure among pulmonary tuberculosis patients in Mulago hospital, Uganda: </t>
    </r>
    <r>
      <rPr>
        <i/>
      </rPr>
      <t>Afr Health Sci</t>
    </r>
    <r>
      <rPr/>
      <t xml:space="preserve">. 2011 August; 11(S1): S105–S111. PMCID: PMC3220128 
4.        Francis M Bwambale, Sarah N Ssali, Simon Byaruhanga, Joan N Kalyango, Charles AS Karamagi: Voluntary HIV Counseling and Testing (VCT) among men in Rural Western Uganda: Implications for HIV Prevention. </t>
    </r>
    <r>
      <rPr>
        <i/>
      </rPr>
      <t>BMC Public Health</t>
    </r>
    <r>
      <rPr/>
      <t xml:space="preserve">. 2008; 8: 263.                                                                                                                                                                                                                                                                                         5. Mario J. Azevedo, Francis Mulekya Bwambale, Thomas S. Kiiza, Vanessa Price, Shamim Khandekar: “Health and HIV/AIDS Challenges in the East African Community: Tanzania, Uganda, and Kenya” </t>
    </r>
    <r>
      <rPr>
        <i/>
      </rPr>
      <t>The Journal of Infectious Diseases</t>
    </r>
    <r>
      <rPr/>
      <t xml:space="preserve">. Photon 113 (2014) 239-263; Original Research Article. ISJN: 4379-2173: Impact Index: 6.34. </t>
    </r>
  </si>
  <si>
    <r>
      <rPr/>
      <t xml:space="preserve">
1.        Co-Authored a Book Chapter: “Healthcare management strategy, communication, and development challenges and solutions in developing countries” Edited by Emmanuel K. Ngwainmbi, Published by Lexington Books, Maryland, USA, 2014; ISBN 978-0-7391-8566-7 (cloth: alk. paper).ISBN 978-0-7391-8567-4(electronic); Chapter 3: Understanding the factors associated with Ill-health and the role of Public Health in Africa. Mario J Azevedo, Francis M. Bwambale, Tom S. Kiiza.   </t>
    </r>
    <r>
      <rPr>
        <color rgb="FFFF0000"/>
      </rPr>
      <t>(moved to  book contributions)</t>
    </r>
    <r>
      <rPr/>
      <t xml:space="preserve">
2.        Abstracts accepted for ICASA &amp; UPAS (2019) conferences – three abstracts accepted for presentation at the forth coming conferences in December and November in Rwanda and Kampala respectively. In press: Predictors of Intra-Urban Residential Mobility of Street Children in Uganda: Implications for policy and practice.  </t>
    </r>
    <r>
      <rPr>
        <color rgb="FFFF0000"/>
      </rPr>
      <t>(can't identify)</t>
    </r>
    <r>
      <rPr/>
      <t xml:space="preserve">
</t>
    </r>
  </si>
  <si>
    <t xml:space="preserve"> Patrick Cobbinah</t>
  </si>
  <si>
    <t xml:space="preserve">1. Cobbinah, P.B. &amp; Addaney, M. (eds.) (2019). The Geography of Climate Change Adaptation in Urban Africa. Basingstoke, United Kingdom: Palgrave Macmillan. Doi: 10.1007/978-3-03004873-0. eBook ISBN: 978-3-030-04873-0 </t>
  </si>
  <si>
    <t xml:space="preserve"> Korah, P. I. &amp; Cobbinah, P.B. (2019). Institutional Responses to Climate Change Adaptation: Flood Management at the Metropolitan Level in Accra, Ghana. . In P.B.  Cobbinah &amp; M. Addaney (eds.), The Geography of Climate Change Adaptation in Urban Africa. Basingstoke, United Kingdom: Palgrave Macmillan. https://doi.org/10.1007/978-3-030-04873-0_16  Cobbinah, P.B. &amp; N-yanbini, N. N. (2019). Climate Change Adaptation in Urban Ghana: The Spatial Planning Dimension. In P.B.  Cobbinah &amp; M. Addaney (eds.), The Geography of Climate Change Adaptation in Urban Africa. Basingstoke, United Kingdom: Palgrave Macmillan. https://doi.org/10.1007/978-3-030-04873-0_15 Cobbinah, P.B. &amp; Kosoe, E. A. (2019). Urban Residents and Communities Responses to Climate Change Impacts in Tamale, Ghana. . In P.B.  Cobbinah &amp; M. Addaney (eds.), The Geography of Climate Change Adaptation in Urban Africa. Basingstoke, United Kingdom: Palgrave Macmillan. https://doi.org/10.1007/978-3-030-04873-0_4 Addaney, M. &amp; Cobbinah, P.B. (2019). Climate Change, Urban Planning and Sustainable Development in Africa: The Difference Worth Appreciating, In P.B.  Cobbinah &amp; M. Addaney (eds.), The Geography of Climate Change Adaptation in Urban Africa. Basingstoke, United Kingdom: Palgrave Macmillan. https://doi.org/10.1007/978-3-030-04873-0_1 Cobbinah, P.B. &amp; Adams, E. A. (2018). Urbanisation and electric power crisis in Ghana: trends, policies and socio-economic implications. In: G. Benna (ed.). Urbanisation and Its Impact on Socio - Economic Growth in Developing Regions. Hersey, PA, USA: IGI Global. Cobbinah, P.B. &amp; Erdiaw-Kwasie, M. (2016). Urbanisation in Ghana: Insights and implications for urban governance, In S.B. Garba (ed.), Population Growth and Rapid Urbanisation in the Developing World (pp. 82-104) . Hershey,
 PA, USA: IGI Global. Cobbinah, P.B., Okyere, D.K. &amp; Gaisie, E. (2016). Population growth and water supply: The future of Ghanaian cities, In S.B. Garba (ed.), Population Growth and Rapid Urbanisation in the Developing World (pp. 231-252) . Hershey,
 PA, USA: IGI Global. Cobbinah, P.B., Thwaites, R. &amp; Black, R.  (2015). Ecotourism as a mechanism for achieving a green economy in developing countries: Experiences from Ghana, In V. Reddy &amp; K. Wilkes (eds.), Tourism in the green economy. (pp. 225-241). London: Routledge                                                                                                                                                                                                                                                                                        Poku-Boansi, M., &amp; Cobbinah, P. B. (2018). Land use and urban travel in Kumasi, Ghana. GeoJournal, 83(3), 563-581. doi:10.1007/s10708-017-9786-7  </t>
  </si>
  <si>
    <r>
      <rPr>
        <rFont val="Calibri"/>
        <color rgb="FF000000"/>
        <sz val="11.0"/>
      </rPr>
      <t xml:space="preserve">Darkwah, R. M., Cobbinah, P.B. &amp; Anokye, P. A. (2018). Contextualising urban resilience in Ghana: Local perspectives and experiences. Geoforum, 94, 12-23. https://doi.org/10.1016/j.geoforum.2018.05.023 Poku-Boansi, M., &amp; Cobbinah, P. B. (2018). Are we planning for resilient cities in Ghana? An analysis of policy and planners' perspectives. </t>
    </r>
    <r>
      <rPr>
        <rFont val="Calibri"/>
        <i/>
        <color rgb="FF000000"/>
        <sz val="11.0"/>
      </rPr>
      <t xml:space="preserve">Cities </t>
    </r>
    <r>
      <rPr>
        <rFont val="Calibri"/>
        <color rgb="FF000000"/>
        <sz val="11.0"/>
      </rPr>
      <t xml:space="preserve">, 72 (Part B), 252-260. https://doi.org/10.1016/j.cities.2017.09.005 Siiba, A., Adams, E. A., &amp; Cobbinah, P. B. (2018). Chieftaincy and sustainable urban land use planning in Yendi, Ghana: Towards congruence. </t>
    </r>
    <r>
      <rPr>
        <rFont val="Calibri"/>
        <i/>
        <color rgb="FF000000"/>
        <sz val="11.0"/>
      </rPr>
      <t xml:space="preserve">Cities </t>
    </r>
    <r>
      <rPr>
        <rFont val="Calibri"/>
        <color rgb="FF000000"/>
        <sz val="11.0"/>
      </rPr>
      <t xml:space="preserve">. 73, (March 2018), 96-105. https://doi.org/10.1016/j.cities.2017.10.015 Nunbogu, A. M., Korah, P. I., Cobbinah, P. B., &amp; Poku-Boansi, M. (2018). Doing it ‘ourselves’: Civic initiative and self-governance in spatial planning. </t>
    </r>
    <r>
      <rPr>
        <rFont val="Calibri"/>
        <i/>
        <color rgb="FF000000"/>
        <sz val="11.0"/>
      </rPr>
      <t xml:space="preserve">Cities </t>
    </r>
    <r>
      <rPr>
        <rFont val="Calibri"/>
        <color rgb="FF000000"/>
        <sz val="11.0"/>
      </rPr>
      <t xml:space="preserve">, 74, (April 2018), 32-41. </t>
    </r>
    <r>
      <rPr>
        <rFont val="Calibri"/>
        <color rgb="FF1155CC"/>
        <sz val="11.0"/>
        <u/>
      </rPr>
      <t>https://doi.org/10.1016/j.cities.2017.10.022</t>
    </r>
    <r>
      <rPr>
        <rFont val="Calibri"/>
        <color rgb="FF000000"/>
        <sz val="11.0"/>
      </rPr>
      <t xml:space="preserve">                                                                                                                                                                                                                                                                                                        Cobbinah, P. B., &amp; Amoako, C. (2018). From Gold Coast to Ghana: Changing political economy of mining towns.</t>
    </r>
    <r>
      <rPr>
        <rFont val="Calibri"/>
        <i/>
        <color rgb="FF000000"/>
        <sz val="11.0"/>
      </rPr>
      <t xml:space="preserve"> Cities</t>
    </r>
    <r>
      <rPr>
        <rFont val="Calibri"/>
        <color rgb="FF000000"/>
        <sz val="11.0"/>
      </rPr>
      <t xml:space="preserve"> 83, 83-91. https://doi.org/10.1016/j.cities.2018.06.011                                                                    Cobbinah, P. B., &amp; Niminga-Beka, R. (2017). Urbanisation in Ghana: Residential land use under siege in Kumasi central. </t>
    </r>
    <r>
      <rPr>
        <rFont val="Calibri"/>
        <i/>
        <color rgb="FF000000"/>
        <sz val="11.0"/>
      </rPr>
      <t>Cities</t>
    </r>
    <r>
      <rPr>
        <rFont val="Calibri"/>
        <color rgb="FF000000"/>
        <sz val="11.0"/>
      </rPr>
      <t xml:space="preserve">, 60, Part A , 388-401. doi: http://dx.doi.org/10.1016/j.cities.2016.10.011                        Cobbinah, P.B., Erdiaw-Kwasie, M.O. &amp; Amoateng P. (2015). Africa’s urbanisation: Implications for sustainable development. </t>
    </r>
    <r>
      <rPr>
        <rFont val="Calibri"/>
        <i/>
        <color rgb="FF000000"/>
        <sz val="11.0"/>
      </rPr>
      <t>Cities.</t>
    </r>
    <r>
      <rPr>
        <rFont val="Calibri"/>
        <color rgb="FF000000"/>
        <sz val="11.0"/>
      </rPr>
      <t xml:space="preserve"> 47, 62-72. http://dx.doi.org/10.1016/j.cities.2015.03.013.                                                Cobbinah, P.B., Kosoe, E. A. &amp; Diawuo, F. (2020). Environmental planning crisis in urban Ghana: Local responses to nature’s call. </t>
    </r>
    <r>
      <rPr>
        <rFont val="Calibri"/>
        <i/>
        <color rgb="FF000000"/>
        <sz val="11.0"/>
      </rPr>
      <t>Science of the Total Environment,</t>
    </r>
    <r>
      <rPr>
        <rFont val="Calibri"/>
        <color rgb="FF000000"/>
        <sz val="11.0"/>
      </rPr>
      <t xml:space="preserve"> 701 (2020), 134898.                                                                Korah, P. I., Nunbogu, A. M., Cobbinah, P. B., &amp; Akanbang, B. A. A. (2019). Analysis of livelihood issues in resettlement mining communities in Ghana. </t>
    </r>
    <r>
      <rPr>
        <rFont val="Calibri"/>
        <i/>
        <color rgb="FF000000"/>
        <sz val="11.0"/>
      </rPr>
      <t>Resources Policy</t>
    </r>
    <r>
      <rPr>
        <rFont val="Calibri"/>
        <color rgb="FF000000"/>
        <sz val="11.0"/>
      </rPr>
      <t xml:space="preserve">, 63 , 101431.                                                                  Cobbinah, P. B., Amoako, C., &amp; Asibey, M. O. (2019). The changing face of Kumasi central, Ghana. Geoforum , 101 , 49-61.                                                                                                                                                               Cobbinah, P. B., Asibey, M. O., Opoku-Gyamfi, M., &amp; Peprah, C. (2019). Urban planning and climate change in Ghana. Journal of Urban Management, 8(2), 261-271                                                                                       Amoako, C., Cobbinah, P. B., &amp; Darkwah, R. M. (2019). Complex twist of fate: The geopolitics of flood management regimes in Accra, Ghana. Cities , 89 , 209-217.                                                                                                     Xu, G., Dong, T., Cobbinah, P. B., Jiao, L., Sumari, N. S., Chai, B., &amp; Liu, Y. (2019). Urban expansion and form changes across African cities with a global outlook: Spatiotemporal analysis of urban land densities. Journal of Cleaner Production , 224 , 802-810.                                                                                                                                                                                                                                                                                                                        Cobbinah, P.B., Poku-Boansi, M. &amp; Adarkwa, K.K. (2018). Develop first, make amends later: accessibility within residential neighbourhoods in Ghana. Journal of Housing and the Built Environment, 33, 69–89. doi: 10.1007/s10901-017-9544-7.                                                                                                                                                                                                                                                                                                                                    Cobbinah, P.B. &amp; Poku-Boansi, M. (2018). Towards urban resilience in Ghana: Insights and strategies. Futures, 101, (August 2018) 55-66.                                                                                                                                                  Poku-Boansi, M., Asuah, A. Y., &amp; Cobbinah, P. B. (2018). Contextualizing transport infrastructure and services in Ghanaian peri-urbanism. International Planning Studies , 23:2, 195-209. http://dx.doi.org/10.1080/13563475.2017.1396963                                                                                                                                                                                                                                                                                                  Black, R., &amp; Cobbinah, P. B. (2018). Local attitudes towards tourism and conservation in rural Botswana and Rwanda. Journal of Ecotourism, 17(1), 79-1051-27. </t>
    </r>
    <r>
      <rPr>
        <rFont val="Calibri"/>
        <color rgb="FF1155CC"/>
        <sz val="11.0"/>
        <u/>
      </rPr>
      <t>http://dx.doi.org/10.1080/14724049.2016.1258074.</t>
    </r>
    <r>
      <rPr>
        <rFont val="Calibri"/>
        <color rgb="FF000000"/>
        <sz val="11.0"/>
      </rPr>
      <t xml:space="preserve">  Cobbinah, P.B. (2017). Managing cities and resolving conflicts: people’s attitudes towards urban planning in Kumasi, Ghana. Land Use Policy, 68 (2017) 222–231. http://dx.doi.org/10.1016/j.landusepol.2017.07.050
Cobbinah, P. B., &amp; Aboagye, H. N. (2017). A Ghanaian twist to urban sprawl. Land Use Policy 61 (2017) 231–241. http://dx.doi.org/10.1016/j.landusepol.2016.10.047                                                                                        Korah, P. I., Cobbinah, P. B., &amp; Nunbogu, A. M. (2017). Spatial Planning in Ghana: Exploring the Contradictions. Planning Practice &amp; Research, 32(4), 361–384. </t>
    </r>
    <r>
      <rPr>
        <rFont val="Calibri"/>
        <color rgb="FF1155CC"/>
        <sz val="11.0"/>
        <u/>
      </rPr>
      <t>http://dx.doi.org/10.1080/02697459.2017.1378977.</t>
    </r>
    <r>
      <rPr>
        <rFont val="Calibri"/>
        <color rgb="FF000000"/>
        <sz val="11.0"/>
      </rPr>
      <t xml:space="preserve">       Cobbinah, P. B., &amp; Darkwah, R. M. (2017). Toward a more desirable form of sustainable urban development in Africa. African Geographical Review , 36(3), 262-285. doi:10.1080/19376812.2016.1208770                Cobbinah, P.B. &amp; Darkwah, R.M (2017). Urban planning and politics in Ghana. GeoJournal , 82 (6), 1229–1245. doi: 10.1007/s10708-016-9750-y                                                                                                                       Cobbinah, P. B., Poku-Boansi, M., &amp; Peprah, C. (2017). Urban environmental problems in Ghana. Environmental Development , 23, 33–46 https://doi.org/10.1016/j.envdev.2017.05.001                                                                                                                                                           Cobbinah, P.B. &amp; Anane, G.K. (2016). Climate change adaptation in rural Ghana: Indigenous perceptions and strategies. Climate and Development.
 8 (2), 169-178. doi: 10.1080/17565529.2015.1034228.                                         Cobbinah, P.B., Black, R. &amp; Thwaites, R. (2013). Dynamics of poverty in developing countries: Review of poverty reduction approaches. Journal of Sustainable Development, 6(9), 25-35.                                           Amoateng, P., Cobbinah, P.B. &amp; Owusu-Adade, K. (2013). Managing physical development in peri-urban areas of Kumasi, Ghana: a case of Abuakwa. Journal of Urban and Environmental Engineering , 7(1), 96-109.                                              Darkwah, R.M. &amp; Cobbinah, P.B. (2014). Restoring depleted urban greenery in an era of rapid urbanisation. International Journal of Environmental, Ecological, Geological and Geophysical Engineering, 8(10), 671-674                                       Amoako, C., Cobbinah, P.B. &amp; Niminga-Beka, R. (2014). Urban infrastructure design and pedestrian safety in the Kumasi central business district, Ghana. Journal of Transportation, Safety and Security, 6(3), 235-256, doi: 10.1080/19439962.2013.861887.                                        Cobbinah, P.B., Black, R. &amp; Thwaites, R. (2015). Ecotourism implementation in the Kakum Conservation Area, Ghana: Administrative framework and local community experiences. Journal of Ecotourism, 14(2-3), 223-242 .  http://dx.doi.org/10.1080/14724049.2015.1051536        Cobbinah, P. B., Addaney, M., &amp; Agyeman, K. O. (2017). Locating the role of urbanites in solid waste management in Ghana. Environmental Development . 24, 9–21. https://doi.org/10.1016/j.envdev.2017.06.004  Cobbinah, P. B., Amenuvor, D., Black, R., &amp; Peprah, C. (2017). Ecotourism in the Kakum Conservation Area, Ghana: Local politics, practice and outcome. Journal of Outdoor Recreation and Tourism . https://doi.org/10.1016/j.jort.2017.09.003                                                                                                                                                                                                                                                                                                                 Black, R., &amp; Cobbinah, P. B. (2017). On the rim of inspiration: performance of AWF tourism enterprises in Botswana and Rwanda. Journal of Sustainable Tourism, 25(11), 1600-1616. http://dx.doi.org/10.1080/09669582.2017.1296454  2016                                                                                                                                                                                                                                                                                 Cobbinah, P.B. &amp; Anane, G.K. (2016). Climate change adaptation in rural Ghana: Indigenous perceptions and strategies. Climate and Development.                                                                                                                      Cobbinah, P.B. &amp; Darkwah, R. M. (2016). African urbanism: the geography of urban greenery. Urban Forum . doi: 10.1007/s12132-016-9274-z                                                                                                                                     Korah, P. I., Cobbinah, P. B., Nunbogu, A. M., &amp; Gyogluu, S.(2016). Spatial plans and urban development trajectory in Kumasi, Ghana. GeoJournal , 1-22. doi: 10.1007/s10708-016-9731-1.                                              Cobbinah, P.B. &amp; Korah, P. I. (2016). Religion gnaws urban planning: the geography of places of worship in Kumasi, Ghana. International Journal of Urban Sustainable Development, 8(2), 93-109.       
 doi:10.1080/19463138.2015.1074581                                                                                                                                                                                                                                                                                                                         Cobbinah, P. B., Poku-Boansi, M., &amp; Asomani-Boateng, R. (2016). Urbanisation of Hope or Despair? Urban Planning Dilemma in Ghana. Urban Forum , 27,415-432. doi:10.1007/s12132016-9293-9                                  Korah, P. I., &amp; Cobbinah, P. B. (2016). Juggling through Ghanaian urbanisation: flood hazard mapping of Kumasi. GeoJournal , 1-18. doi:10.1007/s10708-016-9746-7                                                                                             Cobbinah, P. B. &amp; Darkwah, R.M. (2016). Reflections on tourism policies in Ghana, International Journal of Tourism Sciences, 16(4), 170-190.  doi: 10.1080/15980634.2016.1212595 2015                                                  Cobbinah, P.B. (2015). Contextualising the meaning of ecotourism. Tourism Management Perspectives, 16 , 179-189. doi: http://dx.doi.org/10.1016/j.tmp.2015.07.015                                                                              Cobbinah, P.B., Gaisie, E. &amp; Owusu-Amponsah, L. (2015). Peri-urban morphology and indigenous livelihoods in Ghana. Habitat International, 50, 120–129.   
 http://dx.doi.org/10.1016/j.habitatint.2015.08.002                                                                                                                                                                                                                                                                                             Cobbinah, P.B., Erdiaw-Kwasie, M. O., &amp; Amoateng, P. (2015). Rethinking sustainable development within the framework of poverty and urbanisation in developing countries. Environmental Development, 13(1), 18-32 doi: http://dx.doi.org/10.1016/j.envdev.2014.11.001                                                                                                                                                                                                                                                                                            Cobbinah, P.B., Black, R. &amp; Thwaites, R. (2015). Biodiversity conservation and livelihoods in rural Ghana: Impacts and adaptation responses. Environmental Development. 15(3), 79-93. doi:10.1016/j.envdev.2015.04.006             Cobbinah, P. B., Addaney, M., &amp; Agyeman, K. O. (2017). Locating the role of urbanites in solid waste management in Ghana. Environmental Development. 24, 9–21. https://doi.org/10.1016/j.envdev.2017.06.004                                                                                                                                                                                                                                                        </t>
    </r>
  </si>
  <si>
    <r>
      <rPr/>
      <t xml:space="preserve"> Cobbinah, P.B., Kosoe, E. A. &amp; Diawuo, F. (2020). Environmental planning crisis in urban Ghana: Local responses to nature’s call. </t>
    </r>
    <r>
      <rPr>
        <i/>
      </rPr>
      <t>Science of the Total Environment</t>
    </r>
    <r>
      <rPr/>
      <t xml:space="preserve">, 701 , 134898.  </t>
    </r>
    <r>
      <rPr>
        <color rgb="FFFF0000"/>
      </rPr>
      <t xml:space="preserve"> (moved to peer-reviewed)   </t>
    </r>
    <r>
      <rPr/>
      <t xml:space="preserve">                                                               Korah, P. I., Nunbogu, A. M., Cobbinah, P. B., &amp; Akanbang, B. A. A. (2019). Analysis of livelihood issues in resettlement mining communities in Ghana. </t>
    </r>
    <r>
      <rPr>
        <i/>
      </rPr>
      <t>Resources Policy,</t>
    </r>
    <r>
      <rPr/>
      <t xml:space="preserve"> 63 , 101431</t>
    </r>
    <r>
      <rPr>
        <color rgb="FFFF0000"/>
      </rPr>
      <t xml:space="preserve">. (moved to peer-reviewed) </t>
    </r>
    <r>
      <rPr/>
      <t xml:space="preserve">                                                                    Cobbinah, P. B., Amoako, C., &amp; Asibey, M. O. (2019). The changing face of Kumasi central, Ghana. </t>
    </r>
    <r>
      <rPr>
        <i/>
      </rPr>
      <t>Geoforum</t>
    </r>
    <r>
      <rPr/>
      <t xml:space="preserve"> , 101 , 49-61.        </t>
    </r>
    <r>
      <rPr>
        <color rgb="FFFF0000"/>
      </rPr>
      <t xml:space="preserve"> (moved to peer-reviewed)   </t>
    </r>
    <r>
      <rPr/>
      <t xml:space="preserve">                                                                                                                                                  Cobbinah, P. B., Asibey, M. O., Opoku-Gyamfi, M., &amp; Peprah, C. (2019). Urban planning and climate change in Ghana. </t>
    </r>
    <r>
      <rPr>
        <i/>
      </rPr>
      <t>Journal of Urban Management</t>
    </r>
    <r>
      <rPr/>
      <t xml:space="preserve">, 8(2), 261-271  </t>
    </r>
    <r>
      <rPr>
        <color rgb="FFFF0000"/>
      </rPr>
      <t xml:space="preserve">  (moved to peer-reviewed)    </t>
    </r>
    <r>
      <rPr/>
      <t xml:space="preserve">                                                                               Amoako, C., Cobbinah, P. B., &amp; Darkwah, R. M. (2019). Complex twist of fate: The geopolitics of flood management regimes in Accra, Ghana. </t>
    </r>
    <r>
      <rPr>
        <i/>
      </rPr>
      <t>Cities</t>
    </r>
    <r>
      <rPr/>
      <t xml:space="preserve"> , 89 , 209-217.  </t>
    </r>
    <r>
      <rPr>
        <color rgb="FFFF0000"/>
      </rPr>
      <t xml:space="preserve">(moved to peer-reviewed)    </t>
    </r>
    <r>
      <rPr/>
      <t xml:space="preserve">                                                                                                                                                                            Xu, G., Dong, T., Cobbinah, P. B., Jiao, L., Sumari, N. S., Chai, B., &amp; Liu, Y. (2019). Urban expansion and form changes across African cities with a global outlook: Spatiotemporal analysis of urban land densities. </t>
    </r>
    <r>
      <rPr>
        <i/>
      </rPr>
      <t>Journal of Cleaner Production</t>
    </r>
    <r>
      <rPr/>
      <t xml:space="preserve"> , 224 , 802-810.  </t>
    </r>
    <r>
      <rPr>
        <color rgb="FFFF0000"/>
      </rPr>
      <t xml:space="preserve">  (moved to peer-reviewed)</t>
    </r>
    <r>
      <rPr/>
      <t xml:space="preserve">
 2018 Cobbinah, P.B., Poku-Boansi, M. &amp; Adarkwa, K.K. (2018). Develop first, make amends later: accessibility within residential neighbourhoods in Ghana. </t>
    </r>
    <r>
      <rPr>
        <i/>
      </rPr>
      <t>Journal of Housing and the Built Environment</t>
    </r>
    <r>
      <rPr/>
      <t>, 33, 69–89. doi: 10.1007/s10901-017-9544-7</t>
    </r>
    <r>
      <rPr>
        <color rgb="FFFF0000"/>
      </rPr>
      <t>.(moved to peer-reviewed)</t>
    </r>
    <r>
      <rPr/>
      <t xml:space="preserve">
Cobbinah, P.B. &amp; Poku-Boansi, M. (2018). Towards urban resilience in Ghana: Insights and strategies. </t>
    </r>
    <r>
      <rPr>
        <i/>
      </rPr>
      <t>Futures</t>
    </r>
    <r>
      <rPr/>
      <t xml:space="preserve">, 101, (August 2018) 55-66.      </t>
    </r>
    <r>
      <rPr>
        <color rgb="FFFF0000"/>
      </rPr>
      <t xml:space="preserve"> (moved to peer-reviewed)  </t>
    </r>
    <r>
      <rPr/>
      <t xml:space="preserve">                                                                                                                         Darkwah, R. M., Cobbinah, P.B. &amp; Anokye, P. A. (2018). Contextualising urban resilience in Ghana: Local perspectives and experiences. </t>
    </r>
    <r>
      <rPr>
        <i/>
      </rPr>
      <t>Geoforum,</t>
    </r>
    <r>
      <rPr/>
      <t xml:space="preserve"> 94, 12-23. https://doi.org/10.1016/j.geoforum.2018.05.023      </t>
    </r>
    <r>
      <rPr>
        <color rgb="FFFF0000"/>
      </rPr>
      <t xml:space="preserve">(moved to peer-reviewed)  </t>
    </r>
    <r>
      <rPr/>
      <t xml:space="preserve">                                                                                                                                                                                                                                                                                                                                          Poku-Boansi, M., &amp; Cobbinah, P. B. (2018). Are we planning for resilient cities in Ghana? An analysis of policy and planners' perspectives. </t>
    </r>
    <r>
      <rPr>
        <i/>
      </rPr>
      <t>Cities</t>
    </r>
    <r>
      <rPr/>
      <t xml:space="preserve"> , 72 (Part B), 252-260. </t>
    </r>
    <r>
      <rPr>
        <color rgb="FF1155CC"/>
        <u/>
      </rPr>
      <t>https://doi.org/10.1016/j.cities.2017.09.005.</t>
    </r>
    <r>
      <rPr/>
      <t xml:space="preserve">        </t>
    </r>
    <r>
      <rPr>
        <color rgb="FFFF0000"/>
      </rPr>
      <t xml:space="preserve">(moved to peer-reviewed) </t>
    </r>
    <r>
      <rPr/>
      <t xml:space="preserve">                                                                                                                                                                                                                                                                                                                                          Siiba, A., Adams, E. A., &amp; Cobbinah, P. B. (2018). Chieftaincy and sustainable urban land use planning in Yendi, Ghana: Towards congruence. </t>
    </r>
    <r>
      <rPr>
        <i/>
      </rPr>
      <t>Cities</t>
    </r>
    <r>
      <rPr/>
      <t xml:space="preserve"> . 73, (March 2018), 96-105. https://doi.org/10.1016/j.cities.2017.10.015    (</t>
    </r>
    <r>
      <rPr>
        <color rgb="FFFF0000"/>
      </rPr>
      <t xml:space="preserve">moved to peer-reviewed) </t>
    </r>
    <r>
      <rPr/>
      <t xml:space="preserve">                                                                                                                                                                                                                                                                                                                                   Nunbogu, A. M., Korah, P. I., Cobbinah, P. B., &amp; Poku-Boansi, M. (2018). Doing it ‘ourselves’: Civic initiative and self-governance in spatial planning. </t>
    </r>
    <r>
      <rPr>
        <i/>
      </rPr>
      <t xml:space="preserve">Cities </t>
    </r>
    <r>
      <rPr/>
      <t xml:space="preserve">, 74, (April 2018), 32-41.(https://doi.org/10.1016/j.cities.2017.10.022      </t>
    </r>
    <r>
      <rPr>
        <color rgb="FFFF0000"/>
      </rPr>
      <t xml:space="preserve">  (moved to peer-reviewed)   </t>
    </r>
    <r>
      <rPr/>
      <t xml:space="preserve">                                                                                                                                                                                                                                                                                               Poku-Boansi, M., Asuah, A. Y., &amp; Cobbinah, P. B. (2018)</t>
    </r>
    <r>
      <rPr>
        <b/>
      </rPr>
      <t>.</t>
    </r>
    <r>
      <rPr/>
      <t xml:space="preserve"> Contextualizing transport infrastructure and services in Ghanaian peri-urbanism. </t>
    </r>
    <r>
      <rPr>
        <i/>
      </rPr>
      <t>International Planning Studies</t>
    </r>
    <r>
      <rPr/>
      <t xml:space="preserve"> , 23:2, 195-209. http://dx.doi.org/10.1080/13563475.2017.1396963    </t>
    </r>
    <r>
      <rPr>
        <color rgb="FFFF0000"/>
      </rPr>
      <t xml:space="preserve"> (moved to peer-reviewed)  </t>
    </r>
    <r>
      <rPr/>
      <t xml:space="preserve">                                                                                                                                                                                                                                                                              Cobbinah, P. B., &amp; Amoako, C. (2018). From Gold Coast to Ghana: Changing political economy of mining towns. </t>
    </r>
    <r>
      <rPr>
        <i/>
      </rPr>
      <t>Cities</t>
    </r>
    <r>
      <rPr/>
      <t xml:space="preserve"> 83, 83-91. https://doi.org/10.1016/j.cities.2018.06.011   </t>
    </r>
    <r>
      <rPr>
        <color rgb="FFFF0000"/>
      </rPr>
      <t>(moved to peer-reviewed)</t>
    </r>
    <r>
      <rPr/>
      <t xml:space="preserve">
Poku-Boansi, M., &amp; Cobbinah, P. B. (2018). Land use and urban travel in Kumasi, Ghana.</t>
    </r>
    <r>
      <rPr>
        <i/>
      </rPr>
      <t xml:space="preserve"> GeoJournal</t>
    </r>
    <r>
      <rPr/>
      <t xml:space="preserve">, 83(3), 563-581. doi:10.1007/s10708-017-9786-7          </t>
    </r>
    <r>
      <rPr>
        <color rgb="FFFF0000"/>
      </rPr>
      <t xml:space="preserve"> (moved to peer-reviewed) </t>
    </r>
    <r>
      <rPr/>
      <t xml:space="preserve">                                                                                                      Black, R., &amp; Cobbinah, P. B. (2018). Local attitudes towards tourism and conservation in rural Botswana and Rwanda. </t>
    </r>
    <r>
      <rPr>
        <i/>
      </rPr>
      <t>Journal of Ecotourism</t>
    </r>
    <r>
      <rPr/>
      <t xml:space="preserve">, 17(1), 79-1051-27. http://dx.doi.org/10.1080/14724049.2016.1258074     </t>
    </r>
    <r>
      <rPr>
        <color rgb="FFFF0000"/>
      </rPr>
      <t xml:space="preserve">(moved to peer-reviewed)    </t>
    </r>
    <r>
      <rPr/>
      <t xml:space="preserve">                                                                                                                                                                                                                                                                                                                               Cobbinah, P.B. (2017). Managing cities and resolving conflicts: people’s attitudes towards urban planning in Kumasi, Ghana. </t>
    </r>
    <r>
      <rPr>
        <i/>
      </rPr>
      <t>Land Use Policy</t>
    </r>
    <r>
      <rPr/>
      <t xml:space="preserve">, 68 (2017) 222–231. http://dx.doi.org/10.1016/j.landusepol.2017.07.050
Cobbinah, P. B., &amp; Aboagye, H. N. (2017). A Ghanaian twist to urban sprawl. </t>
    </r>
    <r>
      <rPr>
        <i/>
      </rPr>
      <t>Land Use Policy</t>
    </r>
    <r>
      <rPr/>
      <t xml:space="preserve"> 61 (2017) 231–241. </t>
    </r>
    <r>
      <rPr>
        <color rgb="FF1155CC"/>
        <u/>
      </rPr>
      <t>http://dx.doi.org/10.1016/j.landusepol.2016.10.047</t>
    </r>
    <r>
      <rPr/>
      <t xml:space="preserve">         </t>
    </r>
    <r>
      <rPr>
        <color rgb="FFFF0000"/>
      </rPr>
      <t xml:space="preserve">(moved to peer-reviewed)    </t>
    </r>
    <r>
      <rPr/>
      <t xml:space="preserve">                                                                      Korah, P. I., Cobbinah, P. B., &amp; Nunbogu, A. M. (2017). Spatial Planning in Ghana: Exploring the Contradictions. </t>
    </r>
    <r>
      <rPr>
        <i/>
      </rPr>
      <t>Planning Practice &amp; Research</t>
    </r>
    <r>
      <rPr/>
      <t xml:space="preserve">, 32(4), 361–384. http://dx.doi.org/10.1080/02697459.2017.1378977  </t>
    </r>
    <r>
      <rPr>
        <color rgb="FFFF0000"/>
      </rPr>
      <t>(moved to peer-reviewed)</t>
    </r>
    <r>
      <rPr/>
      <t xml:space="preserve">                                                                                                                                                                                                                                                                                                                                   Cobbinah, P. B., &amp; Darkwah, R. M. (2017). Toward a more desirable form of sustainable urban development in Africa. </t>
    </r>
    <r>
      <rPr>
        <i/>
      </rPr>
      <t>African Geographical Review</t>
    </r>
    <r>
      <rPr/>
      <t xml:space="preserve"> , 36(3), 262-285. doi:10.1080/19376812.2016.1208770 </t>
    </r>
    <r>
      <rPr>
        <color rgb="FFFF0000"/>
      </rPr>
      <t xml:space="preserve">(moved to peer-reviewed)  </t>
    </r>
    <r>
      <rPr/>
      <t xml:space="preserve">                                                                                                                                                                                                                                                                                                                                                    Cobbinah, P. B., &amp; Niminga-Beka, R. (2017). Urbanisation in Ghana: Residential land use under siege in Kumasi central. </t>
    </r>
    <r>
      <rPr>
        <i/>
      </rPr>
      <t>Cities</t>
    </r>
    <r>
      <rPr/>
      <t xml:space="preserve">, 60, Part A , 388-401. doi: http://dx.doi.org/10.1016/j.cities.2016.10.011                                              Cobbinah, P.B. &amp; Darkwah, R.M (2017). Urban planning and politics in Ghana. </t>
    </r>
    <r>
      <rPr>
        <i/>
      </rPr>
      <t>GeoJournal</t>
    </r>
    <r>
      <rPr/>
      <t xml:space="preserve"> , 82 (6), 1229–1245. doi: 10.1007/s10708-016-9750-y        </t>
    </r>
    <r>
      <rPr>
        <color rgb="FFFF0000"/>
      </rPr>
      <t xml:space="preserve">  (moved to peer-reviewed)</t>
    </r>
    <r>
      <rPr/>
      <t xml:space="preserve">                                                                                                          Cobbinah, P. B., Poku-Boansi, M., &amp; Peprah, C. (2017). Urban environmental problems in Ghana. </t>
    </r>
    <r>
      <rPr>
        <i/>
      </rPr>
      <t>Environmental Development</t>
    </r>
    <r>
      <rPr/>
      <t xml:space="preserve"> , 23, 33–46</t>
    </r>
    <r>
      <rPr>
        <b/>
      </rPr>
      <t xml:space="preserve"> </t>
    </r>
    <r>
      <rPr>
        <b/>
        <color rgb="FF1155CC"/>
        <u/>
      </rPr>
      <t>https://doi.org/10.1016/j.envdev.2017.05.001</t>
    </r>
    <r>
      <rPr>
        <color rgb="FFFF0000"/>
      </rPr>
      <t xml:space="preserve"> (moved to peer-reviewed</t>
    </r>
    <r>
      <rPr>
        <b/>
      </rPr>
      <t>)</t>
    </r>
    <r>
      <rPr/>
      <t xml:space="preserve">                                           Cobbinah, P. B., Addaney, M., &amp; Agyeman, K. O. (2017). Locating the role of urbanites in solid waste management in Ghana. </t>
    </r>
    <r>
      <rPr>
        <i/>
      </rPr>
      <t xml:space="preserve">Environmental Development. </t>
    </r>
    <r>
      <rPr/>
      <t xml:space="preserve">24, 9–21. </t>
    </r>
    <r>
      <rPr>
        <color rgb="FF1155CC"/>
        <u/>
      </rPr>
      <t>https://doi.org/10.1016/j.envdev.2017.06.004</t>
    </r>
    <r>
      <rPr/>
      <t xml:space="preserve"> </t>
    </r>
    <r>
      <rPr>
        <color rgb="FFFF0000"/>
      </rPr>
      <t>(moved to peer-reviewed</t>
    </r>
    <r>
      <rPr>
        <b/>
      </rPr>
      <t>)</t>
    </r>
    <r>
      <rPr/>
      <t xml:space="preserve">                                                                                                                                                                                                                                                                                                                                    Cobbinah, P. B., Amenuvor, D., Black, R., &amp; Peprah, C. (2017). Ecotourism in the Kakum Conservation Area, Ghana: Local politics, practice and outcome. </t>
    </r>
    <r>
      <rPr>
        <i/>
      </rPr>
      <t xml:space="preserve">Journal of Outdoor Recreation and Tourism </t>
    </r>
    <r>
      <rPr/>
      <t xml:space="preserve">. https://doi.org/10.1016/j.jort.2017.09.003      </t>
    </r>
    <r>
      <rPr>
        <color rgb="FFFF0000"/>
      </rPr>
      <t xml:space="preserve"> (moved to peer-reviewed)  </t>
    </r>
    <r>
      <rPr/>
      <t xml:space="preserve">                                                                                                                                                                                                                                                                                                       Black, R., &amp; Cobbinah, P. B. (2017). On the rim of inspiration: performance of AWF tourism enterprises in Botswana and Rwanda. </t>
    </r>
    <r>
      <rPr>
        <i/>
      </rPr>
      <t xml:space="preserve">Journal of Sustainable Tourism </t>
    </r>
    <r>
      <rPr/>
      <t xml:space="preserve">, 25(11), 1600-1616. http://dx.doi.org/10.1080/09669582.2017.1296454  2016          </t>
    </r>
    <r>
      <rPr>
        <color rgb="FFFF0000"/>
      </rPr>
      <t xml:space="preserve">   (moved to peer-reviewed)  </t>
    </r>
    <r>
      <rPr/>
      <t xml:space="preserve">                                                                                                                                                                                                                                                                 Cobbinah, P.B. &amp; Anane, G.K. (2016). Climate change adaptation in rural Ghana: Indigenous perceptions and strategies. </t>
    </r>
    <r>
      <rPr>
        <i/>
      </rPr>
      <t>Climate and Development</t>
    </r>
    <r>
      <rPr/>
      <t xml:space="preserve">.
 8 (2), 169-178. doi: 10.1080/17565529.2015.1034228.  </t>
    </r>
    <r>
      <rPr>
        <color rgb="FFFF0000"/>
      </rPr>
      <t xml:space="preserve"> (moved to peer-reviewed)   </t>
    </r>
    <r>
      <rPr/>
      <t xml:space="preserve">                                                                                                                                                                                                                                                                          Cobbinah, P.B. &amp; Darkwah, R. M. (2016). African urbanism: the geography of urban greenery. </t>
    </r>
    <r>
      <rPr>
        <i/>
      </rPr>
      <t>Urban Forum</t>
    </r>
    <r>
      <rPr/>
      <t xml:space="preserve"> . doi: 10.1007/s12132-016-9274-z           </t>
    </r>
    <r>
      <rPr>
        <color rgb="FFFF0000"/>
      </rPr>
      <t xml:space="preserve">   (moved to peer-reviewed)   </t>
    </r>
    <r>
      <rPr/>
      <t xml:space="preserve">                                                                                                             Korah, P. I., Cobbinah, P. B., Nunbogu, A. M., &amp; Gyogluu, S.(2016). Spatial plans and urban development trajectory in Kumasi, Ghana. </t>
    </r>
    <r>
      <rPr>
        <i/>
      </rPr>
      <t xml:space="preserve">GeoJournal </t>
    </r>
    <r>
      <rPr/>
      <t>, 1-22. doi: 10.1007/s10708-016-9731-1   (</t>
    </r>
    <r>
      <rPr>
        <color rgb="FFFF0000"/>
      </rPr>
      <t>moved to peer-reviewed)</t>
    </r>
    <r>
      <rPr/>
      <t xml:space="preserve">
 Cobbinah, P.B. &amp; Korah, P. I. (2016). Religion gnaws urban planning: the geography of places of worship in Kumasi, Ghana. </t>
    </r>
    <r>
      <rPr>
        <i/>
      </rPr>
      <t>International</t>
    </r>
    <r>
      <rPr/>
      <t xml:space="preserve"> </t>
    </r>
    <r>
      <rPr>
        <i/>
      </rPr>
      <t>Journal of Urban Sustainable Development,</t>
    </r>
    <r>
      <rPr/>
      <t xml:space="preserve"> 8(2), 93-109,
 doi:10.1080/19463138.2015.1074581           </t>
    </r>
    <r>
      <rPr>
        <color rgb="FFFF0000"/>
      </rPr>
      <t xml:space="preserve">  (moved to peer-reviewed)  </t>
    </r>
    <r>
      <rPr/>
      <t xml:space="preserve">                                                                                                                                                                                                                                                                                                 Cobbinah, P. B., Poku-Boansi, M., &amp; Asomani-Boateng, R. (2016). Urbanisation of Hope or Despair? Urban Planning Dilemma in Ghana. </t>
    </r>
    <r>
      <rPr>
        <i/>
      </rPr>
      <t>Urban Forum</t>
    </r>
    <r>
      <rPr/>
      <t xml:space="preserve"> , 27,415-432. doi:10.1007/s12132016-9293-9                             Obeng-Atuah, D., Poku-Boansi, M., &amp; Cobbinah, P. B. (2016). Pedestrian crossing in urban Ghana: Safety implications. </t>
    </r>
    <r>
      <rPr>
        <i/>
      </rPr>
      <t xml:space="preserve">Journal of Transport &amp; Health </t>
    </r>
    <r>
      <rPr/>
      <t xml:space="preserve">. doi:10.1016/j.jth.2016.06.007  </t>
    </r>
    <r>
      <rPr>
        <color rgb="FFFF0000"/>
      </rPr>
      <t xml:space="preserve">could not identify   </t>
    </r>
    <r>
      <rPr/>
      <t xml:space="preserve">                                                     Korah, P. I., &amp; Cobbinah, P. B. (2016). Juggling through Ghanaian urbanisation: flood hazard mapping of Kumasi. </t>
    </r>
    <r>
      <rPr>
        <i/>
      </rPr>
      <t>GeoJournal</t>
    </r>
    <r>
      <rPr/>
      <t xml:space="preserve"> , 1-18. doi:10.1007/s10708-016-9746-7      </t>
    </r>
    <r>
      <rPr>
        <color rgb="FFFF0000"/>
      </rPr>
      <t xml:space="preserve"> (moved to peer-reviewed)   </t>
    </r>
    <r>
      <rPr/>
      <t xml:space="preserve">                                                                                                                                                        Cobbinah, P. B. &amp; Darkwah, R.M. (2016). Reflections on tourism policies in Ghana, </t>
    </r>
    <r>
      <rPr>
        <i/>
      </rPr>
      <t>International Journal of Tourism Sciences</t>
    </r>
    <r>
      <rPr/>
      <t xml:space="preserve">, 16(4), 170-190.  doi: 10.1080/15980634.2016.1212595 2015    (moved to peer-reviewed)                                            Cobbinah, P.B., Gaisie, E. &amp; Owusu-Amponsah, L. (2015). Peri-urban morphology and indigenous livelihoods in Ghana. </t>
    </r>
    <r>
      <rPr>
        <i/>
      </rPr>
      <t>Habitat International</t>
    </r>
    <r>
      <rPr/>
      <t xml:space="preserve">, 50, 120–129,
 http://dx.doi.org/10.1016/j.habitatint.2015.08.002         </t>
    </r>
    <r>
      <rPr>
        <color rgb="FFFF0000"/>
      </rPr>
      <t xml:space="preserve">  (moved to peer-reviewed)  </t>
    </r>
    <r>
      <rPr/>
      <t xml:space="preserve">                                                                                                                                                                                                                                                                                                                                                                                                                                                                                                                                                                                               Cobbinah, P.B., Erdiaw-Kwasie, M.O. &amp; Amoateng P. (2015). Africa’s urbanisation: Implications for sustainable development. </t>
    </r>
    <r>
      <rPr>
        <i/>
      </rPr>
      <t>Cities</t>
    </r>
    <r>
      <rPr/>
      <t xml:space="preserve">. 47, 62-72. http://dx.doi.org/10.1016/j.cities.2015.03.013.                                    Cobbinah, P.B., Erdiaw-Kwasie, M. O., &amp; Amoateng, P. (2015). Rethinking sustainable development within the framework of poverty and urbanisation in developing countries. </t>
    </r>
    <r>
      <rPr>
        <i/>
      </rPr>
      <t>Environmental Development,</t>
    </r>
    <r>
      <rPr/>
      <t xml:space="preserve"> 13(1), 18-32 doi: http://dx.doi.org/10.1016/j.envdev.2014.11.001      (moved to peer-reviewed)                                                                                                                                                                                                                                                                                                                                                                                                                                                                                                                                                                                                 Cobbinah, P.B., Black, R. &amp; Thwaites, R. (2015). Biodiversity conservation and livelihoods in rural Ghana: Impacts and adaptation responses. </t>
    </r>
    <r>
      <rPr>
        <i/>
      </rPr>
      <t>Environmental Development.</t>
    </r>
    <r>
      <rPr/>
      <t xml:space="preserve"> 15(3), 79-93. doi:10.1016/j.envdev.2015.04.006  </t>
    </r>
    <r>
      <rPr>
        <color rgb="FFFF0000"/>
      </rPr>
      <t xml:space="preserve">  (moved to peer-reviewed)   </t>
    </r>
    <r>
      <rPr/>
      <t xml:space="preserve">    HERE                                                                                                                                                                                                                                                                                                            Cobbinah, P.B., Black, R. &amp; Thwaites, R. (2015). Ecotourism implementation in the Kakum Conservation Area, Ghana: Administrative framework and local community experiences. </t>
    </r>
    <r>
      <rPr>
        <i/>
      </rPr>
      <t>Journal of Ecotourism</t>
    </r>
    <r>
      <rPr/>
      <t xml:space="preserve">, 14(2-3), 223-242 .  http://dx.doi.org/10.1080/14724049.2015.1051536                                                                                                                                                                                                                                                                           Cobbinah, P.B. (2015). Contextualising the meaning of ecotourism. Tourism Management Perspectives, 16 , 179-189. doi: http://dx.doi.org/10.1016/j.tmp.2015.07.015                                                                        Cobbinah, P.B. (2015). Local attitudes towards natural resources management in rural Ghana. Management of Environmental Quality: </t>
    </r>
    <r>
      <rPr>
        <i/>
      </rPr>
      <t>An International Journal</t>
    </r>
    <r>
      <rPr/>
      <t xml:space="preserve">, 26(3), 423 - 436. doi: http://dx.doi.org/10.1108/MEQ-04-2014-0061. 2014  </t>
    </r>
    <r>
      <rPr>
        <color rgb="FFFF0000"/>
      </rPr>
      <t xml:space="preserve"> can't identify  </t>
    </r>
    <r>
      <rPr/>
      <t xml:space="preserve">                                                                                                                                                                                                                                                                                                                                           Amoako, C., Cobbinah, P.B. &amp; Niminga-Beka, R. (2014). Urban infrastructure design and pedestrian safety in the Kumasi central business district, Ghana.</t>
    </r>
    <r>
      <rPr>
        <i/>
      </rPr>
      <t xml:space="preserve"> Journal of Transportation, Safety and Security,</t>
    </r>
    <r>
      <rPr/>
      <t xml:space="preserve"> 6(3), 235-256, doi: 10.1080/19439962.2013.861887.                                                                                                                                                                                                                                                                                                                  Darkwah, R.M. &amp; Cobbinah, P.B. (2014). Restoring depleted urban greenery in an era of rapid urbanisation.</t>
    </r>
    <r>
      <rPr>
        <i/>
      </rPr>
      <t xml:space="preserve"> International Journal of Environmental, Ecological, Geological and Geophysical Engineering,</t>
    </r>
    <r>
      <rPr/>
      <t xml:space="preserve"> 8(10), 671-674 
 Amoateng, P., Cobbinah, P.B. &amp; Ofori-Kumah, K. (2014). Towards creation of sustainable enclaves for small and medium-size enterprises in Kumasi, Ghana. </t>
    </r>
    <r>
      <rPr>
        <i/>
      </rPr>
      <t xml:space="preserve">International Journal of Social, Human Science and Engineering </t>
    </r>
    <r>
      <rPr/>
      <t xml:space="preserve"> 8(1), 333-341.</t>
    </r>
    <r>
      <rPr>
        <color rgb="FFFF0000"/>
      </rPr>
      <t xml:space="preserve"> can't identify</t>
    </r>
    <r>
      <rPr/>
      <t xml:space="preserve">
Napari, P.N. &amp; Cobbinah, P.B. (2014). Environmental sanitation dilemma in the Tamale metropolis, Ghana. </t>
    </r>
    <r>
      <rPr>
        <i/>
      </rPr>
      <t>International Journal of Social, Human Science and Engineering ,</t>
    </r>
    <r>
      <rPr/>
      <t xml:space="preserve"> 8 (1), 228-233.  </t>
    </r>
    <r>
      <rPr>
        <color rgb="FFFF0000"/>
      </rPr>
      <t xml:space="preserve"> can't identify </t>
    </r>
    <r>
      <rPr/>
      <t xml:space="preserve">                                             Amoateng, P., Cobbinah, P.B. &amp; Owusu-Adade, K. (2013). Managing physical development in peri-urban areas of Kumasi, Ghana: a case of Abuakwa. </t>
    </r>
    <r>
      <rPr>
        <i/>
      </rPr>
      <t>Journal of Urban and Environmental Engineering</t>
    </r>
    <r>
      <rPr/>
      <t xml:space="preserve"> , 7(1), 96-109. Cobbinah, P.B., Black, R. &amp; Thwaites, R. (2013). Dynamics of poverty in developing countries: Review of poverty reduction approaches. </t>
    </r>
    <r>
      <rPr>
        <i/>
      </rPr>
      <t>Journal of Sustainable Development,</t>
    </r>
    <r>
      <rPr/>
      <t xml:space="preserve"> 6(9), 25-35.                                           Cobbinah, P.B., Black, R. &amp; Thwaites, R. (2013). Tourism planning in developing countries: Review of concepts and sustainability issues. </t>
    </r>
    <r>
      <rPr>
        <i/>
      </rPr>
      <t>International Journal of Social, Education, Economics and Management Engineering</t>
    </r>
    <r>
      <rPr/>
      <t xml:space="preserve">, 7(4), 468-475.                                                                                                                                                                                                                                                                                                                                      Anane, G.K., Cobbinah, P.B. &amp; Manu, J.K. (2013). Sustainability of small and medium scale enterprises in rural Ghana: The role of microfinance institutions. </t>
    </r>
    <r>
      <rPr>
        <i/>
      </rPr>
      <t>Asian Economic and Financial Review</t>
    </r>
    <r>
      <rPr/>
      <t xml:space="preserve"> , 3(8), pp. 1003-1017. 2012 Cobbinah, P. B. &amp; Amoako, C. (2012). Urban sprawl and the loss of peri-urban land in Kumasi, Ghana. International Journal of Social and Human Sciences , 6 (2012), 388-397.                                                     Amoako, C. &amp; Cobbinah, P. B. (2011). Slum improvement in the Kumasi metropolis, Ghana: A review of approaches and results.</t>
    </r>
    <r>
      <rPr>
        <i/>
      </rPr>
      <t xml:space="preserve"> Journal of Sustainable Development in Africa,</t>
    </r>
    <r>
      <rPr/>
      <t xml:space="preserve"> 13(8), 150170. Cobbinah, P. B., Black, R. &amp; Thwaites, R. (2011). Reflections on six decades of the concept of development: Evaluation and future research. </t>
    </r>
    <r>
      <rPr>
        <i/>
      </rPr>
      <t>Journal of Sustainable Development in Africa</t>
    </r>
    <r>
      <rPr/>
      <t xml:space="preserve"> 13(7), 134-149. </t>
    </r>
  </si>
  <si>
    <t>Nicole De Wet</t>
  </si>
  <si>
    <t xml:space="preserve">2.	De Wet, N., &amp; Ahuejere, L. (2015). Demography of Disability in South Africa. In Clifford Odimegwu &amp; John Kekovole (Ed.),   Social Demography of South Africa: Advances and Emerging Issues, 273. New York, USA: Routledge, Taylor &amp; Francis
3.	Odimegwu, C, Frade-Bakker, S, Adedini, SA &amp; De Wet, N (2015) Demography of Labour Force in a Transitional Society  In Clifford Odimegwu &amp; John Kekovole (Ed.),  Social Demography of South Africa: Advances and Emerging Issues, New York, USA: Routledge, Taylor &amp; Francis
4.	De Wet, N. (2015) Violence Against Young Females in South Africa: An Analysis of the Current Prevalence and Previous Levels of Youth Mortality, 1997- 2009, in Djamba, YK and Kimuna, SR (Ed.), Gender-Based Violence: Perspectives from Africa, the Middle East, and India, New York, USA: Routledge, Taylor &amp; Francis
5.	Ibisomi, L and De Wet, N. (2015) The dynamics of household structure in Sub-Saharan Africa. In “Continuity and Change in Sub-Saharan African Demography” edited by Clifford Odimegwu and John Kekovole, Publisher Routledge, Taylor and Francis, New York, 2014. In Press
</t>
  </si>
  <si>
    <r>
      <rPr/>
      <t>1.Mosley, E. A., King, E. J., Schulz, A. J., Harris, L. H., De Wet, N., &amp; Anderson, B. A. (2017). Abortion attitudes among South Africans: findings from the 2013 social attitudes survey. Culture, Health &amp; Sexuality, 19(8), pp.918-933.</t>
    </r>
    <r>
      <rPr>
        <i/>
      </rPr>
      <t xml:space="preserve"> Journal impact factor</t>
    </r>
    <r>
      <rPr/>
      <t xml:space="preserve">: 1.742
2. Chisumpa, V. H., Odimegwu, C. O., &amp; De Wet, N. (2017). Adult mortality in sub-Saharan Africa, Zambia: Where do adults die?. SSM-population health, 3, pp. 227-235.  </t>
    </r>
    <r>
      <rPr>
        <i/>
      </rPr>
      <t>Journal impact factor</t>
    </r>
    <r>
      <rPr/>
      <t>: 0.467
3. Chisupma, VH and De Wet, NC (2017) Estimating regional variations in adult mortality in Zambia, African Population Studies,31(1 ), pp.3144-3165.</t>
    </r>
    <r>
      <rPr>
        <i/>
      </rPr>
      <t xml:space="preserve"> Journal impact factor:</t>
    </r>
    <r>
      <rPr/>
      <t xml:space="preserve"> Citefactor Index - 73
4. De Wet, N (2017) Family Formation and Economic Insecurity among Youth in South Africa, Development Southern Africa, 34(6), pp.694-703. </t>
    </r>
    <r>
      <rPr>
        <i/>
      </rPr>
      <t>Journal impact factor</t>
    </r>
    <r>
      <rPr/>
      <t xml:space="preserve">: 0.647
5. Odimegwu, C., Somefun, O. D., &amp; De Wet, N. (2017). Contextual determinants of family dissolution in sub-Saharan Africa. Development Southern Africa, 34(6), pp.721-737. </t>
    </r>
    <r>
      <rPr>
        <i/>
      </rPr>
      <t>Journal impact factor:</t>
    </r>
    <r>
      <rPr/>
      <t xml:space="preserve"> 0.647
6. De Wet, N and Odimegwu, C (2017) Contextual Determinants of Adolescent Mortality, African Health Sciences , 17 (1), pp. 62-69. </t>
    </r>
    <r>
      <rPr>
        <i/>
      </rPr>
      <t>Journal impact factor</t>
    </r>
    <r>
      <rPr/>
      <t xml:space="preserve">: 0.842
7. Odimegwu, C., De Wet, N., Adedini, A.A., Nzimande, N., Appunni, S., Hochfeld, T., Dube, T. (2017) Family demography in Sub-Saharan Africa: a systematic review of family research, African Population Studies, 31 (1)supp.2, pp. 3679 – 3689. </t>
    </r>
    <r>
      <rPr>
        <i/>
      </rPr>
      <t>Journal impact factor</t>
    </r>
    <r>
      <rPr/>
      <t xml:space="preserve">: Citefactor Index - 73
8. Ajaero, C.A and De Wet, N (2017): Life satisfaction and internal migration in South Africa, African Population Studies, 31(1) supp.2, pp. 3528 – 3572. </t>
    </r>
    <r>
      <rPr>
        <i/>
      </rPr>
      <t>Journal impact facto</t>
    </r>
    <r>
      <rPr/>
      <t xml:space="preserve">r: Citefactor Index - 73
9. Graham, L., Jordan, L., Hutchinson, A., &amp; De Wet, N. (2017). Risky behaviour: a new framework for understanding why young people take risks. Journal of Youth Studies, 21(3), pp.324-339. </t>
    </r>
    <r>
      <rPr>
        <i/>
      </rPr>
      <t>Journal impact facto</t>
    </r>
    <r>
      <rPr/>
      <t xml:space="preserve">r: 1.724
10. Evans Muchiri, Clifford Odimegwu &amp; Nicole De Wet (2017): HIV risk perception and consistency in condom use among adolescents and young adults in urban Cape Town, South Africa: a cumulative risk analysis, Southern African Journal of Infectious Diseases, DOI: 10.1080/23120053.2017.1332800. </t>
    </r>
    <r>
      <rPr>
        <i/>
      </rPr>
      <t>Journal impact factor</t>
    </r>
    <r>
      <rPr/>
      <t xml:space="preserve">: none
11. Odimegwu, C. O., Akinyemi, J. O., &amp; De Wet, N. (2017) Premarital birth, children’s sex composition and marital instability among women in sub-Saharan Africa. Journal of Population Research, 34(4), pp.327-346. </t>
    </r>
    <r>
      <rPr>
        <i/>
      </rPr>
      <t>Journal impact factor</t>
    </r>
    <r>
      <rPr/>
      <t>: 1.320
12. Odimegwu, C., De Wet, N., &amp; Dolapo Somefun, O. (2017). Perceptions of social capital and sexual behaviour among youth in South Africa. Journal of Child &amp; Adolescent Mental Health, 29(3), pp.205-217.</t>
    </r>
    <r>
      <rPr>
        <i/>
      </rPr>
      <t xml:space="preserve"> Journal</t>
    </r>
    <r>
      <rPr/>
      <t xml:space="preserve"> </t>
    </r>
    <r>
      <rPr>
        <i/>
      </rPr>
      <t>impact factor</t>
    </r>
    <r>
      <rPr/>
      <t xml:space="preserve">: 0.635
13. De Wet, N (2017) Gendered Risk Factors in Self-Harm Mortality among youth in South Africa (2006- 2014), South African Medical Journal, 107(12), pp.1132-1136. </t>
    </r>
    <r>
      <rPr>
        <i/>
      </rPr>
      <t>Journal impact facto</t>
    </r>
    <r>
      <rPr/>
      <t xml:space="preserve">r: 1.325
2018:
14. De Wet, N., Muloiwa, T., &amp; Odimegwu, C. (2018). Extra-curricular activities and youth risky behaviours in South Africa. International Journal of Adolescence and Youth, 23(4), pp.431-440. </t>
    </r>
    <r>
      <rPr>
        <i/>
      </rPr>
      <t>Journal impact factor</t>
    </r>
    <r>
      <rPr/>
      <t>: 0.29
15. Olamijuwon, E. O., Odimegwu, C. O., &amp; De Wet, N. (2018). Social cohesion and self-rated health among adults in South Africa: The moderating role of race. Health &amp; Place, 51, 89-96 Journal impact factor: 2.4
16. De Wet, N., Somefun, O., &amp; Rambau, N. (2018). Perceptions of community safety and social activity participation among youth in South Africa. PLOS ONE, 13(5), e0197549.  J</t>
    </r>
    <r>
      <rPr>
        <i/>
      </rPr>
      <t>ournal impact factor</t>
    </r>
    <r>
      <rPr/>
      <t xml:space="preserve">: 2.766
17. Odimegwu, C. O., Alabi, O., De Wet, N., &amp; Akinyemi, J. O. (2018). Ethnic heterogeneity in the determinants of HIV/AIDS stigma and discrimination among Nigeria women. BMC Public Health, 18(1), 763. </t>
    </r>
    <r>
      <rPr>
        <i/>
      </rPr>
      <t>Journal impact factor</t>
    </r>
    <r>
      <rPr/>
      <t xml:space="preserve">: 2.420
18. De Wet, N., Frade, S., &amp; Akinyemi, J. (2018). Extra mouths to feed: the odds of young mothers engaging in transactional sexual relationships in South Africa. Cogent Social Sciences, 4: 1482986. </t>
    </r>
    <r>
      <rPr>
        <i/>
      </rPr>
      <t>Journal impact factor</t>
    </r>
    <r>
      <rPr/>
      <t>: none
19. Mabetha, K and De Wet, N (2018) Sexual harassment in South African schools: is there a relationship to risky sexual behaviours among adolescents? South African Journal of Child Health, 2018(Special Edition), s10-s14.</t>
    </r>
    <r>
      <rPr>
        <i/>
      </rPr>
      <t xml:space="preserve"> Journal impact factor</t>
    </r>
    <r>
      <rPr/>
      <t>: 0.22.
20. De Wet, N. and Frade, S (2018) Disease prevalence and grade repetition among adolescents in South Africa: is there any relationship?, South African Journal of Child Health (Special Issue), s67-s70.</t>
    </r>
    <r>
      <rPr>
        <i/>
      </rPr>
      <t xml:space="preserve"> Journal impact factor</t>
    </r>
    <r>
      <rPr/>
      <t xml:space="preserve">: 0.22
21. Amoo, E., Odimegwu, C. and De Wet, N. (2018) Teenage Pregnancy in South Africa: Where are the young men involved? South African Journal of Child Health (Special Issue), s44-s50. </t>
    </r>
    <r>
      <rPr>
        <i/>
      </rPr>
      <t>Journal impact factor</t>
    </r>
    <r>
      <rPr/>
      <t xml:space="preserve">: 0.22
22. Letuka, T. and De Wet, N. (2018) Cervical cancer screening among adolescent girls in Lesotho: Levels and Determinants, South African Journal of Child Health (Special Issue), s63-s66. </t>
    </r>
    <r>
      <rPr>
        <i/>
      </rPr>
      <t>Journal impact factor</t>
    </r>
    <r>
      <rPr/>
      <t xml:space="preserve">: 0.22
2019:
23. Nicole De Wet, Christiana Alex-Ojei &amp; Joshua Akinyemi (2019) ‘I’m in love with an older man’: reasons for intergenerational sexual relationships among young women in South Africa, Culture, Health &amp; Sexuality, 21:6, 717-726, DOI: 10.1080/13691058.2018.1503330 </t>
    </r>
    <r>
      <rPr>
        <i/>
      </rPr>
      <t>Journal impact factor:</t>
    </r>
    <r>
      <rPr/>
      <t xml:space="preserve"> 1.742
24. De Wet, N., Akinyemi, J., &amp; Odimegwu, C. (2019). How Much Do They Know? An Analysis of the Accuracy of HIV Knowledge among Youth Affected by HIV in South Africa. </t>
    </r>
    <r>
      <rPr>
        <i/>
      </rPr>
      <t>Journal of the International Association</t>
    </r>
    <r>
      <rPr/>
      <t xml:space="preserve"> </t>
    </r>
    <r>
      <rPr>
        <i/>
      </rPr>
      <t>of Providers of AIDS Care</t>
    </r>
    <r>
      <rPr/>
      <t xml:space="preserve"> (JIAPAC) 18: 1-17. 
https://doi.org/10.1177/2325958218822306. Journal impact factor: 0.71
25. Dindi, P and De Wet, N (2019) Determinants of sex differentials in mortality: an assessment of household-level factors in South Africa, African Population Studies, 33(1): 4621- 4627.</t>
    </r>
    <r>
      <rPr>
        <i/>
      </rPr>
      <t xml:space="preserve"> Journal impact factor</t>
    </r>
    <r>
      <rPr/>
      <t xml:space="preserve">: Citefactor Index - 73
26. Hlongwa, M and De Wet, N (2019) Demographic and Socioeconomic factors associated with under-5 mortality in Kwazulu-Natal Province, South Africa, South African Journal of Child Health – accepted.  </t>
    </r>
    <r>
      <rPr>
        <i/>
      </rPr>
      <t>Journal</t>
    </r>
    <r>
      <rPr/>
      <t xml:space="preserve"> </t>
    </r>
    <r>
      <rPr>
        <i/>
      </rPr>
      <t>impact factor</t>
    </r>
    <r>
      <rPr/>
      <t xml:space="preserve">: 0.22
27. Nicole De Wet &amp; Jude Ewemade (2019) “We Are Small, But We Have Jobs”: A Profile of the Labour Activities of Children and Youth in South Africa, South African Review of Sociology, 49:3-4, 96-114, DOI: 10.1080/21528586.2019.1575275. </t>
    </r>
    <r>
      <rPr>
        <i/>
      </rPr>
      <t>Journal impact factor:</t>
    </r>
    <r>
      <rPr/>
      <t xml:space="preserve"> 0.25
28. De Wet, N., &amp; Osman, R. (2019). Ecological approach to childhood in South Africa: An analysis of the contextual determinants. Perspectives in Education, 36(2), 132-146. </t>
    </r>
    <r>
      <rPr>
        <i/>
      </rPr>
      <t>Journal impact factor</t>
    </r>
    <r>
      <rPr/>
      <t xml:space="preserve">: none
29. De Wet, N (2019) Mothers socioeconomic status and non-orphan kinship care in South Africa, Children and Youth Services Review, 103:79-86 Journal impact factor: 1.266
</t>
    </r>
    <r>
      <rPr>
        <b/>
      </rPr>
      <t>PUBLICATIONS PRIOR TO LAST PROMOTION</t>
    </r>
    <r>
      <rPr/>
      <t xml:space="preserve">
</t>
    </r>
    <r>
      <rPr>
        <b/>
      </rPr>
      <t xml:space="preserve">2013: </t>
    </r>
    <r>
      <rPr/>
      <t xml:space="preserve">
1. Bamiwuye, S.O, De Wet, N &amp; Adedini, SA (2013): Linkages between autonomy, poverty and contraceptive use in two sub-Saharan African countries, African Population Studies, 27(2), pp.164-173. </t>
    </r>
    <r>
      <rPr>
        <i/>
      </rPr>
      <t>Journal impact factor</t>
    </r>
    <r>
      <rPr/>
      <t xml:space="preserve">: Citefactor Index - 73
2. De Wet, N. (2013) Parent absenteeism and adolescents who work. African Population Studies, 27(1): 70-78. </t>
    </r>
    <r>
      <rPr>
        <i/>
      </rPr>
      <t>Journal impact factor</t>
    </r>
    <r>
      <rPr/>
      <t xml:space="preserve">: Citefactor Index - 73
3. De Wet, N. &amp; Odimegwu, C. (2013) Determinants of Adolescent Mortality in South Africa, 2001- 2007. </t>
    </r>
    <r>
      <rPr>
        <i/>
      </rPr>
      <t>Journal of Health and Social Behaviour</t>
    </r>
    <r>
      <rPr/>
      <t>, 2(3): 243-251. Journal impact factor: 2.617
4. De Wet, N &amp; Odimegwu, C. (2013) Levels and Causes of Adolescent Mortality in South Africa, 2001- 2007. The International Journal of Interdisciplinary Social and Community Studies. 7(53): 59-83.</t>
    </r>
    <r>
      <rPr>
        <i/>
      </rPr>
      <t>Journal impact</t>
    </r>
    <r>
      <rPr/>
      <t xml:space="preserve"> </t>
    </r>
    <r>
      <rPr>
        <i/>
      </rPr>
      <t>factor</t>
    </r>
    <r>
      <rPr/>
      <t xml:space="preserve">: none
</t>
    </r>
    <r>
      <rPr>
        <b/>
      </rPr>
      <t>2014:</t>
    </r>
    <r>
      <rPr/>
      <t xml:space="preserve">
5. Adedini, SA, Odimegwu, CO, Bamiwuye, O, Fadeyibi, O and De Wet, N (2014) Barriers to accessing health care in Nigeria: implications for child survival, Global Health Action, 7: 23499. </t>
    </r>
    <r>
      <rPr>
        <i/>
      </rPr>
      <t>Journal impact factor</t>
    </r>
    <r>
      <rPr/>
      <t xml:space="preserve">: 1.904
6. De Wet, N, Dean, G and Odimegwu, C (2014) Adolescent mortality in South Africa: An analysis of unnatural causes of deaths by sex, 2000- 2009, African Population Studies: A Special Edition on South Africa, 28:1,579- 589. </t>
    </r>
    <r>
      <rPr>
        <i/>
      </rPr>
      <t>Journal impact factor</t>
    </r>
    <r>
      <rPr/>
      <t xml:space="preserve">: Citefactor Index - 73
7. Adedokun, B, Nyasulu, P, Maseko, F, Adedini, S, Akinyemi, J, Afolabi, S, De Wet, N, Sulaimon, Adedokun, Sambai &amp; Utembe, W. (2014). Sharing perspectives and experiences of doctoral fellows in the first cohort of Consortium for Advanced Research Training in Africa: 2011–2014. Global Health Action, 7. </t>
    </r>
    <r>
      <rPr>
        <i/>
      </rPr>
      <t>Journal impact factor</t>
    </r>
    <r>
      <rPr/>
      <t xml:space="preserve">: 1.904
8. Mkwananzi, S and De Wet, N (2014) School Dropout among African Adolescents in South Africa: Is there any gender differential, Gender and Behavior,12:4, 5998-6022. </t>
    </r>
    <r>
      <rPr>
        <i/>
      </rPr>
      <t>Journal impact factor</t>
    </r>
    <r>
      <rPr/>
      <t xml:space="preserve">: none
9. De Wet, N, Gumbo, J, Somefun, O (2014)  Multiple sexual partners and the gendered differences in HIV-testing among youth in South Africa, Gender and Behavior,12:4, 6023-6049. </t>
    </r>
    <r>
      <rPr>
        <i/>
      </rPr>
      <t>Journal impact factor</t>
    </r>
    <r>
      <rPr/>
      <t>: none
10. Odimegwu, C, Chadoka, N and De Wet, N (2014) Gender based Violence and Child Survival: Exploring the association between domestic violence and Child health consequences in three sub-Saharan African countries, Gender and Behavior,12:4, 6071-6092.</t>
    </r>
    <r>
      <rPr>
        <i/>
      </rPr>
      <t xml:space="preserve"> Journal impact factor</t>
    </r>
    <r>
      <rPr/>
      <t>:  none
11. De Wet, N, Oluweseyi, S and Odimegwu, CO (2014) Youth Mortality due to HIV/AIDS in South Africa: an application of life table techniques, African Journal of AIDS Research, 13:1, 13-2.</t>
    </r>
    <r>
      <rPr>
        <i/>
      </rPr>
      <t>Journal impact factor</t>
    </r>
    <r>
      <rPr/>
      <t>: 0.861
12. Somefun, O, Odimegwu, C, Adedini, SA, Motsa, L and De Wet, N (2014) Gender Differentials in Extramarital Sexual Behaviour: Evidence from countries in sub-Saharan Africa, Gender and Behaviour,12:4, 6093-6113.</t>
    </r>
    <r>
      <rPr>
        <i/>
      </rPr>
      <t>Journal impact factor</t>
    </r>
    <r>
      <rPr/>
      <t xml:space="preserve">: none
2016:
13. Akinyemi, J, De Wet, N and Odimegwu, C (2016) Review of sexuality studies in Africa: Setting a new post-2015 research agenda , </t>
    </r>
    <r>
      <rPr>
        <i/>
      </rPr>
      <t>African Journal of Reproductive Health</t>
    </r>
    <r>
      <rPr/>
      <t xml:space="preserve">, 20:1, 21-28. Journal impact factor: 0.77
14. Mpofu, S, Odimegwu, C, De Wet, N, Adedini, S and Akinyemi, J (2016) The Relation of Female Circumcision to Sexual Behavior in Kenya and Nigeria, Women &amp; Health, 57(7), pp.757-774. </t>
    </r>
    <r>
      <rPr>
        <i/>
      </rPr>
      <t>Journal impact factor</t>
    </r>
    <r>
      <rPr/>
      <t>: 1.377
15. De Wet, N  and Gumbo, J (2016) “Let’s live together first”: a longitudinal investigation into whether cohabitation is a precursor to marriage among young South Africans, African Population Studies, 30(2), pp.2653-2663.</t>
    </r>
    <r>
      <rPr>
        <i/>
      </rPr>
      <t xml:space="preserve"> Journal impact factor</t>
    </r>
    <r>
      <rPr/>
      <t xml:space="preserve">: Citefactor Index - 73
16. Clifford O. Odimegwu, Nicole De Wet &amp; Pamela C. Banda (2016) Risky sexual behaviour among women: Does economic empowerment matter? Case of Gabon, Mozambique, Sierra-Leone and Zambia, African Journal of AIDS Research, 15 (4), pp. 333-340. </t>
    </r>
    <r>
      <rPr>
        <i/>
      </rPr>
      <t>Journal impact factor</t>
    </r>
    <r>
      <rPr/>
      <t xml:space="preserve">: 0.861
17. De Wet, N (2016) Gendered differences in AIDS and AIDS-related cause of death among youth with secondary education in South Africa, 2009- 2011, SAHARA J: </t>
    </r>
    <r>
      <rPr>
        <i/>
      </rPr>
      <t xml:space="preserve">Journal of the Social Aspects of HIV/AIDS </t>
    </r>
    <r>
      <rPr/>
      <t xml:space="preserve">13(1), pp.170-177. Journal impact factor: 0.639
18. De Wet, N (2016) “Pregnancy and Death”: An examination of adolescent maternal mortality in South Africa, South African Journal of Child Health, 10(3), pp.151-155. </t>
    </r>
    <r>
      <rPr>
        <i/>
      </rPr>
      <t>Journal impact factor</t>
    </r>
    <r>
      <rPr/>
      <t xml:space="preserve">: 0.22
</t>
    </r>
  </si>
  <si>
    <t>De Bekker, Ian</t>
  </si>
  <si>
    <r>
      <rPr>
        <rFont val="Roboto, RobotoDraft, Helvetica, Arial, sans-serif"/>
        <b/>
        <color rgb="FF000000"/>
      </rPr>
      <t>Bekker</t>
    </r>
    <r>
      <rPr>
        <rFont val="Roboto, RobotoDraft, Helvetica, Arial, sans-serif"/>
        <color rgb="FF000000"/>
      </rPr>
      <t xml:space="preserve">, I. 2020. South African English, the Dynamic Model and the Challenge of Afrikaans Influence, in English in Multilingual South Africa: The Linguistics of Contact and Change, ed. Raymond Hickey. CUP, Cambridge; pgs. 30-51. Du Plessis, D., </t>
    </r>
    <r>
      <rPr>
        <rFont val="Roboto, RobotoDraft, Helvetica, Arial, sans-serif"/>
        <b/>
        <color rgb="FF000000"/>
      </rPr>
      <t>Bekker</t>
    </r>
    <r>
      <rPr>
        <rFont val="Roboto, RobotoDraft, Helvetica, Arial, sans-serif"/>
        <color rgb="FF000000"/>
      </rPr>
      <t xml:space="preserve">, I. &amp; Hickey, R. 2020. Regionality in South African English, in English in Multilingual South Africa: The Linguistics of Contact and Change, ed. Raymond Hickey. CUP, Cambridge; pgs. 74-100. </t>
    </r>
    <r>
      <rPr>
        <rFont val="Roboto, RobotoDraft, Helvetica, Arial, sans-serif"/>
        <b/>
        <color rgb="FF000000"/>
      </rPr>
      <t>Bekker</t>
    </r>
    <r>
      <rPr>
        <rFont val="Roboto, RobotoDraft, Helvetica, Arial, sans-serif"/>
        <color rgb="FF000000"/>
      </rPr>
      <t>, I. 2019. Language attitudes, in Language Contact: an International Handbook, vol. 1, ed. Jeroen Darquennes, Joseph C. Salmons and Wim Vandenbussche. De Gruyter Mouton, Berlin; pgs. 234-245.</t>
    </r>
  </si>
  <si>
    <r>
      <rPr>
        <rFont val="Roboto, RobotoDraft, Helvetica, Arial, sans-serif"/>
        <b/>
        <color rgb="FF000000"/>
      </rPr>
      <t>Bekker</t>
    </r>
    <r>
      <rPr>
        <rFont val="Roboto, RobotoDraft, Helvetica, Arial, sans-serif"/>
        <color rgb="FF000000"/>
      </rPr>
      <t xml:space="preserve">, I. 2020. Literary reflections of early postcolonial English in South Africa. World Englishes, DOI:10.1111/weng.12471 </t>
    </r>
    <r>
      <rPr>
        <rFont val="Roboto, RobotoDraft, Helvetica, Arial, sans-serif"/>
        <b/>
        <color rgb="FF000000"/>
      </rPr>
      <t>Bekker</t>
    </r>
    <r>
      <rPr>
        <rFont val="Roboto, RobotoDraft, Helvetica, Arial, sans-serif"/>
        <color rgb="FF000000"/>
      </rPr>
      <t xml:space="preserve">, I. &amp; Levon, E. 2020. Parodies of Whiteness: Die Antwoord and the politics of race, gender, and class in South Africa. Language in Society, 49(1): 115-147. Van der Merwe, P. &amp; </t>
    </r>
    <r>
      <rPr>
        <rFont val="Roboto, RobotoDraft, Helvetica, Arial, sans-serif"/>
        <b/>
        <color rgb="FF000000"/>
      </rPr>
      <t>Bekker</t>
    </r>
    <r>
      <rPr>
        <rFont val="Roboto, RobotoDraft, Helvetica, Arial, sans-serif"/>
        <color rgb="FF000000"/>
      </rPr>
      <t xml:space="preserve">, I. 2018. (Dis)Continuities in Bond: A Bakhtinian Analysis of the 007 films. Journal of Literary Studies, 34(3): 16-30. </t>
    </r>
    <r>
      <rPr>
        <rFont val="Roboto, RobotoDraft, Helvetica, Arial, sans-serif"/>
        <b/>
        <color rgb="FF000000"/>
      </rPr>
      <t>Bekker</t>
    </r>
    <r>
      <rPr>
        <rFont val="Roboto, RobotoDraft, Helvetica, Arial, sans-serif"/>
        <color rgb="FF000000"/>
      </rPr>
      <t xml:space="preserve">, I. 2018. Kairos and carnival: Mikhail Bakhtin’s rhetorical and ethical Christian vision. Religions, 9,79; doi: 10.3390/rel9030079. </t>
    </r>
    <r>
      <rPr>
        <rFont val="Roboto, RobotoDraft, Helvetica, Arial, sans-serif"/>
        <b/>
        <color rgb="FF000000"/>
      </rPr>
      <t>Bekker</t>
    </r>
    <r>
      <rPr>
        <rFont val="Roboto, RobotoDraft, Helvetica, Arial, sans-serif"/>
        <color rgb="FF000000"/>
      </rPr>
      <t xml:space="preserve">, I. &amp; Levon, E. 2017. The embedded indexical value of /s/-fronting in Afrikaans and South African English. Linguistics, 55(5): 1109-1139. </t>
    </r>
  </si>
  <si>
    <t>Adey Feleke Desta</t>
  </si>
  <si>
    <t>Desta AF., Nzioki J, Maina S. and Stomeo F (2017). Molecular biomonitoring of microbial communities in tannery wastewater treatment plant for the removal of retanning agents. In: Biological Wastewater Treatment and Resource Recovery. Farook R. and Ahmed Z. InTech Publiishers, Croatia, ISBN: 978-953-51-3046-8</t>
  </si>
  <si>
    <r>
      <rPr/>
      <t xml:space="preserve">Yonas Kassahun Hirutu, Meseret D. Bayeleygne, Adey F. Desta, Tewdros Tariku and Markos Abebe (2019). Bioinformatics in action: Training  workshop on Mycobacterium whole-genome sequence data analysis. </t>
    </r>
    <r>
      <rPr>
        <i/>
      </rPr>
      <t>EMBne</t>
    </r>
    <r>
      <rPr/>
      <t xml:space="preserve">t </t>
    </r>
    <r>
      <rPr>
        <i/>
      </rPr>
      <t>Journa</t>
    </r>
    <r>
      <rPr/>
      <t xml:space="preserve">l 24: e920. DOI </t>
    </r>
    <r>
      <rPr>
        <color rgb="FF1155CC"/>
        <u/>
      </rPr>
      <t>http://dx.doi.org/10.14806/ej.24.0.920</t>
    </r>
    <r>
      <rPr/>
      <t xml:space="preserve">                                                                                                                                                                                                                                                                       Alebachew Mesele Kebede, Fitsum Girma Tadesse, Adey Feleke Desta, Lemu Golasa and Endalamaw Gadisa (2019).  Effect of low complexity regions within the PvMSP3alpha block II on the tertiary structure of the protein and implications to immune escape mechanisms.  </t>
    </r>
    <r>
      <rPr>
        <i/>
      </rPr>
      <t xml:space="preserve">BMC Structural Biology </t>
    </r>
    <r>
      <rPr/>
      <t xml:space="preserve">19 (6)DOI/10.1186/s12900-019-0104-0.                                                                                                                                                                                         Hemen Tesfaye, Haile Alemayehu, Adey F. Desta and Tadesse Eguale (2019).  Antimicrobial susceptibility profile of selected Enterobacteriaceae in wastewater samples from health facilities, abattoir, downstream rivers and a WWTP in Addis Ababa, Ethiopia. </t>
    </r>
    <r>
      <rPr>
        <i/>
      </rPr>
      <t xml:space="preserve"> Antimicrobial Resistance and Infection Control </t>
    </r>
    <r>
      <rPr/>
      <t>8:134 https://doi.org/10.1186/s13756-019-0588-1                                                                                                                                           Desta AF, Assefa F, Leta S, Stomeo F, Wamalwa M, Njahira M and Djikeng A (2014).  Microbial community structure and diversity in an integrated system of anaerobic-aerobic reactors and constructed wetland for the treatment of tannery wastewater in Modjo, Ethiopia.</t>
    </r>
    <r>
      <rPr>
        <i/>
      </rPr>
      <t xml:space="preserve"> PLOS-ON</t>
    </r>
    <r>
      <rPr/>
      <t xml:space="preserve">E 9(12):e115576. DOI: 10.1371.                                                                                                                                                                                                                                                                                                                                     Christin Koch, Susanne Günther, Adey F. Desta, Thomas Hübschmann &amp; Susann Müller (2013).  Cytometric fingerprinting for analysing microbial intra-community structure variation and identifying sub-community function. </t>
    </r>
    <r>
      <rPr>
        <i/>
      </rPr>
      <t xml:space="preserve"> Nature Protocols</t>
    </r>
    <r>
      <rPr/>
      <t xml:space="preserve"> 8: 190- 212.                                                                                                                                                                                                                                                                                                                         Adey F. Desta, Gunnel Dalhammer and Gunatrana R. Kittuva (2010).  A modified culture-based study of bacterial community composition in a tannery wastewater treatment plant.  </t>
    </r>
    <r>
      <rPr>
        <i/>
      </rPr>
      <t>Water Sci. Technol</t>
    </r>
    <r>
      <rPr/>
      <t xml:space="preserve">. 62: 2543-2549   Ema, P.J.N, Manjeli, Y., Meutchieyie, F., Keambou, C., Wanjala, B., Desta, A. F., Ommeh, S., Skilton, R. and Djikeng, A. (2014). Genetic diversity of four Cameroonian indigenous cattle using microsatellite markers. </t>
    </r>
    <r>
      <rPr>
        <i/>
      </rPr>
      <t>J. Livestock Sci.</t>
    </r>
    <r>
      <rPr/>
      <t xml:space="preserve"> 5: 9-17.                                                                                                                                                                                                                                                                                                                                                          Adey Feleke, Beyene Petros, Woudyalew Mulatu, Hailemariam Lemecha, Abebe Wossene and Rege J.E.O. (2008). Study on monthly dynamics of ticks and seroprevalence of Anaplasma marginale, Babesia bigemina and Theileria mutans in four indigenous breeds of cattle in Ghibe valley of Ethiopia. SINET: </t>
    </r>
    <r>
      <rPr>
        <i/>
      </rPr>
      <t>Ethiop. J. Sci</t>
    </r>
    <r>
      <rPr/>
      <t xml:space="preserve">., 31:11-20.                                                                                                                                                                                           Adey Feleke, Beyene Petros, Woudyalew Mulatu, Hailemariam Lemecha, Abebe Wossene and Rege J. E. O. (2007). Resistance of Abigar, Guraghe, Horro and Sheko Breeds of Cattle to Tick Infestation in Ghibe - Tolley Valley. </t>
    </r>
    <r>
      <rPr>
        <i/>
      </rPr>
      <t>Bull. Anim. Hlth. Prod. Afr</t>
    </r>
    <r>
      <rPr/>
      <t xml:space="preserve">. 55: 163 - 174.                                                                                                                                                                                                                                                                                                     Tadesse Eguale, Getachew Tilahun, Asfaw Debella, Adey Feleke and Eyasu Mekonen (2007) Haemonchus contortus: In vitro and in vivo anthelmintic activity of aqueous and hydro- alcoholic extracts of Hedera helix. </t>
    </r>
    <r>
      <rPr>
        <i/>
      </rPr>
      <t>Experimental Parasitology</t>
    </r>
    <r>
      <rPr/>
      <t xml:space="preserve"> 116, 340-34.                                                                                                                                                                                                                                                                                                                      Tadesse Eguale, Getachew Tilahun Asfaw Debella, Adey Feleke and Eyasu Mekonnen (2007) In vitro and in vivo anthelmintic activity of crude extracts of Coriandrum sativum against Haemonchus contortus, </t>
    </r>
    <r>
      <rPr>
        <i/>
      </rPr>
      <t>Journal of Ethnopharmacology,</t>
    </r>
    <r>
      <rPr/>
      <t xml:space="preserve"> 110, 428-433.                                                                                                                                                                                                                                                                                                                            Tadesse Eguale, Asfaw Debella and Adey Feleke (2006) In vitro anthelmintic activity of crude stem bark extracts of Albizia gummifera on Haemonchus contortus, Bull. </t>
    </r>
    <r>
      <rPr>
        <i/>
      </rPr>
      <t>Anim. Hlth. Prod. Afr.</t>
    </r>
    <r>
      <rPr/>
      <t xml:space="preserve"> 54, 168-174</t>
    </r>
  </si>
  <si>
    <r>
      <rPr/>
      <t>1.        Yonas Kassahun Hirutu, Meseret D. Bayeleygne, Adey F. Desta, Tewdros Tariku and Markos Abebe (2019). Bioinformatics in action: Training  workshop on Mycobacterium whole-genome sequence data analysis.</t>
    </r>
    <r>
      <rPr>
        <i/>
      </rPr>
      <t xml:space="preserve"> EMBnet Journal</t>
    </r>
    <r>
      <rPr/>
      <t xml:space="preserve"> 24: e920. DOI </t>
    </r>
    <r>
      <rPr>
        <color rgb="FF1155CC"/>
        <u/>
      </rPr>
      <t>http://dx.doi.org/10.14806/ej.24.0.920</t>
    </r>
    <r>
      <rPr/>
      <t xml:space="preserve"> </t>
    </r>
    <r>
      <rPr>
        <color rgb="FFFF0000"/>
      </rPr>
      <t>(moved to peer-reviewed)</t>
    </r>
    <r>
      <rPr/>
      <t xml:space="preserve">
2.        Hemen Tesfaye, Haile Alemayehu, Adey F. Desta and Tadesse Eguale (2019).  Antimicrobial susceptibility profile of selected Enterobacteriaceae in wastewater samples from health facilities, abattoir, downstream rivers and a WWTP in Addis Ababa, Ethiopia.  </t>
    </r>
    <r>
      <rPr>
        <i/>
      </rPr>
      <t xml:space="preserve">Antimicrobial Resistance and Infection Control </t>
    </r>
    <r>
      <rPr/>
      <t xml:space="preserve">8:134 </t>
    </r>
    <r>
      <rPr>
        <color rgb="FF1155CC"/>
        <u/>
      </rPr>
      <t>https://doi.org/10.1186/s13756-019-0588-1</t>
    </r>
    <r>
      <rPr/>
      <t xml:space="preserve"> </t>
    </r>
    <r>
      <rPr>
        <color rgb="FFFF0000"/>
      </rPr>
      <t>(moved to peer-reviewed)</t>
    </r>
    <r>
      <rPr/>
      <t xml:space="preserve">
3.        Alebachew Mesele Kebede, Fitsum Girma Tadesse, Adey Feleke Desta, Lemu Golasa and Endalamaw Gadisa (2019).  Effect of low complexity regions within the PvMSP3alpha block II on the tertiary structure of the protein and implications to immune escape mechanisms.  </t>
    </r>
    <r>
      <rPr>
        <i/>
      </rPr>
      <t xml:space="preserve">BMC Structural Biology </t>
    </r>
    <r>
      <rPr/>
      <t>19 (6)DOI/10.1186/s12900-019-0104-0.</t>
    </r>
    <r>
      <rPr>
        <color rgb="FFFF0000"/>
      </rPr>
      <t>(moved to peer-reviewed)</t>
    </r>
    <r>
      <rPr/>
      <t xml:space="preserve">
4.        Zerihun Tsegaye, Birhanu Gizaw, Genene Tefera, Adey Feleke, Solomon Chaniyalew, Tesfaye  Alemu and Fasil Assefa (2019). Isolation and Biochemical Characterization of Plant Growth Promoting (PGP) Bacteria Colonizing The Rhizosphere of Tef Crop During the Seedling Stage.</t>
    </r>
    <r>
      <rPr>
        <i/>
      </rPr>
      <t xml:space="preserve"> Biomed J Sci &amp; Tech Res</t>
    </r>
    <r>
      <rPr/>
      <t xml:space="preserve"> 14(2). BJSTR. MS.ID.002534.</t>
    </r>
    <r>
      <rPr>
        <color rgb="FFFF0000"/>
      </rPr>
      <t xml:space="preserve">  (moved to peer-reviewed)</t>
    </r>
    <r>
      <rPr/>
      <t xml:space="preserve">
5.        Desta AF., Nzioki J, Maina S. and Stomeo F (2017). Molecular biomonitoring of microbial communities in tannery wastewater treatment plant for the removal of retanning agents. In: Biological Wastewater Treatment and Resource Recovery. Farook R. and Ahmed Z. InTech Publiishers, Croatia, ISBN: 978-953-51-3046-8 </t>
    </r>
    <r>
      <rPr>
        <color rgb="FFFF0000"/>
      </rPr>
      <t>(moved to book contributions)</t>
    </r>
    <r>
      <rPr/>
      <t xml:space="preserve">
6.        Desta AF, Assefa F, Leta S, Stomeo F, Wamalwa M, Njahira M and Djikeng A (2014).  Microbial community structure and diversity in an integrated system of anaerobic-aerobic reactors and constructed wetland for the treatment of tannery wastewater in Modjo, Ethiopia. PLOS-ONE 9(12):e115576. DOI: 10.1371</t>
    </r>
    <r>
      <rPr>
        <color rgb="FFFF0000"/>
      </rPr>
      <t>.(moved to peer-reviewed)</t>
    </r>
    <r>
      <rPr/>
      <t xml:space="preserve">
7.        Christin Koch, Susanne Günther, Adey F. Desta, Thomas Hübschmann &amp; Susann Müller (2013).  Cytometric fingerprinting for analysing microbial intra-community structure variation and identifying sub-community function.</t>
    </r>
    <r>
      <rPr>
        <i/>
      </rPr>
      <t xml:space="preserve">  Nature Protocol</t>
    </r>
    <r>
      <rPr/>
      <t>s 8: 190- 212</t>
    </r>
    <r>
      <rPr>
        <color rgb="FFFF0000"/>
      </rPr>
      <t xml:space="preserve"> (moved to peer-reviewed)</t>
    </r>
    <r>
      <rPr/>
      <t xml:space="preserve">
8.        Adey F. Desta, Gunnel Dalhammer and Gunatrana R. Kittuva (2010).  A modified culture-based study of bacterial community composition in a tannery wastewater treatment plant.  </t>
    </r>
    <r>
      <rPr>
        <i/>
      </rPr>
      <t>Water Sci. Technol.</t>
    </r>
    <r>
      <rPr/>
      <t xml:space="preserve"> 62: 2543-2549. </t>
    </r>
    <r>
      <rPr>
        <color rgb="FFFF0000"/>
      </rPr>
      <t>(moved to peer-reviewed)</t>
    </r>
    <r>
      <rPr/>
      <t xml:space="preserve">
9.        Ema, P.J.N, Manjeli, Y., Meutchieyie, F., Keambou, C., Wanjala, B., Desta, A. F., Ommeh, S., Skilton, R. and Djikeng, A. (2014). Genetic diversity of four Cameroonian indigenous cattle using microsatellite markers.</t>
    </r>
    <r>
      <rPr>
        <i/>
      </rPr>
      <t xml:space="preserve"> J. Livestock Sci.</t>
    </r>
    <r>
      <rPr/>
      <t xml:space="preserve"> 5: 9-17.</t>
    </r>
    <r>
      <rPr>
        <color rgb="FFFF0000"/>
      </rPr>
      <t xml:space="preserve"> (moved to peer-reviewed)</t>
    </r>
    <r>
      <rPr/>
      <t xml:space="preserve">
10.        Adey Feleke, Beyene Petros, Woudyalew Mulatu, Hailemariam Lemecha, Abebe Wossene and Rege J.E.O. (2008). Study on monthly dynamics of ticks and seroprevalence of Anaplasma marginale, Babesia bigemina and Theileria mutans in four indigenous breeds of cattle in Ghibe valley of Ethiopia. </t>
    </r>
    <r>
      <rPr>
        <i/>
      </rPr>
      <t>SINET: Ethiop. J. Sci.</t>
    </r>
    <r>
      <rPr/>
      <t xml:space="preserve">, 31:11-20. </t>
    </r>
    <r>
      <rPr>
        <color rgb="FFFF0000"/>
      </rPr>
      <t>(peer-reviewed)</t>
    </r>
    <r>
      <rPr/>
      <t xml:space="preserve">
11.        Adey Feleke, Beyene Petros, Woudyalew Mulatu, Hailemariam Lemecha, Abebe Wossene and Rege J. E. O. (2007). Resistance of Abigar, Guraghe, Horro and Sheko Breeds of Cattle to Tick Infestation in Ghibe - Tolley Valley. Bull. Anim. Hlth. Prod. Afr. 55: 163 - 174.</t>
    </r>
    <r>
      <rPr>
        <color rgb="FFFF0000"/>
      </rPr>
      <t xml:space="preserve"> (moved to peer-reviewed)</t>
    </r>
    <r>
      <rPr/>
      <t xml:space="preserve">
12.        Tadesse Eguale, Getachew Tilahun, Asfaw Debella, Adey Feleke and Eyasu Mekonen (2007) Haemonchus contortus: In vitro and in vivo anthelmintic activity of aqueous and hydro- alcoholic extracts of Hedera helix. </t>
    </r>
    <r>
      <rPr>
        <i/>
      </rPr>
      <t>Experimental Parasitology</t>
    </r>
    <r>
      <rPr/>
      <t xml:space="preserve"> 116, 340-345.</t>
    </r>
    <r>
      <rPr>
        <color rgb="FFFF0000"/>
      </rPr>
      <t xml:space="preserve"> (peer-reviewed)</t>
    </r>
    <r>
      <rPr/>
      <t xml:space="preserve">
13.        Tadesse Eguale, Getachew Tilahun Asfaw Debella, Adey Feleke and Eyasu Mekonnen (2007) In vitro and in vivo anthelmintic activity of crude extracts of Coriandrum sativum against Haemonchus contortus,</t>
    </r>
    <r>
      <rPr>
        <i/>
      </rPr>
      <t xml:space="preserve"> Journal of Ethnopharmacology</t>
    </r>
    <r>
      <rPr/>
      <t>, 110, 428-433.</t>
    </r>
    <r>
      <rPr>
        <color rgb="FFFF0000"/>
      </rPr>
      <t xml:space="preserve"> (peer-reviewed)</t>
    </r>
    <r>
      <rPr/>
      <t xml:space="preserve">
14.        Tadesse Eguale, Asfaw Debella and Adey Feleke (2006) In vitro anthelmintic activity of crude stem bark extracts of Albizia gummifera on Haemonchus contortus, </t>
    </r>
    <r>
      <rPr>
        <i/>
      </rPr>
      <t xml:space="preserve">Bull. Anim. Hlth. Prod. Afr. </t>
    </r>
    <r>
      <rPr/>
      <t>54, 168-174.</t>
    </r>
    <r>
      <rPr>
        <color rgb="FFFF0000"/>
      </rPr>
      <t xml:space="preserve"> (moved to peer-review)</t>
    </r>
    <r>
      <rPr/>
      <t xml:space="preserve">
</t>
    </r>
  </si>
  <si>
    <t>Veronica Dzomeku</t>
  </si>
  <si>
    <r>
      <rPr/>
      <t>1.Dzomeku, V. M. (2011) Maternal satisfaction with care during labour, birth and the lying-in period. A case study of Mampong Ashanti-Ghana.</t>
    </r>
    <r>
      <rPr>
        <i/>
      </rPr>
      <t xml:space="preserve"> International Journal of Nursing and Midwifery </t>
    </r>
    <r>
      <rPr/>
      <t xml:space="preserve">Vol. 3(3), pp. 30-34. ISSN 2141-2499.                                                                                                                                                                                                                                                                                                                                                                   2.Dzomeku, V. M., Asante E., Obeng, E., &amp; Oppong K. D., (2011) Client Satisfaction with out-patient care: A study at St. Michael’s Hospital, Ghana. </t>
    </r>
    <r>
      <rPr>
        <i/>
      </rPr>
      <t xml:space="preserve">West African Journal of Nursing </t>
    </r>
    <r>
      <rPr/>
      <t>vol. 22(2) pp. 83-94 Dzomeku, V. M, 3.Atinga Ba-Etilayoo, Tulukuu Perekuu  and Mante R. E. (2013) In-Patient Satisfaction With Nursing Care: A Case Study At Kwame Nkrumah University Of Science And Technology Hospital, Kumasi.</t>
    </r>
    <r>
      <rPr>
        <i/>
      </rPr>
      <t xml:space="preserve"> International Journal of Research in Medical and Health Sciences.</t>
    </r>
    <r>
      <rPr/>
      <t xml:space="preserve"> Vol 2(1)pp 19-24. 
3. Bell, S.A., Oteng R., Redman R, Lapham J., Bam V., Dzomeku V., Yakubu J., Tagoe N., and Donkor P. (2014) Development of an emergency nursing training curriculum in Ghana. Int. </t>
    </r>
    <r>
      <rPr>
        <i/>
      </rPr>
      <t>Emerg.</t>
    </r>
    <r>
      <rPr/>
      <t xml:space="preserve"> Nurs. Vol. 22(4):202-7 http://dx.doi.org/10.1016/j.ienj.2014.02.002.  
 4.Emmanuel K Nakua, Easmon Otupiri, Veronica Millicent Dzomeku, Ellis Owusu-Dabo, Peter Agyei-Baffour, Alfred Edwin Yawson, Gloria Folson and Sandra Hewlet (2015) Gender Disparities of Chronic Musculoskeletal Disorder Burden in the Elderly Ghanaian Population:  Study on Global Ageing and Adult Health (SAGE WAVE 1) </t>
    </r>
    <r>
      <rPr>
        <i/>
      </rPr>
      <t>BMC Musculoskeletal Disorder</t>
    </r>
    <r>
      <rPr/>
      <t xml:space="preserve">. 16:204 DOI 10.1186/s12891-015-0666-3.
5. Emmanuel Kweku Nakua, Easmon Otupiri, Ellis Owusu-Dabo, Veronica Millicent Dzomeku,  Kwame Otu-Danquah, Mary Anderson (2015) Prevalence of refractive errors among junior high school students in the Ejisu Juaben municipality of Ghana. </t>
    </r>
    <r>
      <rPr>
        <i/>
      </rPr>
      <t xml:space="preserve">JUST </t>
    </r>
    <r>
      <rPr/>
      <t xml:space="preserve">Vol. 35(1) pp. 52-62. Dx.doi.org/10.4314/just.v35il.5.
 6.Emmanuel Kweku Nakua, Justice Thomas Sevugu, Veronica Millicent Dzomeku Heather R Lipkovich, Easmon Otupiri, Ellis Owusu-Dabo (2015) Home birth without skilled attendants despite Millennium Villages Project interventions in Ghana: insight from a survey of women’s perceptions of skilled obstetric care. </t>
    </r>
    <r>
      <rPr>
        <i/>
      </rPr>
      <t>BMC Pregnancy and Birth</t>
    </r>
    <r>
      <rPr/>
      <t xml:space="preserve">, 15:243 DOI 10.1186/s12884-015-0674-1. 
 7. Sarah D. Rominiski, Jody Lori, Emmanuel Nakua, Veronica Dzomeku, Cheryl A. Moyer (2015) What makes a likely abortion provider? Evidence from a nation-wide survey of final-year students at Ghana’s public midwifery training colleges. </t>
    </r>
    <r>
      <rPr>
        <i/>
      </rPr>
      <t>Contraception</t>
    </r>
    <r>
      <rPr/>
      <t xml:space="preserve"> CON 8637. DOI:10.1016/j.contraception.
 8. Rominski-Danielson, S, Lori, JR, Moyer, C, Dzomeku, V, M., Nakua, E. (2016). “When the baby remains there for a long time it is going to die so you have to hit her small for the baby to come out”: Justification of disrespectful and abusive care during childbirth among midwifery students in Ghana, </t>
    </r>
    <r>
      <rPr>
        <i/>
      </rPr>
      <t>Health Policy and Planning</t>
    </r>
    <r>
      <rPr/>
      <t xml:space="preserve">, doi: 10.1093/heapol/czw114.
9.Moyer, CA, Rominski, S, Nakua, EK, Dzomeku, VM, Agyei-Baffour, P, Lori, JR. (2016). Exposure to disrespectful patient care during training: Data from midwifery students at 15 midwifery schools in Ghana, </t>
    </r>
    <r>
      <rPr>
        <i/>
      </rPr>
      <t>Midwifery</t>
    </r>
    <r>
      <rPr/>
      <t xml:space="preserve">, 41: 39-44. doi.org/10.1016/j.midw.2016.07.009. 
10.        Rominski-Danielson, S, Moyer, C, Dzomeku, V. M., Nakua, E &amp; Lori, JR. (2016). What makes a willing abortion provider? Evidence from a nation-wide survey of final-year students at Ghana's public midwifery training colleges, </t>
    </r>
    <r>
      <rPr>
        <i/>
      </rPr>
      <t>Contraception</t>
    </r>
    <r>
      <rPr/>
      <t xml:space="preserve">, 93(3):226-32. doi:10.1016/j.contraception.2015.11.007. 
11.        Veronica Millicent Dzomeku, Brian van Wyk &amp; Jody R. Lori (2017) Experiences of women receiving childbirth care from public health facilities in Kumasi, Ghana. </t>
    </r>
    <r>
      <rPr>
        <i/>
      </rPr>
      <t>Midwifery</t>
    </r>
    <r>
      <rPr/>
      <t xml:space="preserve"> DOI: http://dx.doi.org/10.1016/j.midw.2017.09.010.
12.  Danku L. S, Dzomeku V. M, Dodor C.T &amp; Adade T. C (2017) Stress among private University lecturers in Ghana: Causes and coping strategies. EPRA </t>
    </r>
    <r>
      <rPr>
        <i/>
      </rPr>
      <t>International Journal of Economics and Business Review</t>
    </r>
    <r>
      <rPr/>
      <t xml:space="preserve"> 5(1) 95-101. 
13.Jody R. Lori, Cheryl A. Moyer, Veronica Dzomeku, Emmanuel Kweku Nakua, Peter Agyei-Baffour, Sarah Rominski (2017). Achieving universal coverage: Understanding barriers to rural placement for final year midwifery students.</t>
    </r>
    <r>
      <rPr>
        <i/>
      </rPr>
      <t xml:space="preserve"> Midwifery</t>
    </r>
    <r>
      <rPr/>
      <t xml:space="preserve">, 58 44–49.
 14. Veronica Millicent Dzomeku, Brian van Wyk, Lucia Knight and Jody Rae Lori (2018) Determinants of satisfactory facility-based care for women during childbirth in Kumasi, Ghana. </t>
    </r>
    <r>
      <rPr>
        <i/>
      </rPr>
      <t>International Journal of Nursing and Midwifery</t>
    </r>
    <r>
      <rPr/>
      <t xml:space="preserve"> Vol. 10(4), pp. 33-40, DOI: 10.5897/IJNM2018.0306 Article Number: D388EC56780 ISSN 2141-2456 
 15. Veronica Millicent Dzomeku, Brian van Wyk, Lucia Knight and Jody Rae Lori (2018) Exploration of mothers’ experiences of care during childbirth in Public Health centers in Kumasi, Ghana. </t>
    </r>
    <r>
      <rPr>
        <i/>
      </rPr>
      <t>Africa Journal of Nursing &amp; Midwifery,</t>
    </r>
    <r>
      <rPr/>
      <t xml:space="preserve"> Vol 20-1 
 16.Adwoa Bemah Bonsu, Veronica Millicent Dzomeku, Felix Apiribu, Solomon Obiri-Yeboah, Benjamin Asamoah, Koﬁ Boamah Mensah, Akosua Agyenim-Boateng, Anita Kusi Appiah &amp; Peter Donko (2018) Having a Having a child with orofacial cleft: Initial reaction and psychosocial experiences of Ghanaian mothers. https://doi.org/10.1016/j.ijans.2018.05.003 </t>
    </r>
    <r>
      <rPr>
        <i/>
      </rPr>
      <t>International Journal  of Africa Nursing Sciences</t>
    </r>
    <r>
      <rPr/>
      <t xml:space="preserve"> Volume 8, Pages 132-140 
17.  Decker S, Chiwaula, J, Dzomeku, V, Nakua, E, &amp; Bemah Bonsu A (2018) Maternal Satisfaction with Labour at the University of Ghana Hospital Accra: A Cross Sectional Survey. NUMID HORIZON: An I</t>
    </r>
    <r>
      <rPr>
        <i/>
      </rPr>
      <t>nternational Journal of Nursing and Midwifery.</t>
    </r>
    <r>
      <rPr/>
      <t xml:space="preserve">  Volume 2 No. 1 
 18.Dzomeku VM, van Wyk BE, Lori JR. (2019) An Integrative Literature Review of Interventions Addressing Knowledge, Attitudes, and Skills of Health Team to Achieve Best Maternal Outcomes. </t>
    </r>
    <r>
      <rPr>
        <i/>
      </rPr>
      <t>Journal of Midwifery and Reproductive Health.</t>
    </r>
    <r>
      <rPr/>
      <t xml:space="preserve"> 2019; 7(4): 1-10. DOI: 10.22038/jmrh.2019.38235.1425  
19.Kusi G, Boamah Mensah AB, BoamahMensah K, Dzomeku VM, Apiribu F, Duodu PA(2020) Caregiving motivations and experiences among family caregivers of patients living with advanced breast cancer in Ghana. </t>
    </r>
    <r>
      <rPr>
        <i/>
      </rPr>
      <t>PLoS ONE</t>
    </r>
    <r>
      <rPr/>
      <t xml:space="preserve"> 15(3): e0229683. https://doi.org/10.1371/journal.pone.0229683                                                                                                                                                                                                                                                                                                                                                                                                                                                                                                                                                  20.    VM Dzomeku, D-zomeku VM, Mensah BAB, Nakua EK, Agbadi P, Lori JR, Donkor P (2020) Exploring midwives’understanding of respectful maternal care in Kumasi, Ghana: Qualitative inquiry. </t>
    </r>
    <r>
      <rPr>
        <i/>
      </rPr>
      <t>PLoS ONE</t>
    </r>
    <r>
      <rPr/>
      <t xml:space="preserve"> 15(7):e0220538. https://doi.org/10.1371/journal.pone.0220538 PMID: 32644991                                                                                                                                                                                                                                                        21. VM Dzomeku, Pascal Agbadi, Twumwaa EuniceTagoe, F. Akosua Agyemang, Veronica Millicent Dzomeku, Herman Nuake Kofi, Agboh, Ernest Darkwah (2020). Media exposure to family planning contents and adult support for teaching children about condom use to prevent HIV/AIDS: Findings from 2003 to 2014 Ghana Demographic Health Surveys. </t>
    </r>
    <r>
      <rPr>
        <i/>
      </rPr>
      <t>Children and Youth Services Review</t>
    </r>
    <r>
      <rPr/>
      <t xml:space="preserve"> Volume 118, November 2020, 105447.                                                                                                                                                                                                                                              22. Caregivers’ Experiences with Caring for a Child Living with HIV/AIDS: A Qualitative Study in Northern Ghana (2021, March 23). Gideon Awenabisa Atanuriba, Felix Apiribu, Adwoa Bemah Boamah Mensah, Veronica Millicent Dzomeku, Richard Adongo Afaya, Timothy Gazari, Joseph Kuufaakang Kuunibe, Philemon Adoliwine Amooba. </t>
    </r>
    <r>
      <rPr>
        <i/>
      </rPr>
      <t>Global Pediatric Health</t>
    </r>
    <r>
      <rPr/>
      <t xml:space="preserve">, 8, </t>
    </r>
    <r>
      <rPr>
        <color rgb="FF1155CC"/>
        <u/>
      </rPr>
      <t>https://doi.org/10.1177/2333794X211003622.</t>
    </r>
    <r>
      <rPr/>
      <t xml:space="preserve">                                                                                                                                                                                                                                                              23. Understanding Stalking Among University Students in Ghana: A Mixed-Methods Study (2021, March 23). Emily S.F. Zagurny, Sarah D. Compton, Veronica Dzomeku, Lindsay M. Cannon, Tanya Omolo, Michelle L. Munro-Kramer.  Journal of Interpersonal Violence, </t>
    </r>
    <r>
      <rPr>
        <color rgb="FF1155CC"/>
        <u/>
      </rPr>
      <t>https://doi.org/10.1177/08862605211001485</t>
    </r>
    <r>
      <rPr/>
      <t xml:space="preserve">                                                                                                                                                                                                                                       </t>
    </r>
  </si>
  <si>
    <r>
      <rPr/>
      <t>1.        Dzomeku, V. M. (2011) Maternal satisfaction with care during labour, birth and the lying-in period. A case study of Mampong Ashanti-Ghana. International</t>
    </r>
    <r>
      <rPr>
        <i/>
      </rPr>
      <t xml:space="preserve"> Journal of Nursing and Midwifery </t>
    </r>
    <r>
      <rPr/>
      <t xml:space="preserve">Vol. 3(3), pp. 30-34. ISSN 2141-2499. </t>
    </r>
    <r>
      <rPr>
        <color rgb="FFFF0000"/>
      </rPr>
      <t>(moved to peer-reviewed)</t>
    </r>
    <r>
      <rPr/>
      <t xml:space="preserve">
2.        Dzomeku, V. M., Asante E., Obeng, E., &amp; Oppong K. D., (2011) Client Satisfaction with out-patient care: A study at St. Michael’s Hospital, Ghana. West African </t>
    </r>
    <r>
      <rPr>
        <i/>
      </rPr>
      <t xml:space="preserve">Journal of Nursing </t>
    </r>
    <r>
      <rPr/>
      <t>vol. 22(2) pp. 83-94.</t>
    </r>
    <r>
      <rPr>
        <color rgb="FFFF0000"/>
      </rPr>
      <t xml:space="preserve"> (moved to peer-reviewed)</t>
    </r>
    <r>
      <rPr/>
      <t xml:space="preserve">
3.        Dzomeku, V. M, Atinga Ba-Etilayoo, Tulukuu Perekuu  and Mante R. E. (2013) In-Patient Satisfaction With Nursing Care: A Case Study At Kwame Nkrumah University Of Science And Technology Hospital, Kumasi. </t>
    </r>
    <r>
      <rPr>
        <i/>
      </rPr>
      <t>International Journal of Research in Medical and Health Sciences</t>
    </r>
    <r>
      <rPr/>
      <t xml:space="preserve">. Vol 2(1)pp 19-24. (moved to peer-reviewed)
4.        Bell, S.A., Oteng R., Redman R, Lapham J., Bam V., Dzomeku V., Yakubu J., Tagoe N., and Donkor P. (2014) Development of an emergency nursing training curriculum in Ghana. </t>
    </r>
    <r>
      <rPr>
        <i/>
      </rPr>
      <t xml:space="preserve">Int. Emerg. Nurs. </t>
    </r>
    <r>
      <rPr/>
      <t xml:space="preserve">Vol. 22(4):202-7 http://dx.doi.org/10.1016/j.ienj.2014.02.002.  </t>
    </r>
    <r>
      <rPr>
        <color rgb="FFFF0000"/>
      </rPr>
      <t>(moved to peer-reviewed)</t>
    </r>
    <r>
      <rPr/>
      <t xml:space="preserve">
5.        Emmanuel K Nakua, Easmon Otupiri, Veronica Millicent Dzomeku, Ellis Owusu-Dabo, Peter Agyei-Baffour, Alfred Edwin Yawson, Gloria Folson and Sandra Hewlet (2015) Gender Disparities of Chronic Musculoskeletal Disorder Burden in the Elderly Ghanaian Population:  Study on Global Ageing and Adult Health (SAGE WAVE 1)</t>
    </r>
    <r>
      <rPr>
        <i/>
      </rPr>
      <t xml:space="preserve"> BMC Musculoskeletal Disorder</t>
    </r>
    <r>
      <rPr/>
      <t>. 16:204 DOI 10.1186/s12891-015-0666-3.</t>
    </r>
    <r>
      <rPr>
        <color rgb="FFFF0000"/>
      </rPr>
      <t xml:space="preserve"> (moved to peer-reviewed)</t>
    </r>
    <r>
      <rPr/>
      <t xml:space="preserve">
6.        Emmanuel Kweku Nakua, Easmon Otupiri, Ellis Owusu-Dabo, Veronica Millicent Dzomeku,  Kwame Otu-Danquah, Mary Anderson (2015) Prevalence of refractive errors among junior high school students in the Ejisu Juaben municipality of Ghana.</t>
    </r>
    <r>
      <rPr>
        <i/>
      </rPr>
      <t xml:space="preserve"> JUST </t>
    </r>
    <r>
      <rPr/>
      <t xml:space="preserve">Vol. 35(1) pp. 52-62. </t>
    </r>
    <r>
      <rPr>
        <color rgb="FF1155CC"/>
        <u/>
      </rPr>
      <t>Dx.doi.org/10.4314/just.v35il.5.(moved</t>
    </r>
    <r>
      <rPr>
        <color rgb="FFFF0000"/>
      </rPr>
      <t xml:space="preserve"> (moved to peer-reviewed)</t>
    </r>
    <r>
      <rPr/>
      <t xml:space="preserve">
7.        Emmanuel Kweku Nakua, Justice Thomas Sevugu, Veronica Millicent Dzomeku Heather R Lipkovich, Easmon Otupiri, Ellis Owusu-Dabo (2015) Home birth without skilled attendants despite Millennium Villages Project interventions in Ghana: insight from a survey of women’s perceptions of skilled obstetric care. </t>
    </r>
    <r>
      <rPr>
        <i/>
      </rPr>
      <t>BMC Pregnancy and Birth</t>
    </r>
    <r>
      <rPr/>
      <t>, 15:243 DOI 10.1186/s12884-015-0674-1.</t>
    </r>
    <r>
      <rPr>
        <color rgb="FFFF0000"/>
      </rPr>
      <t xml:space="preserve"> (moved to peer-reviewed)</t>
    </r>
    <r>
      <rPr/>
      <t xml:space="preserve">
8.        Sarah D. Rominiski, Jody Lori, Emmanuel Nakua, Veronica Dzomeku, Cheryl A. Moyer (2015) What makes a likely abortion provider? Evidence from a nation-wide survey of final-year students at Ghana’s public midwifery training colleges. </t>
    </r>
    <r>
      <rPr>
        <i/>
      </rPr>
      <t>Contraception CON 8637</t>
    </r>
    <r>
      <rPr/>
      <t>. DOI:10.1016/j.contraception.</t>
    </r>
    <r>
      <rPr>
        <color rgb="FFFF0000"/>
      </rPr>
      <t xml:space="preserve"> (moved to peer-reviewed)
</t>
    </r>
    <r>
      <rPr/>
      <t xml:space="preserve">
9.        Rominski-Danielson, S, Lori, JR, Moyer, C, Dzomeku, V, M., Nakua, E. (2016). “When the baby remains there for a long time it is going to die so you have to hit her small for the baby to come out”: Justification of disrespectful and abusive care during childbirth among midwifery students in Ghana, </t>
    </r>
    <r>
      <rPr>
        <i/>
      </rPr>
      <t>Health Policy and Planning,</t>
    </r>
    <r>
      <rPr/>
      <t xml:space="preserve"> doi: 10.1093/heapol/czw114.</t>
    </r>
    <r>
      <rPr>
        <color rgb="FFFF0000"/>
      </rPr>
      <t xml:space="preserve"> (moved to peer-reviewed)</t>
    </r>
    <r>
      <rPr/>
      <t xml:space="preserve">
10.        Moyer, CA, Rominski, S, Nakua, EK, Dzomeku, VM, Agyei-Baffour, P, Lori, JR. (2016). Exposure to disrespectful patient care during training: Data from midwifery students at 15 midwifery schools in Ghana, </t>
    </r>
    <r>
      <rPr>
        <i/>
      </rPr>
      <t>Midwifery</t>
    </r>
    <r>
      <rPr/>
      <t xml:space="preserve">, 41: 39-44. </t>
    </r>
    <r>
      <rPr>
        <color rgb="FF1155CC"/>
        <u/>
      </rPr>
      <t>doi.org/10.1016/j.midw.2016.07.009.</t>
    </r>
    <r>
      <rPr/>
      <t xml:space="preserve"> </t>
    </r>
    <r>
      <rPr>
        <color rgb="FFFF0000"/>
      </rPr>
      <t xml:space="preserve"> (moved to peer-reviewed)</t>
    </r>
    <r>
      <rPr/>
      <t xml:space="preserve">
11.        Rominski-Danielson, S, Moyer, C, Dzomeku, V. M., Nakua, E &amp; Lori, JR. (2016). What makes a willing abortion provider? Evidence from a nation-wide survey of final-year students at Ghana's public midwifery training colleges, </t>
    </r>
    <r>
      <rPr>
        <i/>
      </rPr>
      <t>Contraception</t>
    </r>
    <r>
      <rPr/>
      <t xml:space="preserve">, 93(3):226-32. doi:10.1016/j.contraception.2015.11.007. </t>
    </r>
    <r>
      <rPr>
        <color rgb="FFFF0000"/>
      </rPr>
      <t>(moved to peer-reviewed)</t>
    </r>
    <r>
      <rPr/>
      <t xml:space="preserve">
12.        Veronica Millicent Dzomeku, Brian van Wyk &amp; Jody R. Lori (2017) Experiences of women receiving childbirth care from public health facilities in Kumasi, Ghana. </t>
    </r>
    <r>
      <rPr>
        <i/>
      </rPr>
      <t>Midwifery</t>
    </r>
    <r>
      <rPr/>
      <t xml:space="preserve"> DOI: </t>
    </r>
    <r>
      <rPr>
        <color rgb="FF1155CC"/>
        <u/>
      </rPr>
      <t>http://dx.doi.org/10.1016/j.midw.2017.09.010.</t>
    </r>
    <r>
      <rPr/>
      <t xml:space="preserve"> </t>
    </r>
    <r>
      <rPr>
        <color rgb="FFFF0000"/>
      </rPr>
      <t>(moved to peer-reviewed)</t>
    </r>
    <r>
      <rPr/>
      <t xml:space="preserve">
13.  Danku L. S, Dzomeku V. M, Dodor C.T &amp; Adade T. C (2017) Stress among private University lecturers in Ghana: Causes and coping strategies. EPRA </t>
    </r>
    <r>
      <rPr>
        <i/>
      </rPr>
      <t xml:space="preserve">International Journal of Economics and Business Review </t>
    </r>
    <r>
      <rPr/>
      <t xml:space="preserve">5(1) 95-101. (moved to peer-reviewed)
14.        Jody R. Lori, Cheryl A. Moyer, Veronica Dzomeku, Emmanuel Kweku Nakua, Peter Agyei-Baffour, Sarah Rominski (2017). Achieving universal coverage: Understanding barriers to rural placement for final year midwifery students. </t>
    </r>
    <r>
      <rPr>
        <i/>
      </rPr>
      <t>Midwifery,</t>
    </r>
    <r>
      <rPr/>
      <t xml:space="preserve"> 58 44–49. </t>
    </r>
    <r>
      <rPr>
        <color rgb="FFFF0000"/>
      </rPr>
      <t>(moved to peer-reviewed)</t>
    </r>
    <r>
      <rPr/>
      <t xml:space="preserve">
15.        Veronica Millicent Dzomeku, Brian van Wyk, Lucia Knight and Jody Rae Lori (2018) Determinants of satisfactory facility-based care for women during childbirth in Kumasi, Ghana. </t>
    </r>
    <r>
      <rPr>
        <i/>
      </rPr>
      <t>International Journal of Nursing and Midwifery</t>
    </r>
    <r>
      <rPr/>
      <t xml:space="preserve"> Vol. 10(4), pp. 33-40, DOI: 10.5897/IJNM2018.0306 Article Number: D388EC56780 ISSN 2141-2456 </t>
    </r>
    <r>
      <rPr>
        <color rgb="FFFF0000"/>
      </rPr>
      <t>(moved to peer-reviewed)</t>
    </r>
    <r>
      <rPr/>
      <t xml:space="preserve">
16.        Veronica Millicent Dzomeku, Brian van Wyk, Lucia Knight and Jody Rae Lori (2018) Exploration of mothers’ experiences of care during childbirth in Public Health centers in Kumasi, Ghana. </t>
    </r>
    <r>
      <rPr>
        <i/>
      </rPr>
      <t>Africa Journal of Nursing &amp; Midwifery</t>
    </r>
    <r>
      <rPr/>
      <t>, Vol 20-1</t>
    </r>
    <r>
      <rPr>
        <color rgb="FFFF0000"/>
      </rPr>
      <t xml:space="preserve"> (moved to peer-reviewed)</t>
    </r>
    <r>
      <rPr/>
      <t xml:space="preserve">
17.        Adwoa Bemah Bonsu, Veronica Millicent Dzomeku, Felix Apiribu, Solomon Obiri-Yeboah, Benjamin Asamoah, Koﬁ Boamah Mensah, Akosua Agyenim-Boateng, Anita Kusi Appiah &amp; Peter Donko (2018) Having a Having a child with orofacial cleft: Initial reaction and psychosocial experiences of Ghanaian mothers. https://doi.org/10.1016/j.ijans.2018.05.003 </t>
    </r>
    <r>
      <rPr>
        <i/>
      </rPr>
      <t xml:space="preserve">International Journal  of Africa Nursing Sciences </t>
    </r>
    <r>
      <rPr/>
      <t xml:space="preserve">Volume 8, Pages 132-140 </t>
    </r>
    <r>
      <rPr>
        <color rgb="FFFF0000"/>
      </rPr>
      <t>(moved to peer-reviewed)</t>
    </r>
    <r>
      <rPr/>
      <t xml:space="preserve">
18.        Decker S, Chiwaula, J, Dzomeku, V, Nakua, E, &amp; Bemah Bonsu A (2018) Maternal Satisfaction with Labour at the University of Ghana Hospital Accra: A Cross Sectional Survey. NUMID HORIZON: An </t>
    </r>
    <r>
      <rPr>
        <i/>
      </rPr>
      <t>International Journal of Nursing and Midwifery</t>
    </r>
    <r>
      <rPr/>
      <t xml:space="preserve">.   Volume 2 No. 1 </t>
    </r>
    <r>
      <rPr>
        <color rgb="FFFF0000"/>
      </rPr>
      <t>(moved to peer-reviewed)</t>
    </r>
    <r>
      <rPr/>
      <t xml:space="preserve">
19.        Dzomeku VM, van Wyk BE, Lori JR. (2019) An Integrative Literature Review of Interventions Addressing Knowledge, Attitudes, and Skills of Health Team to Achieve Best Maternal Outcomes. </t>
    </r>
    <r>
      <rPr>
        <i/>
      </rPr>
      <t>Journal of Midwifery and Reproductive Health</t>
    </r>
    <r>
      <rPr/>
      <t xml:space="preserve">. 2019; 7(4): 1-10. DOI: 10.22038/jmrh.2019.38235.1425  </t>
    </r>
    <r>
      <rPr>
        <color rgb="FFFF0000"/>
      </rPr>
      <t>(moved to peer-reviewed)</t>
    </r>
    <r>
      <rPr/>
      <t xml:space="preserve">
20. Kusi G, Boamah Mensah AB, BoamahMensah K, Dzomeku VM, Apiribu F, Duodu PA(2020) Caregiving motivations and experiencesamong family caregivers of patients living with advanced breast cancer in Ghana. </t>
    </r>
    <r>
      <rPr>
        <i/>
      </rPr>
      <t>PLoS ONE</t>
    </r>
    <r>
      <rPr/>
      <t xml:space="preserve"> 15(3): e0229683. https://doi.org/10.1371/journal.pone.0229683     </t>
    </r>
    <r>
      <rPr>
        <color rgb="FFFF0000"/>
      </rPr>
      <t xml:space="preserve">(moved to peer-reviewed)   </t>
    </r>
    <r>
      <rPr/>
      <t xml:space="preserve">                                                                                                                                                                                                                                                                                                                                                                                                                                                                                                                                         21.    VM Dzomeku, D-zomeku VM, Mensah BAB, Nakua EK, Agbadi P, Lori JR, Donkor P (2020) Exploring midwives’understanding of respectful maternal care in Kumasi, Ghana: Qualitative inquiry. </t>
    </r>
    <r>
      <rPr>
        <i/>
      </rPr>
      <t xml:space="preserve">PLoS ONE </t>
    </r>
    <r>
      <rPr/>
      <t xml:space="preserve">15(7):e0220538. https://doi.org/10.1371/journal.pone.0220538 PMID: 32644991     </t>
    </r>
    <r>
      <rPr>
        <color rgb="FFFF0000"/>
      </rPr>
      <t xml:space="preserve"> (moved to peer-reviewed) </t>
    </r>
    <r>
      <rPr/>
      <t xml:space="preserve">                                                                                                                                                                                                                                                    22. VM Dzomeku, Pascal Agbadi, Twumwaa EuniceTagoe, F. Akosua Agyemang, Veronica Millicent Dzomeku, Herman Nuake Kofi, Agboh, Ernest Darkwah (2020). Media exposure to family planning contents and adult support for teaching children about condom use to prevent HIV/AIDS: Findings from 2003 to 2014 Ghana Demographic Health Surveys. </t>
    </r>
    <r>
      <rPr>
        <i/>
      </rPr>
      <t xml:space="preserve">Children and Youth Services </t>
    </r>
    <r>
      <rPr/>
      <t xml:space="preserve">Review Volume 118, November 2020, 105447.         </t>
    </r>
    <r>
      <rPr>
        <color rgb="FFFF0000"/>
      </rPr>
      <t xml:space="preserve">(moved to peer-reviewed)       </t>
    </r>
    <r>
      <rPr/>
      <t xml:space="preserve">                                                                                                                                                                                                                                        </t>
    </r>
  </si>
  <si>
    <t xml:space="preserve">Scholar's Name </t>
  </si>
  <si>
    <t>Fiagbe, Y.A.K.</t>
  </si>
  <si>
    <r>
      <rPr/>
      <t xml:space="preserve">    Yesuenyeagbe A. K. Fiagbe and Emmanuel W. Ramde (2019), Coefficient of Friction of Components of Municipal Solid Waste, </t>
    </r>
    <r>
      <rPr>
        <i/>
      </rPr>
      <t>wjert</t>
    </r>
    <r>
      <rPr/>
      <t xml:space="preserve">, 2019, Vol. 5, Issue 3, 10-19, www.wjert.org 
•        Yesuenyeagbe A. K. Fiagbe (2017), Sustainable Treatment of Municipal Solid Waste with Plasma Gasification as an Option in Ghana, </t>
    </r>
    <r>
      <rPr>
        <i/>
      </rPr>
      <t xml:space="preserve">World Journal of Engineering Research and Technology WJERT </t>
    </r>
    <r>
      <rPr/>
      <t xml:space="preserve">Vol. 3, Issue 5, 449-459.  •        Uba, Felix, Yesuenyeagbe A. K. Fiagbe (2017), Need for Coastal Water Management Tool for Oil Spill Simulation in Ghana, </t>
    </r>
    <r>
      <rPr>
        <i/>
      </rPr>
      <t>International Journal of Scientific &amp; Technology Research</t>
    </r>
    <r>
      <rPr/>
      <t xml:space="preserve"> Volume 6, Issue 09, September 2017 ISSN 2277-8616 270 IJSTR©2017 www.ijstr.org  •        Kokouvi Edem N’Tsoukpoe, Ketowoglo Yao Azoumah, Emmanuel Ramde, AK Yesuenyeagbe Fiagbe, Pierre Neveu, Xavier Py, Madieumbe Gaye, Arnaud Jourdan (2016) Integrated design and construction of a micro-central tower power plant Energy for Sustainable Development 31, 1-13  •        S.K. Amedorme, Y.A.K. Fiagbe (2016) Modification of an Existing Small Hydraulic Jack for Lifting Light Duty Vehicle </t>
    </r>
    <r>
      <rPr>
        <i/>
      </rPr>
      <t>International Journal of Science and Technology</t>
    </r>
    <r>
      <rPr/>
      <t xml:space="preserve"> 5 (11)  •        S.K. Amedorme and Y.A.K. Fiagbe (2013), Investigation of Braking System (Efficiency) of Converted Mercedes Benz Buses (207),</t>
    </r>
    <r>
      <rPr>
        <i/>
      </rPr>
      <t xml:space="preserve"> International Journal of Science and Technology </t>
    </r>
    <r>
      <rPr/>
      <t>Volume 2 No. 11, November, 2013  •        P.Y. Andoh, Y.A.K. Fiagbe, F. Davis, S. Asaana (2013), A Mathematical Model To Predict The Quantity Of Defective Bottles In An Automated Bottle Washer Using Factorial Design Technique,</t>
    </r>
    <r>
      <rPr>
        <i/>
      </rPr>
      <t xml:space="preserve"> International Journal Of Scientific &amp; Technology Research</t>
    </r>
    <r>
      <rPr/>
      <t xml:space="preserve"> Volume 2, Issue 10, October 2013   •        P.Y. Andoh, F. Davis and Y.A.K. Fiagbe (2013), Monitoring Of Carbon Dioxide Production In A Carbonated Beverage Company Using Factorial Design Technique, </t>
    </r>
    <r>
      <rPr>
        <i/>
      </rPr>
      <t>International Journal Of Scientific &amp; Technology Research</t>
    </r>
    <r>
      <rPr/>
      <t xml:space="preserve"> Volume 2, Issue 10, October 2013 •        Felix A. Uba, Yesuenyeagbe A.K. Fiagbe and Emmanuel A. Sarsah (2013), Simplified Procedure For Estimating Air-Conditioning Cooling Load In Ghana, </t>
    </r>
    <r>
      <rPr>
        <i/>
      </rPr>
      <t xml:space="preserve">International Journal Of Scientific &amp; Technology Research </t>
    </r>
    <r>
      <rPr/>
      <t>Volume 2, Issue 9, September 2013  •        Yesuenyeagbe A.K. Fiagbe, Fredrick Ferguson and Lawrence E. Ansong (2013), Sectional Parametric Design and Aerodynamic Performance Estimation In Small Aircraft,</t>
    </r>
    <r>
      <rPr>
        <i/>
      </rPr>
      <t xml:space="preserve"> IOSR Journal of Engineering </t>
    </r>
    <r>
      <rPr/>
      <t>(IOSRJEN) Vol. 3, Issue 9 (September. 2013), ||V2|| PP 17-24. •        P.Y. Andoh, F. Davis, Y.A.K. Fiagbe, T. Alhassan (2013), Tyre Pressure Model For Predicting fuel Consumption of Vehicles On Ghana Roads,</t>
    </r>
    <r>
      <rPr>
        <i/>
      </rPr>
      <t xml:space="preserve"> International Journal Of Scientific &amp; Technology Research </t>
    </r>
    <r>
      <rPr/>
      <t>Volume 2, Issue 9, September 2013.   Sherry K. Amedorme and Yesuenyeagbe A.K. Fiagbe (2013); Challenges facing Technical and Vocational Education in Ghana,</t>
    </r>
    <r>
      <rPr>
        <i/>
      </rPr>
      <t xml:space="preserve"> International Journal of Science and Technology Research</t>
    </r>
    <r>
      <rPr/>
      <t xml:space="preserve">, Vol.2 Issue 6. •        Fiagbe, Y.A.K.; Mensah, M.Y.; Sackey, M.N. and Andoh, P.Y. (2011), Municipal Solid Waste Tricycle Truck With Lift-Tipping Mechanism For Improved Sanitation, </t>
    </r>
    <r>
      <rPr>
        <i/>
      </rPr>
      <t>Journal of Ghana Institution of Engineers</t>
    </r>
    <r>
      <rPr/>
      <t xml:space="preserve">, Volume 8.          </t>
    </r>
  </si>
  <si>
    <r>
      <rPr/>
      <t xml:space="preserve">•        Yesuenyeagbe A. K. Fiagbe and Emmanuel W. Ramde (2019), Coefficient of Friction of Components of Municipal Solid Waste, wjert, 2019, Vol. 5, Issue 3, 10-19, </t>
    </r>
    <r>
      <rPr>
        <color rgb="FF1155CC"/>
        <u/>
      </rPr>
      <t>www.wjert.org</t>
    </r>
    <r>
      <rPr/>
      <t xml:space="preserve"> </t>
    </r>
    <r>
      <rPr>
        <color rgb="FFFF0000"/>
      </rPr>
      <t xml:space="preserve">(moved to peer-reviewed) </t>
    </r>
    <r>
      <rPr/>
      <t xml:space="preserve">•        Yesuenyeagbe A. K. Fiagbe (2017), Sustainable Treatment of Municipal Solid Waste with Plasma Gasification as an Option in Ghana, World Journal of Engineering Research and Technology WJERT Vol. 3, Issue 5, 449-459. </t>
    </r>
    <r>
      <rPr>
        <color rgb="FFFF0000"/>
      </rPr>
      <t xml:space="preserve">(moved to peer-reviewed) </t>
    </r>
    <r>
      <rPr/>
      <t xml:space="preserve">•        Uba, Felix, Yesuenyeagbe A. K. Fiagbe (2017), Need for Coastal Water Management Tool for Oil Spill Simulation in Ghana, International Journal of Scientific &amp; Technology Research Volume 6, Issue 09, September 2017 ISSN 2277-8616 270 IJSTR©2017 www.ijstr.org </t>
    </r>
    <r>
      <rPr>
        <color rgb="FFFF0000"/>
      </rPr>
      <t xml:space="preserve">(moved to peer-reviewed) </t>
    </r>
    <r>
      <rPr/>
      <t xml:space="preserve">•        Kokouvi Edem N’Tsoukpoe, Ketowoglo Yao Azoumah, Emmanuel Ramde, AK Yesuenyeagbe Fiagbe, Pierre Neveu, Xavier Py, Madieumbe Gaye, Arnaud Jourdan (2016) Integrated design and construction of a micro-central tower power plant Energy for Sustainable Development 31, 1-13 </t>
    </r>
    <r>
      <rPr>
        <color rgb="FFFF0000"/>
      </rPr>
      <t xml:space="preserve">(moved to peer-reviewed) </t>
    </r>
    <r>
      <rPr/>
      <t xml:space="preserve">•        S.K. Amedorme, Y.A.K. Fiagbe (2016) Modification of an Existing Small Hydraulic Jack for Lifting Light Duty Vehicle International Journal of Science and Technology 5 (11) </t>
    </r>
    <r>
      <rPr>
        <color rgb="FFFF0000"/>
      </rPr>
      <t xml:space="preserve">(moved to peer-reviewed) </t>
    </r>
    <r>
      <rPr/>
      <t>•        S.K. Amedorme and Y.A.K. Fiagbe (2013), Investigation of Braking System (Efficiency) of Converted Mercedes Benz Buses (207), International Journal of Science and Technology Volume 2 No. 11, November, 2013</t>
    </r>
    <r>
      <rPr>
        <color rgb="FFFF0000"/>
      </rPr>
      <t xml:space="preserve"> (moved to peer-reviewed) </t>
    </r>
    <r>
      <rPr/>
      <t xml:space="preserve">•        P.Y. Andoh, Y.A.K. Fiagbe, F. Davis, S. Asaana (2013), A Mathematical Model To Predict The Quantity Of Defective Bottles In An Automated Bottle Washer Using Factorial Design Technique, International Journal Of Scientific &amp; Technology Research Volume 2, Issue 10, October 2013  </t>
    </r>
    <r>
      <rPr>
        <color rgb="FFFF0000"/>
      </rPr>
      <t xml:space="preserve">(moved to peer-reviewed) </t>
    </r>
    <r>
      <rPr/>
      <t xml:space="preserve">•        P.Y. Andoh, F. Davis and Y.A.K. Fiagbe (2013), Monitoring Of Carbon Dioxide Production In A Carbonated Beverage Company Using Factorial Design Technique, International Journal Of Scientific &amp; Technology Research Volume 2, Issue 10, October 2013 </t>
    </r>
    <r>
      <rPr>
        <color rgb="FFFF0000"/>
      </rPr>
      <t xml:space="preserve">(moved to peer-reviewed) </t>
    </r>
    <r>
      <rPr/>
      <t xml:space="preserve">•        Felix A. Uba, Yesuenyeagbe A.K. Fiagbe and Emmanuel A. Sarsah (2013), Simplified Procedure For Estimating Air-Conditioning Cooling Load In Ghana, International Journal Of Scientific &amp; Technology Research Volume 2, Issue 9, September 2013 </t>
    </r>
    <r>
      <rPr>
        <color rgb="FFFF0000"/>
      </rPr>
      <t xml:space="preserve">(moved to peer-reviewed) </t>
    </r>
    <r>
      <rPr/>
      <t xml:space="preserve">•        Yesuenyeagbe A.K. Fiagbe, Fredrick Ferguson and Lawrence E. Ansong (2013), Sectional Parametric Design and Aerodynamic Performance Estimation In Small Aircraft, IOSR Journal of Engineering (IOSRJEN) Vol. 3, Issue 9 (September. 2013), ||V2|| PP 17-24. </t>
    </r>
    <r>
      <rPr>
        <color rgb="FFFF0000"/>
      </rPr>
      <t xml:space="preserve">(moved to peer-reviewed) </t>
    </r>
    <r>
      <rPr/>
      <t xml:space="preserve">•        P.Y. Andoh, F. Davis, Y.A.K. Fiagbe, T. Alhassan (2013), Tyre Pressure Model For Predicting fuel Consumption of Vehicles On Ghana Roads, International Journal Of Scientific &amp; Technology Research Volume 2, Issue 9, September 2013. </t>
    </r>
    <r>
      <rPr>
        <color rgb="FFFF0000"/>
      </rPr>
      <t xml:space="preserve">(moved to peer-reviewed)    </t>
    </r>
    <r>
      <rPr/>
      <t xml:space="preserve">  Y.A.K. Fiagbe, M.K. Asafo-Adjaye (2013), Potential of Remanufacturing Industry in Ghana, Ghana Institution of Engineers 2013 Conference and Annual General Meeting</t>
    </r>
    <r>
      <rPr>
        <color rgb="FFFF0000"/>
      </rPr>
      <t xml:space="preserve"> (can't identify)  </t>
    </r>
    <r>
      <rPr/>
      <t>•        Sherry K. Amedorme and Yesuenyeagbe A.K. Fiagbe (2013); Challenges facing Technical and Vocational Education in Ghana, International Journal of Science and Technology Research, Vol.2 Issue 6.</t>
    </r>
    <r>
      <rPr>
        <color rgb="FFFF0000"/>
      </rPr>
      <t xml:space="preserve"> (moved to peer-reviewed) </t>
    </r>
    <r>
      <rPr/>
      <t>•        Yesuenyeagbe A.K. Fiagbe and Michael K. Asafo-Adjaye ; Potential of Remanufacturing Industry in Ghana; Proceedings of Ghana Institution of Engineers 2013 Conference and Annual General Meeting, 20 – 23 March, 2013, Akroma Plaza Hotel, Takoradi.</t>
    </r>
    <r>
      <rPr>
        <color rgb="FFFF0000"/>
      </rPr>
      <t xml:space="preserve"> (Can't identify) </t>
    </r>
    <r>
      <rPr/>
      <t xml:space="preserve">•        Fiagbe, Y.A.K.; Mensah, M.Y.; Sackey, M.N. and Andoh, P.Y. (2011), Municipal Solid Waste Tricycle Truck With Lift-Tipping Mechanism For Improved Sanitation, Journal of Ghana Institution of Engineers, Volume 8.   </t>
    </r>
    <r>
      <rPr>
        <color rgb="FFFF0000"/>
      </rPr>
      <t xml:space="preserve">(moved to peer-reviewed)   </t>
    </r>
    <r>
      <rPr/>
      <t xml:space="preserve">   •        Fiagbe, Y.A.K., Sackey, M.N., Mensah, M.Y. and Agbeko, E.E.K. (2011), Kinematic Design of Lift-tipping Mechanism for Small solid Waste Collection Truck. JUST 31(2) </t>
    </r>
    <r>
      <rPr>
        <color rgb="FFFF0000"/>
      </rPr>
      <t xml:space="preserve">(can't identify) </t>
    </r>
    <r>
      <rPr/>
      <t xml:space="preserve">•        Frederick Ferguson, Nasstaja Dasque and Yesuenyeagbe Fiagbe (2009), The Design of Optimised 3D Tip-to-tail Scramjet Engines, 47th AIAA Aerospace Science Meeting including the New Horizons Forum and Aerospace Exposition, 5 – 8 January 2009, Orlando, Florida. </t>
    </r>
    <r>
      <rPr>
        <color rgb="FFFF0000"/>
      </rPr>
      <t>(can't identify)</t>
    </r>
    <r>
      <rPr/>
      <t xml:space="preserve">
</t>
    </r>
  </si>
  <si>
    <t>Fondjo, Linda</t>
  </si>
  <si>
    <r>
      <rPr/>
      <t xml:space="preserve">1.  Ngala RA, Fondjo LA, Gmagna P, Ghartey FN, Awe MA (2017) Placental peptides metabolism and maternal factors as predictors of risk of gestational diabetes in pregnant women. A case-control study. </t>
    </r>
    <r>
      <rPr>
        <i/>
      </rPr>
      <t>PLoS ONE</t>
    </r>
    <r>
      <rPr/>
      <t xml:space="preserve"> 12(7): e0181613. https://doi.org/10.1371/journal.pone.0181613 
2. Fondjo LA, Owiredu WKBA, Sakyi SA, Laing EF, Adotey-Kwofie MA,  Anto EO, et al, (2017) Vitamin D status and its association with Insulin resistance among type 2 diabetics: A case-control study in Ghana. </t>
    </r>
    <r>
      <rPr>
        <i/>
      </rPr>
      <t>PLoS ONE</t>
    </r>
    <r>
      <rPr/>
      <t xml:space="preserve"> 12(4):e0175388. Htpps://doi.org/10.1371/journal.pone.0175388 
3. Sakyi SA, Owiredu WKBA, Anto EO, Turpin CA, Ephraim RKD, Fondjo LA. (2016) Individual and Combined Diagnostic Accuracy of Biochemical Markers for Detecting Early On-Set Preeclampsia. </t>
    </r>
    <r>
      <rPr>
        <i/>
      </rPr>
      <t>SOJ Gynecol Obstet Womens Health</t>
    </r>
    <r>
      <rPr/>
      <t xml:space="preserve"> 2(1): 9. 
4. Fondjo LA, Gyamfi EAA, Owiredu WKBA, Turpin CA, Mante DA, Anto EO. Maternal serum adiponectin, leptin and adiponectin-leptin ratio as possible biomarkers of preeclampsia.</t>
    </r>
    <r>
      <rPr>
        <i/>
      </rPr>
      <t xml:space="preserve"> Edorium J Gynecol Obstet</t>
    </r>
    <r>
      <rPr/>
      <t xml:space="preserve"> 2016;2:41–47.
5. Evelyn Jiagge, Joseph Kwaku Oppong, Jessica Bensenhaver, Francis Aitpillah, Kofi Gyan, Ishmael Kyei, Ernest Osei-Bonsu, Ernest Adjei, Michael Ohene-Yeboah, Kathy Toy, Karen Eubanks Jackson, Marian Akpaloo, Dorcas Acheampong, Beatrice Antwi, Faustina Obeng Agyeman, Zainab Alhassan, Linda Ahenkorah Fondjo, Osei Owusu-Afriyie, Robert Newman Brewer, Amma Gyamfuah, Barbara Salem, Timothy Johnson, Max Wicha, Sofia Merajver, Celina Kleer, Judy Pang, Emmanuel Amankwaa-Frempong, Azadeh Stark, Francis Abantanga, Lisa Newman, Baffour Awuah, (2016) Breast Cancer and African Ancestry: Lessons Learned at the 10-Year Anniversary of the Ghana-Michigan Research Partnership and International Breast Registry, </t>
    </r>
    <r>
      <rPr>
        <i/>
      </rPr>
      <t>Journal of Global Oncology</t>
    </r>
    <r>
      <rPr/>
      <t xml:space="preserve">, doi: 10.1200/JGO.2015.002881. 
                                                                                                                                                                                                                                                                                                                                                                                                     6. Obirikorang C., Fondjo, L. A., Adomako S., Bio F.Y., Acheampong I., (2015) Iron Deficiency among pregnant women attending antenatal clinic at the KNUST Hospital, Kumasi, Ghana. </t>
    </r>
    <r>
      <rPr>
        <i/>
      </rPr>
      <t>British Journal of Medicine &amp; Medical Research</t>
    </r>
    <r>
      <rPr/>
      <t xml:space="preserve"> 6(8): 823-832. 
7. W. K.B.A. Owiredu, L. Ahenkorah, N. Amidu, C. A. Turpin, E. F. Laing (2012) Putative risk factors of pregnancy-induced hypertension among Ghanaian pregnant women.  </t>
    </r>
    <r>
      <rPr>
        <i/>
      </rPr>
      <t>Journal of Medical and Biomedical Sciences</t>
    </r>
    <r>
      <rPr/>
      <t xml:space="preserve"> 1(3): 62-76. 
8. W. K.B.A. Owiredu, L. Ahenkorah, N. Amidu, C. A. Turpin, E. F. Laing, (2010). Seasonal variation in the occurrence of Pregnancy-Induced Hypertension- A Ghanaian study. </t>
    </r>
    <r>
      <rPr>
        <i/>
      </rPr>
      <t>Journal of Ghana Science Association</t>
    </r>
    <r>
      <rPr/>
      <t xml:space="preserve">.,12(1):48-58. 
9. R.K.D. Ephraim, W.K.B.A. Owiredu, E.F. Laing, N. Amidu, B.A. Eghan Jnr., Ahenkorah L. (2008). Anaemia as a risk factor for cardiovascular disease in chronic kidney disease. </t>
    </r>
    <r>
      <rPr>
        <i/>
      </rPr>
      <t>J.Med.Sci.</t>
    </r>
    <r>
      <rPr/>
      <t xml:space="preserve">,8(8):707-714. 
10. L. Ahenkorah, W. K.B.A. Owiredu, E. F. Laing, N. Amidu, C. A. Turpin  (2008). Lipid Profile and Lipid Peroxidation among Ghanaian Pregnancy-Induced Hypertensives </t>
    </r>
    <r>
      <rPr>
        <i/>
      </rPr>
      <t>J.Med.Sci.</t>
    </r>
    <r>
      <rPr/>
      <t xml:space="preserve">,8(8):691-698.  
11. Turpin C.A., Ahenkorah L., Owiredu W.K.B.A., Laing E.F., Amidu N. (2008). The prevalence of the metabolic syndrome among Ghanaian pregnancy-induced hypertensive patients using the WHO and the NCEPIII criteria. </t>
    </r>
    <r>
      <rPr>
        <i/>
      </rPr>
      <t>J.Med.Sci.</t>
    </r>
    <r>
      <rPr/>
      <t xml:space="preserve">,8(5):443451.  
</t>
    </r>
  </si>
  <si>
    <r>
      <rPr/>
      <t xml:space="preserve">1.  Ngala RA, Fondjo LA, Gmagna P, Ghartey FN, Awe MA (2017) Placental peptides metabolism and maternal factors as predictors of risk of gestational diabetes in pregnant women. A case-control study. </t>
    </r>
    <r>
      <rPr>
        <i/>
      </rPr>
      <t xml:space="preserve">PLoS ONE </t>
    </r>
    <r>
      <rPr/>
      <t xml:space="preserve">12(7): e0181613. https://doi.org/10.1371/journal.pone.0181613 </t>
    </r>
    <r>
      <rPr>
        <color rgb="FFFF0000"/>
      </rPr>
      <t>(moved to peer-reviewed)</t>
    </r>
    <r>
      <rPr/>
      <t xml:space="preserve">
2. Fondjo LA, Owiredu WKBA, Sakyi SA, Laing EF, Adotey-Kwofie MA,  Anto EO, et al, (2017) Vitamin D status and its association with Insulin resistance among type 2 diabetics: A case-control study in Ghana. PLoS ONE 12(4):e0175388. Htpps://doi.org/10.1371/journal.pone.0175388</t>
    </r>
    <r>
      <rPr>
        <color rgb="FFFF0000"/>
      </rPr>
      <t xml:space="preserve"> (moved to peer-reviewed)</t>
    </r>
    <r>
      <rPr/>
      <t xml:space="preserve">
3. Fondjo LA., Owusu-Afriyie O, Osei-Bonsu E, Amankwaah-Frimpong E, Acheampong E, Batu E, Amankwaah B, Mintah E. O, Ammah N.O.D, (2017) Prevalence of comorbidities and quality of life assessment among breast cancer patients at the Komfo Anokye Teaching Hospital: A descriptive cross-sectional study. Edorium J Cancer 2016, 3:1-9. </t>
    </r>
    <r>
      <rPr>
        <color rgb="FFFF0000"/>
      </rPr>
      <t>(can't identify)</t>
    </r>
    <r>
      <rPr/>
      <t xml:space="preserve">
4. Owiredu WKBA, Sakyi SA, Anto EO, Turpin CA, Fondjo LA, Ephraim RKD (2016) Interplay Between Angiogenic Factors and Oxidative Stress Biomarkers in Normal Pregnancy, Gestational Hypertension and Preeclampsia Med J Obstet Gynecol 4(3): 1086.  </t>
    </r>
    <r>
      <rPr>
        <color rgb="FFFF0000"/>
      </rPr>
      <t>(can't identify)</t>
    </r>
    <r>
      <rPr/>
      <t xml:space="preserve">
5. Sakyi SA, Owiredu WKBA, Anto EO, Turpin CA, Ephraim RKD, Fondjo LA. (2016) Individual and Combined Diagnostic Accuracy of Biochemical Markers for Detecting Early On-Set Preeclampsia. SOJ Gynecol Obstet Womens Health 2(1): 9.</t>
    </r>
    <r>
      <rPr>
        <color rgb="FFFF0000"/>
      </rPr>
      <t xml:space="preserve"> (moved to peer-reviewed)</t>
    </r>
    <r>
      <rPr/>
      <t xml:space="preserve">
6. Fondjo LA, Gyamfi EAA, Owiredu WKBA, Turpin CA, Mante DA, Anto EO. Maternal serum adiponectin, leptin and adiponectin-leptin ratio as possible biomarkers of preeclampsia. Edorium J Gynecol Obstet 2016;2:41–47. </t>
    </r>
    <r>
      <rPr>
        <color rgb="FFFF0000"/>
      </rPr>
      <t>(moved to peer-reviewed)</t>
    </r>
    <r>
      <rPr/>
      <t xml:space="preserve">
7. Evelyn Jiagge, Joseph Kwaku Oppong, Jessica Bensenhaver, Francis Aitpillah, Kofi Gyan, Ishmael Kyei, Ernest Osei-Bonsu, Ernest Adjei, Michael Ohene-Yeboah, Kathy Toy, Karen Eubanks Jackson, Marian Akpaloo, Dorcas Acheampong, Beatrice Antwi, Faustina Obeng Agyeman, Zainab Alhassan, Linda Ahenkorah Fondjo, Osei Owusu-Afriyie, Robert Newman Brewer, Amma Gyamfuah, Barbara Salem, Timothy Johnson, Max Wicha, Sofia Merajver, Celina Kleer, Judy Pang, Emmanuel Amankwaa-Frempong, Azadeh Stark, Francis Abantanga, Lisa Newman, Baffour Awuah, (2016) Breast Cancer and African Ancestry: Lessons Learned at the 10-Year Anniversary of the Ghana-Michigan Research Partnership and International Breast Registry, Journal of Global Oncology, doi: 10.1200/JGO.2015.002881. </t>
    </r>
    <r>
      <rPr>
        <color rgb="FFFF0000"/>
      </rPr>
      <t>(moved to peer-reviewed)</t>
    </r>
    <r>
      <rPr/>
      <t xml:space="preserve">
8. Proctor E., Kidwell K.M., Jiagge E., Bensenhaver J., Awuah B., Gyan K., Toy K., Oppong J. K., Kyei I., Aitpillah F., Osei-Bonsu E., Adjei, E., Ohene-Yeboah M., Brewer R.M., Fondjo L. A., Owusu-Afriyie O, Wicha M., Merajver S., Kleer C., Newman L., (2015) Characterizing Breast Cancer in a Population with Increased Prevalence of Triple-Negative Breast Cancer: Androgen Receptor and ALDH1 Expression in Ghanaian Women Ann Surg Oncol. DOI 10.1245/s10434-015-4455x  </t>
    </r>
    <r>
      <rPr>
        <color rgb="FFFF0000"/>
      </rPr>
      <t>(can't identify)</t>
    </r>
    <r>
      <rPr/>
      <t xml:space="preserve">
9. Obirikorang C., Fondjo, L. A., Adomako S., Bio F.Y., Acheampong I., (2015) Iron Deficiency among pregnant women attending antenatal clinic at the KNUST Hospital, Kumasi, Ghana. British Journal of Medicine &amp; Medical Research 6(8): 823-832. </t>
    </r>
    <r>
      <rPr>
        <color rgb="FFFF0000"/>
      </rPr>
      <t>(moved to peer-reviewed)</t>
    </r>
    <r>
      <rPr/>
      <t xml:space="preserve">
10. W. K.B.A. Owiredu, L. Ahenkorah, N. Amidu, C. A. Turpin, E. F. Laing (2012) Putative risk factors of pregnancy-induced hypertension among Ghanaian pregnant women.  Journal of Medical and Biomedical Sciences 1(3): 62-76. </t>
    </r>
    <r>
      <rPr>
        <color rgb="FFFF0000"/>
      </rPr>
      <t>(moved to peer-reviewed)</t>
    </r>
    <r>
      <rPr/>
      <t xml:space="preserve">
11. W. K.B.A. Owiredu, L. Ahenkorah, N. Amidu, C. A. Turpin, E. F. Laing, (2010). Seasonal variation in the occurrence of Pregnancy-Induced Hypertension- A Ghanaian study. Journal of Ghana Science Association.,12(1):48-58.</t>
    </r>
    <r>
      <rPr>
        <color rgb="FFFF0000"/>
      </rPr>
      <t xml:space="preserve"> (moved to peer-reviewed)</t>
    </r>
    <r>
      <rPr/>
      <t xml:space="preserve">
12. R.K.D. Ephraim, W.K.B.A. Owiredu, E.F. Laing, N. Amidu, B.A. Eghan Jnr., Ahenkorah L. (2008). Anaemia as a risk factor for cardiovascular disease in chronic kidney disease. J.Med.Sci.,8(8):707-714. </t>
    </r>
    <r>
      <rPr>
        <color rgb="FFFF0000"/>
      </rPr>
      <t>(moved to peer-reviewed)</t>
    </r>
    <r>
      <rPr/>
      <t xml:space="preserve">
13. L. Ahenkorah, W. K.B.A. Owiredu, E. F. Laing, N. Amidu, C. A. Turpin  (2008). Lipid Profile and Lipid Peroxidation among Ghanaian Pregnancy-Induced Hypertensives J.Med.Sci.,8(8):691-698.  </t>
    </r>
    <r>
      <rPr>
        <color rgb="FFFF0000"/>
      </rPr>
      <t>(moved to peer-reviewed)</t>
    </r>
    <r>
      <rPr/>
      <t xml:space="preserve">
14. Turpin C.A., Ahenkorah L., Owiredu W.K.B.A., Laing E.F., Amidu N. (2008). The prevalence of the metabolic syndrome among Ghanaian pregnancy-induced hypertensive patients using the WHO and the NCEPIII criteria. J.Med.Sci.,8(5):443451.  </t>
    </r>
    <r>
      <rPr>
        <color rgb="FFFF0000"/>
      </rPr>
      <t>(moved to peer-reviewed)</t>
    </r>
    <r>
      <rPr/>
      <t xml:space="preserve">
 15. Endothelial dysfunction and Electrolyte imbalance in Preeclampsia: A case-control study in Ghana. Fondjo LA, Owiredu WKBA, Sakyi SA, Davis Sarpong, Richard K.D. Ephraim.  4th International conference on Science, Technology, Engineering and Mathematics, (STEM): Africa-US Frontiers in Science, 30th May- 2nd June, 2017, Yaoundé, Cameroun.  </t>
    </r>
    <r>
      <rPr>
        <color rgb="FFFF0000"/>
      </rPr>
      <t>(can't identify)</t>
    </r>
    <r>
      <rPr/>
      <t xml:space="preserve">
 16. Burden of Vitamin D deficiency and its association with Insulin resistance in Ghanaian Type 2 diabetics. Fondjo LA, Owiredu WKBA, Sakyi SA, Laing EF, Adotey-Kwofie MA,  Anto EO, Eric Detoh. Abstract No. A-450. 69th AACC annual scientific meeting &amp; clinical  CV-L.A.Fondjo Page 6  Lab Expo, July 30th –August 3, 2017 San Diego California, USA.  </t>
    </r>
    <r>
      <rPr>
        <color rgb="FFFF0000"/>
      </rPr>
      <t>(can't identify)</t>
    </r>
  </si>
  <si>
    <t>Gyakobo, Mawuli K.</t>
  </si>
  <si>
    <t xml:space="preserve">Books/book chapters
1)	Newman, L.A., Bayor, M., Jiagge, E., Der, M.E., &amp; Gyakobo, M. (2015). Breast Cancer. In: J. G. Meara, C. D. McClain, D. P .Mooney, &amp; S. O. Rogers Jr. (Eds.), Global Surgery and Anesthesia Manual: Providing Care in Resource-Limited Settings. Boca Raton: CRC Press, pp. 211 – 218.
</t>
  </si>
  <si>
    <r>
      <rPr/>
      <t xml:space="preserve">1)        Padmanaban, V., Johnston, P. F., Gyakobo, M., Benneh, A., Esinam A., Sifri, Z. C. (2020). Long-term follow-up of humanitarian surgeries: Outcomes and patient satisfaction in Rural Ghana. </t>
    </r>
    <r>
      <rPr>
        <i/>
      </rPr>
      <t>Journal of Surgical</t>
    </r>
    <r>
      <rPr/>
      <t xml:space="preserve"> </t>
    </r>
    <r>
      <rPr>
        <i/>
      </rPr>
      <t>Research</t>
    </r>
    <r>
      <rPr/>
      <t xml:space="preserve"> , 246: 106-112.
2)        Johnston, P. F., Kunac, A, Gyakobo M, Jalloh, S., Livingston, D. H., &amp; Sifri, Z. C. (2019). Short-term surgical missions in resource-limited environments: Five years of early surgical outcomes. </t>
    </r>
    <r>
      <rPr>
        <i/>
      </rPr>
      <t>The American Journal of</t>
    </r>
    <r>
      <rPr/>
      <t xml:space="preserve"> </t>
    </r>
    <r>
      <rPr>
        <i/>
      </rPr>
      <t>Surgery</t>
    </r>
    <r>
      <rPr/>
      <t xml:space="preserve">, 217 (1): 7-11. 
3)        Essuman, A., Gold, K. J., Vitale, C., Toma, G. Cigolle, C., Gyakobo, M., Spangenberg, K., Odoi-Agyarko, K., Skye, E., &amp; Zazove, P. (2019). Establishing the First Geriatric Medicine Fellowship Program in Ghana. </t>
    </r>
    <r>
      <rPr>
        <i/>
      </rPr>
      <t>Journal of the American Geriatrics Society</t>
    </r>
    <r>
      <rPr/>
      <t xml:space="preserve">, 67 (8): 1718-1723.
4)        Dzodzomenyo, M., Ghansah., A, Ensaw, N., Dovie, B., Bimi, L., Quansah, R., Gyan, B. A., Gyakobo, M., &amp; Amoani, B. (2018). Inducible nitric oxide synthase 2 promoter polymorphism and malaria disease severity in children in Southern Ghana. </t>
    </r>
    <r>
      <rPr>
        <i/>
      </rPr>
      <t>PloS one</t>
    </r>
    <r>
      <rPr/>
      <t>, 13 (8): e0202218. 
5)        Johnston, P., Patel, H., Gyakobo, M. K., &amp; Sifri, Z. C. (2017). Long-term outcomes after humanitarian surgical missions: Are patients still satisfied? Journal of the American College of Surgeons, 225 (4): S105-S106. 
6)        Essuman, A., Lawson, H., Nortey, D., Gyakobo, M., Ofori-Amankwah, G., Ndanu, T. A., &amp; Gold, K. J. (2017). Five years of family medicine undergraduate education in Ghana: A wake-up call!.</t>
    </r>
    <r>
      <rPr>
        <i/>
      </rPr>
      <t xml:space="preserve"> Ghana Med J</t>
    </r>
    <r>
      <rPr/>
      <t xml:space="preserve">; 51(2): 50-55 DOI http://dx.doi.org/10.4314/gmj.v51i2.2. 
7)        Gore, A. V., Sifri, Z. C., &amp; Gyakobo, M. K. (2016). Frequency and features of emergent surgical cases in a Ghanaian District Hospital. </t>
    </r>
    <r>
      <rPr>
        <i/>
      </rPr>
      <t>Journal of the American College of Surgeons,</t>
    </r>
    <r>
      <rPr/>
      <t xml:space="preserve"> 223 (4): e122-e123. 
9)        Der, E. M., Gyasi, R. K., Tettey, Y., Edusei, L., Bayor, M. T., Jiagge, E. &amp; Gyakobo, M. (2015). Triple‐negative breast cancer in Ghanaian women: The Korle Bu Teaching Hospital experience. </t>
    </r>
    <r>
      <rPr>
        <i/>
      </rPr>
      <t xml:space="preserve">The Breast Journal, </t>
    </r>
    <r>
      <rPr/>
      <t xml:space="preserve">21 (6): 627-633.
10)        Edwin, A. K., McGee, S. J., Opare-Lokko, E. A. &amp; Gyakobo, M. K. (2014). A structured approach to end-of-life decision making improves quality of care for patients with terminal illness in a teaching hospital in Ghana. American. </t>
    </r>
    <r>
      <rPr>
        <i/>
      </rPr>
      <t>Journal of Hospice &amp; Palliative Medicine</t>
    </r>
    <r>
      <rPr/>
      <t xml:space="preserve">, 33(2), 144-149 DOI: 10.1177/1049909114557350. http://ajh.sagepub.com/content/early/2014/10/31/1049909114557350 
11.        Ageyi-Baffour, P., Rominski, S., Nakua, E., Gyakobo, M., &amp; Lori, J. R. (2013). Factors that influence midwifery students in Ghana when deciding where to practice: a discrete choice experiment. </t>
    </r>
    <r>
      <rPr>
        <i/>
      </rPr>
      <t>BMC Medica</t>
    </r>
    <r>
      <rPr/>
      <t xml:space="preserve">l </t>
    </r>
    <r>
      <rPr>
        <i/>
      </rPr>
      <t>Education</t>
    </r>
    <r>
      <rPr/>
      <t xml:space="preserve">, 13 (1): 64. 
12.        Rominski, S., Nakua, E., Ageyi-Baffour P, Gyakobo, M., &amp; Lori, J. R. (2012). Midwifery students willingness to provide manual vacuum aspiration in Ghana. </t>
    </r>
    <r>
      <rPr>
        <i/>
      </rPr>
      <t>International Journal of Nursing and Midwifery,</t>
    </r>
    <r>
      <rPr/>
      <t xml:space="preserve"> 4 (4): 45-49. 
13)        Lori, J. R., Rominski, S. D., Gyakobo, M., Muriu, E. W., Kweku, N. E. &amp; Agyei-Baffour, P. (2012). Perceived barriers and motivating factors influencing student midwives’ acceptance of rural postings in Ghana. </t>
    </r>
    <r>
      <rPr>
        <i/>
      </rPr>
      <t>Human Resources for Health</t>
    </r>
    <r>
      <rPr/>
      <t xml:space="preserve">, 10 (1): 17. 
14)        Kwansah, J., Dzodzomenyo, M., Mutumba, M., Asabir, K., Koomson, E., Gyakobo, M., Agyei-Baffour, P., Kruk, M. E. &amp; Snow. R. C. (2012). Policy talk: incentives for rural service among nurses in Ghana. </t>
    </r>
    <r>
      <rPr>
        <i/>
      </rPr>
      <t>Health</t>
    </r>
    <r>
      <rPr/>
      <t xml:space="preserve"> </t>
    </r>
    <r>
      <rPr>
        <i/>
      </rPr>
      <t>Policy and Plannin</t>
    </r>
    <r>
      <rPr/>
      <t>g; 1-8. doi:10.1093/heapol/czs016. 
15)        Lori, J.R., Rominski, S., Richardson, J., Agyei-Baffour, P., Nakua, E. K. &amp; Gyakobo, M. (2012). Factors influencing Ghanaian midwifery students’ willingness to work in rural areas: A computerized survey.</t>
    </r>
    <r>
      <rPr>
        <i/>
      </rPr>
      <t xml:space="preserve"> Int. J</t>
    </r>
    <r>
      <rPr/>
      <t xml:space="preserve">. </t>
    </r>
    <r>
      <rPr>
        <i/>
      </rPr>
      <t>Nurs. Stud</t>
    </r>
    <r>
      <rPr/>
      <t>. 49, 834–841. 
16)          Kotha, S. R., Johnson, J. C., Galea, S., Agyei-Baffour, P., Nakua, E., Asabir, K., Kwansah, J., Gyakobo, M., Dzodzomenyo, M. &amp; Kruk, M. E. (2012) Lifecourse factors and likelihood of rural practice and emigration: A survey of Ghanaian medical students.</t>
    </r>
    <r>
      <rPr>
        <i/>
      </rPr>
      <t xml:space="preserve"> Rural and Remote Health</t>
    </r>
    <r>
      <rPr/>
      <t xml:space="preserve"> 12, 1898. 
17)        Gyakobo, M., Amoah, A. G. B., Martey-Marbell, D. &amp; Snow, R. C. (2012). Prevalence of the metabolic syndrome in a rural population in Ghana. </t>
    </r>
    <r>
      <rPr>
        <i/>
      </rPr>
      <t>BMC Endocrine Disorders</t>
    </r>
    <r>
      <rPr/>
      <t xml:space="preserve">, 12:25 doi:10.1186/1472-6823-12-25. 
18)        Agyei-Baffour P., Rani Kotha, S., Johnson, J. C., Gyakobo, M., Asabir, K., Kwansah, J., Nakua, E., Dzodzomenyo, M., Snow, R. C. &amp; Kruk, M. E. (2011). Willingness to work in rural areas and the role of intrinsic versus extrinsic professional motivations - a survey of medical students in Ghana. </t>
    </r>
    <r>
      <rPr>
        <i/>
      </rPr>
      <t>BMC Medical Education</t>
    </r>
    <r>
      <rPr/>
      <t xml:space="preserve">, 11:56 doi:10.1186/1472-6920-11-56. 
19)        Johnson, J. C., Nakua, E., Dzodzomenyo, M., Agyei-Baffour, P., Gyakobo, M., Asabir, K., Kwansah, J., Rani Kotha, S., Snow, R. C., &amp; Kruk, M. E. (2011). For money or service? A cross-sectional survey of preference for financial versus non-financial rural practice characteristics among Ghanaian medical students. </t>
    </r>
    <r>
      <rPr>
        <i/>
      </rPr>
      <t>BMC Health Services Research,</t>
    </r>
    <r>
      <rPr/>
      <t xml:space="preserve"> 11:300 doi:10.1186/1472-6963-11-300. 
20)        Kruk, M. E., Johnson, J. C., Gyakobo, M., Agyei-Baffour, P., Asabir, K., Rani Kotha, Kwansah, S. J., Nakua, E., Snow, R. C., &amp; Dzodzomenyo. M. (2010). Preferences for rural practice incentives among medical students in Ghana: a discrete choice experiment. </t>
    </r>
    <r>
      <rPr>
        <i/>
      </rPr>
      <t>Bull World Health Organ</t>
    </r>
    <r>
      <rPr/>
      <t xml:space="preserve">, 88: 333-341. </t>
    </r>
  </si>
  <si>
    <r>
      <rPr/>
      <t>1)        Padmanaban, V., Johnston, P. F., Gyakobo, M., Benneh, A., Esinam A., Sifri, Z. C. (2020). Long-term follow-up of humanitarian surgeries: Outcomes and patient satisfaction in Rural Ghana.</t>
    </r>
    <r>
      <rPr>
        <i/>
      </rPr>
      <t xml:space="preserve"> Journal of Surgical Research,</t>
    </r>
    <r>
      <rPr/>
      <t xml:space="preserve"> 246: 106-112.</t>
    </r>
    <r>
      <rPr>
        <color rgb="FFFF0000"/>
      </rPr>
      <t xml:space="preserve"> (moved to peer-reviewed)</t>
    </r>
    <r>
      <rPr/>
      <t xml:space="preserve">
2)        Johnston, P. F., Kunac, A, Gyakobo M, Jalloh, S., Livingston, D. H., &amp; Sifri, Z. C. (2019). Short-term surgical missions in resource-limited environments: Five years of early surgical outcomes.</t>
    </r>
    <r>
      <rPr>
        <i/>
      </rPr>
      <t xml:space="preserve"> The American Journal of Surgery,</t>
    </r>
    <r>
      <rPr/>
      <t xml:space="preserve"> 217 (1): 7-11. </t>
    </r>
    <r>
      <rPr>
        <color rgb="FFFF0000"/>
      </rPr>
      <t>(moved to peer-reviewed)</t>
    </r>
    <r>
      <rPr/>
      <t xml:space="preserve">
3)        Essuman, A., Gold, K. J., Vitale, C., Toma, G. Cigolle, C., Gyakobo, M., Spangenberg, K., Odoi-Agyarko, K., Skye, E., &amp; Zazove, P. (2019). Establishing the First Geriatric Medicine Fellowship Program in Ghana. </t>
    </r>
    <r>
      <rPr>
        <i/>
      </rPr>
      <t>Journal of the American Geriatrics Society</t>
    </r>
    <r>
      <rPr/>
      <t>, 67 (8): 1718-1723.</t>
    </r>
    <r>
      <rPr>
        <color rgb="FFFF0000"/>
      </rPr>
      <t xml:space="preserve"> (moved to peer-reviewed)</t>
    </r>
    <r>
      <rPr/>
      <t xml:space="preserve">
4)        Dzodzomenyo, M., Ghansah., A, Ensaw, N., Dovie, B., Bimi, L., Quansah, R., Gyan, B. A., Gyakobo, M., &amp; Amoani, B. (2018). Inducible nitric oxide synthase 2 promoter polymorphism and malaria disease severity in children in Southern Ghana. PloS one, 13 (8): e0202218.</t>
    </r>
    <r>
      <rPr>
        <color rgb="FFFF0000"/>
      </rPr>
      <t xml:space="preserve"> (moved to peer-reviewed)</t>
    </r>
    <r>
      <rPr/>
      <t xml:space="preserve">
5)        Johnston, P., Patel, H., Gyakobo, M. K., &amp; Sifri, Z. C. (2017). Long-term outcomes after humanitarian surgical missions: Are patients still satisfied?</t>
    </r>
    <r>
      <rPr>
        <i/>
      </rPr>
      <t xml:space="preserve"> Journal of the American College of Surgeons,</t>
    </r>
    <r>
      <rPr/>
      <t xml:space="preserve"> 225 (4): S105-S106.</t>
    </r>
    <r>
      <rPr>
        <color rgb="FFFF0000"/>
      </rPr>
      <t xml:space="preserve"> (moved to peer-reviewed)</t>
    </r>
    <r>
      <rPr/>
      <t xml:space="preserve">
6)        Essuman, A., Lawson, H., Nortey, D., Gyakobo, M., Ofori-Amankwah, G., Ndanu, T. A., &amp; Gold, K. J. (2017). Five years of family medicine undergraduate education in Ghana: A wake-up call!. Ghana Med J; 51(2): 50-55 DOI </t>
    </r>
    <r>
      <rPr>
        <color rgb="FF1155CC"/>
        <u/>
      </rPr>
      <t>http://dx.doi.org/10.4314/gmj.v51i2.2.</t>
    </r>
    <r>
      <rPr/>
      <t xml:space="preserve"> </t>
    </r>
    <r>
      <rPr>
        <color rgb="FFFF0000"/>
      </rPr>
      <t>(moved to peer-reviewed)</t>
    </r>
    <r>
      <rPr/>
      <t xml:space="preserve">
7)        Gore, A. V., Sifri, Z. C., &amp; Gyakobo, M. K. (2016). Frequency and features of emergent surgical cases in a Ghanaian District Hospital. Journal of the American College of Surgeons, 223 (4): e122-e123.</t>
    </r>
    <r>
      <rPr>
        <color rgb="FFFF0000"/>
      </rPr>
      <t xml:space="preserve"> (moved to peer-reviewed).   8)        </t>
    </r>
    <r>
      <rPr/>
      <t xml:space="preserve">
8)        Gyakobo, M. K. &amp; Opare-Lokko, E. A. (2015). Palliative Care in Ghana. Die Hospiz-Zeitschrift.; 3: 36-41. ?</t>
    </r>
    <r>
      <rPr>
        <color rgb="FFFF0000"/>
      </rPr>
      <t xml:space="preserve"> (can't identify)</t>
    </r>
    <r>
      <rPr/>
      <t xml:space="preserve">
9)        Der, E. M., Gyasi, R. K., Tettey, Y., Edusei, L., Bayor, M. T., Jiagge, E. &amp; Gyakobo, M. (2015). Triple‐negative breast cancer in Ghanaian women: The Korle Bu Teaching Hospital experience. The Breast Journal, 21 (6): 627-633.</t>
    </r>
    <r>
      <rPr>
        <color rgb="FFFF0000"/>
      </rPr>
      <t xml:space="preserve"> (moved to peer-reviewed)</t>
    </r>
    <r>
      <rPr/>
      <t xml:space="preserve">
10)        Edwin, A. K., McGee, S. J., Opare-Lokko, E. A. &amp; Gyakobo, M. K. (2014). A structured approach to end-of-life decision making improves quality of care for patients with terminal illness in a teaching hospital in Ghana. American. Journal of Hospice &amp; Palliative Medicine, 33(2), 144-149 DOI: 10.1177/1049909114557350. </t>
    </r>
    <r>
      <rPr>
        <color rgb="FF1155CC"/>
        <u/>
      </rPr>
      <t>http://ajh.sagepub.com/content/early/2014/10/31/1049909114557350</t>
    </r>
    <r>
      <rPr>
        <color rgb="FFFF0000"/>
      </rPr>
      <t xml:space="preserve"> (moved to peer -reviewed)</t>
    </r>
    <r>
      <rPr/>
      <t xml:space="preserve">
11.        Ageyi-Baffour, P., Rominski, S., Nakua, E., Gyakobo, M., &amp; Lori, J. R. (2013). Factors that influence midwifery students in Ghana when deciding where to practice: a discrete choice experiment. BMC Medical Education, 13 (1): 64. </t>
    </r>
    <r>
      <rPr>
        <color rgb="FFFF0000"/>
      </rPr>
      <t>(moved to peer-reviewed)</t>
    </r>
    <r>
      <rPr/>
      <t xml:space="preserve">
12.        Rominski, S., Nakua, E., Ageyi-Baffour P, Gyakobo, M., &amp; Lori, J. R. (2012). Midwifery students willingness to provide manual vacuum aspiration in Ghana. International Journal of Nursing and Midwifery, 4 (4): 45-49.</t>
    </r>
    <r>
      <rPr>
        <color rgb="FFFF0000"/>
      </rPr>
      <t xml:space="preserve"> (moved to peer-reviewed)</t>
    </r>
    <r>
      <rPr/>
      <t xml:space="preserve">
13)        Lori, J. R., Rominski, S. D., Gyakobo, M., Muriu, E. W., Kweku, N. E. &amp; Agyei-Baffour, P. (2012). Perceived barriers and motivating factors influencing student midwives’ acceptance of rural postings in Ghana. Human Resources for Health, 10 (1): 17. </t>
    </r>
    <r>
      <rPr>
        <color rgb="FFFF0000"/>
      </rPr>
      <t>(moved to peer-reviewed)</t>
    </r>
    <r>
      <rPr/>
      <t xml:space="preserve">
14)        Kwansah, J., Dzodzomenyo, M., Mutumba, M., Asabir, K., Koomson, E., Gyakobo, M., Agyei-Baffour, P., Kruk, M. E. &amp; Snow. R. C. (2012). Policy talk: incentives for rural service among nurses in Ghana. Health Policy and Planning; 1-8. doi:10.1093/heapol/czs016. </t>
    </r>
    <r>
      <rPr>
        <color rgb="FFFF0000"/>
      </rPr>
      <t>(moved to peer-reviewed)</t>
    </r>
    <r>
      <rPr/>
      <t xml:space="preserve">
15)        Lori, J.R., Rominski, S., Richardson, J., Agyei-Baffour, P., Nakua, E. K. &amp; Gyakobo, M. (2012). Factors influencing Ghanaian midwifery students’ willingness to work in rural areas: A computerized survey. Int. J. Nurs. Stud. 49, 834–841.</t>
    </r>
    <r>
      <rPr>
        <color rgb="FFFF0000"/>
      </rPr>
      <t xml:space="preserve"> (moved to peer-reviewed)</t>
    </r>
    <r>
      <rPr/>
      <t xml:space="preserve">
16)          Kotha, S. R., Johnson, J. C., Galea, S., Agyei-Baffour, P., Nakua, E., Asabir, K., Kwansah, J., Gyakobo, M., Dzodzomenyo, M. &amp; Kruk, M. E. (2012) Lifecourse factors and likelihood of rural practice and emigration: A survey of Ghanaian medical students. Rural and Remote Health 12, 1898. </t>
    </r>
    <r>
      <rPr>
        <color rgb="FFFF0000"/>
      </rPr>
      <t>(moved to peer-reviewed)</t>
    </r>
    <r>
      <rPr/>
      <t xml:space="preserve">
17)        Gyakobo, M., Amoah, A. G. B., Martey-Marbell, D. &amp; Snow, R. C. (2012). Prevalence of the metabolic syndrome in a rural population in Ghana. BMC Endocrine Disorders, 12:25 doi:10.1186/1472-6823-12-25. </t>
    </r>
    <r>
      <rPr>
        <color rgb="FFFF0000"/>
      </rPr>
      <t>(moved to peer-reviewed)</t>
    </r>
    <r>
      <rPr/>
      <t xml:space="preserve">
18)        Agyei-Baffour P., Rani Kotha, S., Johnson, J. C., Gyakobo, M., Asabir, K., Kwansah, J., Nakua, E., Dzodzomenyo, M., Snow, R. C. &amp; Kruk, M. E. (2011). Willingness to work in rural areas and the role of intrinsic versus extrinsic professional motivations - a survey of medical students in Ghana. BMC Medical Education, 11:56 doi:10.1186/1472-6920-11-56.</t>
    </r>
    <r>
      <rPr>
        <color rgb="FFFF0000"/>
      </rPr>
      <t xml:space="preserve"> (moved to peer-reviewed)</t>
    </r>
    <r>
      <rPr/>
      <t xml:space="preserve">
19)        Johnson, J. C., Nakua, E., Dzodzomenyo, M., Agyei-Baffour, P., Gyakobo, M., Asabir, K., Kwansah, J., Rani Kotha, S., Snow, R. C., &amp; Kruk, M. E. (2011). For money or service? A cross-sectional survey of preference for financial versus non-financial rural practice characteristics among Ghanaian medical students. BMC Health Services Research, 11:300 doi:10.1186/1472-6963-11-300. </t>
    </r>
    <r>
      <rPr>
        <color rgb="FFFF0000"/>
      </rPr>
      <t>(moved to peer-reviewed)</t>
    </r>
    <r>
      <rPr/>
      <t xml:space="preserve">
20)        Kruk, M. E., Johnson, J. C., Gyakobo, M., Agyei-Baffour, P., Asabir, K., Rani Kotha, Kwansah, S. J., Nakua, E., Snow, R. C., &amp; Dzodzomenyo. M. (2010). Preferences for rural practice incentives among medical students in Ghana: a discrete choice experiment. Bull World Health Organ, 88: 333-341.</t>
    </r>
    <r>
      <rPr>
        <color rgb="FFFF0000"/>
      </rPr>
      <t xml:space="preserve"> (moved to peer-reviewed</t>
    </r>
    <r>
      <rPr/>
      <t xml:space="preserve">)
</t>
    </r>
  </si>
  <si>
    <t>Jacob, Thabit</t>
  </si>
  <si>
    <r>
      <rPr/>
      <t xml:space="preserve">          
 1. Jacob, T. (2019). When good intentions turn bad: the unintended consequences of the 2016 Tanzanian coal import ban. The Extractive Industries and Society, Available at  https://www.sciencedirect.com/science/article/pii/S2214790X18303368  
2. Pedersen, R. H. and Jacob, T. (2019) Political settlement and the politics of legitimation in countries undergoing democratisation: Insights from Tanzania. ESID Working Paper No. 124. The University of Manchester. Available at  http://www.effective-states.org/working-paper-124/ 
3. Pedersen R. H.  and Jacob, T (2019). Resurgent resource nationalism in Tanzania’s petroleum sector. Oxford Energy Forum, Oxford Institute for Energy Studies., (117), 22-25. Available at https://www.oxfordenergy.org/wpcms/wp-content/uploads/2019/01/OEF117.pdf 
4. Pedersen, R. H., Mutagwaba, W., Jønsson, J. B., Schoneveld, G., Jacob, T., Chacha, M., ... &amp; Njau, M. G. (2019). Mining-sector dynamics in an era of resurgent resource nationalism: Changing relations between large-scale mining and artisanal and small-scale mining in Tanzania. </t>
    </r>
    <r>
      <rPr>
        <i/>
      </rPr>
      <t>Resources Policy</t>
    </r>
    <r>
      <rPr/>
      <t xml:space="preserve">, 62, 339-346. Available at https://www.sciencedirect.com/science/article/abs/pii/S0301420718307189 
</t>
    </r>
    <r>
      <rPr>
        <b/>
      </rPr>
      <t>2018</t>
    </r>
    <r>
      <rPr/>
      <t xml:space="preserve"> 
1. Jacob, T. and R. H. Pedersen (2018). New resource nationalism? Continuity and change in Tanzania’s extractive industries. The Extractive Industries and Society. Available at https://www.sciencedirect.com/science/article/pii/S2214790X18300029   2. Jacob, T. (2018) State caught in the middle:  Coal extraction and community struggles in Tanzania. DIIS Working Paper (8). Danish Institute for International Studies Copenhagen, Denmark.  Available at http://pure.diis.dk/ws/files/2502841/DIIS_Working_Paper_2018_8_FINAL.pdf  
3. Jacob, T. and Hundsbæk Pedersen, R. (2018) Social protection in an electorally competitive environment (1): The politics of Productive Social Safety Nets (PSSN) in Tanzania. ESID Working Paper No. 109. The University of Manchester Available at http://www.effective-states.org/working-paper-109/ 
4. Pedersen R. H. and Jacob, T. (2018). Social protection in an electorally competitive environment (2): The politics of health insurance in Tanzania. ESID Working Paper No. 110. The University of Manchester.  Available at http://www.effective-states.org/working-paper-110/ 
</t>
    </r>
    <r>
      <rPr>
        <b/>
      </rPr>
      <t xml:space="preserve">2017 </t>
    </r>
    <r>
      <rPr/>
      <t xml:space="preserve">
1. Pedersen, R. H. and T. Jacob (2017). Reconfigured state-community relations in Africa’s extractive sectors: insights from post-liberalisation Tanzania. </t>
    </r>
    <r>
      <rPr>
        <i/>
      </rPr>
      <t xml:space="preserve">The Extractive Industries and yeaSociety </t>
    </r>
    <r>
      <rPr/>
      <t xml:space="preserve">4: 915-922. Available at https://www.sciencedirect.com/science/article/pii/S2214790X17301090  
2. Jacob, T. (2017). Competing energy narratives in Tanzania: Towards the political economy of coal. </t>
    </r>
    <r>
      <rPr>
        <i/>
      </rPr>
      <t>African Affairs</t>
    </r>
    <r>
      <rPr/>
      <t xml:space="preserve">, 116(463), 341-353. Avaialble at https://academic.oup.com/afraf/article/116/463/341/2991627?guestAccessKey=99ae5e3fc51b-4ef2-aed5-b3afff8dd2ee  
3. Maganga, F., &amp; Jacob, T. (2017). Defying the Looming Resource Curse with Indigenization? Insights from two Coal Mines in Tanzania. </t>
    </r>
    <r>
      <rPr>
        <i/>
      </rPr>
      <t>The African Review</t>
    </r>
    <r>
      <rPr/>
      <t xml:space="preserve">, 43(2), 139-161. Avaialbe at http://www.journals.udsm.ac.tz/index.php/ar/article/view/454/995  
4. Jacob, T., &amp; Brockington, D. (2017). Learning from the other: Benefit sharing lessons for REDD+ implementation based on CBFM experience in Northern Tanzania. </t>
    </r>
    <r>
      <rPr>
        <i/>
      </rPr>
      <t>Land Use Policy.</t>
    </r>
    <r>
      <rPr/>
      <t xml:space="preserve"> Available at https://www.sciencedirect.com/science/article/abs/pii/S0264837717301059  
5. Jacob, T. (2017). Sustainable Energy for All: Innovation, Technology and Pro-Poor Green Transformations, David Ockwell, Rob Byrne, Routledge (2017) 214 pp., 15 B/W Illus. </t>
    </r>
    <r>
      <rPr>
        <i/>
      </rPr>
      <t>Energy Research &amp; Social Science,</t>
    </r>
    <r>
      <rPr/>
      <t xml:space="preserve"> 34, 37-38.  Avaialbe at https://www.sciencedirect.com/science/article/pii/S2214629617301524  
</t>
    </r>
    <r>
      <rPr>
        <b/>
      </rPr>
      <t xml:space="preserve">2016 </t>
    </r>
    <r>
      <rPr/>
      <t xml:space="preserve">
1. Pedersen, R. H., Jacob, T., Maganga, F. and Kweka, O. (2016). Rights to land and extractive resources in Tanzania (1/2): The history. DIIS Working Paper 2016:11. Available at https://www.econstor.eu/handle/10419/148326  
2. Jacob, T., Pedersen, R. H., Maganga, F. and Kweka, O. (2016). Rights to land and extractive resources in Tanzania (2/2): The return of the state. DIIS Working Paper 2016:12. Avaialbe at https://www.econstor.eu/handle/10419/148327                                                                                                              </t>
    </r>
  </si>
  <si>
    <t>Kemausuor, Francis</t>
  </si>
  <si>
    <r>
      <rPr/>
      <t xml:space="preserve">1.        Offei, F., Mensah, M., Kemausuor, F., Thygesen, A. (2019). A biorefinery approach to bioethanol and bioelectricity co-production from tropical seaweeds. </t>
    </r>
    <r>
      <rPr>
        <i/>
      </rPr>
      <t>J Appl Phycol</t>
    </r>
    <r>
      <rPr/>
      <t xml:space="preserve">. https://doi.org/10.1007/s10811-019-01887-6. 
2.        Offei, F., Mensah, M., Thygesen, A., Kemausuor, F. (2018). Seaweed Bioethanol Production: A Process Selection Review on Hydrolysis and Fermentation. Fermentation , 4(4), 99. https://doi.org/10.3390/fermentation4040099 .
3.        Kemausuor, F., Adaramola, S. M., Morken, J. (2018). A Review of Commercial Biogas Systems and Lessons for Africa. Energies 11. https://doi.org/10.3390/en11112984. 
4.        Kemausuor, F., Sedzro, M.D. and Osei, I. (2018). Decentralised Energy Systems in Africa: Coordination and Integration of Off-Grid and Grid Power Systems-Review of Planning Tools to Identify Renewable Energy Deployment Options for Rural Electrification in Africa. </t>
    </r>
    <r>
      <rPr>
        <i/>
      </rPr>
      <t>Curr Sustainable Renewable Energy Rep</t>
    </r>
    <r>
      <rPr/>
      <t xml:space="preserve">, 1-10. 
5.        Singh, R., Kemausuor, F., Wooldridge, M. (2018). Locational analysis of cellulosic ethanol production and distribution infrastructure for the transportation sector in Ghana. </t>
    </r>
    <r>
      <rPr>
        <i/>
      </rPr>
      <t>Renewable and Sustainable Energy Reviews</t>
    </r>
    <r>
      <rPr/>
      <t xml:space="preserve">, 98, 393-406.
6.        Selorm Y. Dorvlo, Ahmad Addo, Francis Kemausuor, Stephen Abenney-Mickson, Jesper Ahrenfeldt, and Ulrik Henriksen (2018). Evaluating the Effect of Two Chimney Configurations on the Overall Airflow and Heat Transfer of a Biomass Cook Stove. </t>
    </r>
    <r>
      <rPr>
        <i/>
      </rPr>
      <t>Journal of Clean Energy Technologies</t>
    </r>
    <r>
      <rPr/>
      <t>.  6(5), 353-356. 
7.        Arranz-Piera, P., Kemausuor, F., Darkwah, L., Edjekumhene, I., Cortés, J., &amp; Velo, E. (2018). Mini-grid electricity service based on local agricultural residues: Feasibility study in rural Ghana.</t>
    </r>
    <r>
      <rPr>
        <i/>
      </rPr>
      <t xml:space="preserve"> Energy</t>
    </r>
    <r>
      <rPr/>
      <t xml:space="preserve"> 153, 443-454. 
8.        Mensah, L. D., Buertey, K. L., Kemausuor, F. (2017). Experimental analysis of three common tree species in Ghana. </t>
    </r>
    <r>
      <rPr>
        <i/>
      </rPr>
      <t>International Journal of Engineering Sciences &amp; Research Technology</t>
    </r>
    <r>
      <rPr/>
      <t xml:space="preserve"> 6(6), 133-141.
9.        Arranz-Piera, P., Kemausuor, F., Addo, A., Velo, E. (2017). Electricity generation prospects from clustered smallholder and irrigated rice farms in Ghana. </t>
    </r>
    <r>
      <rPr>
        <i/>
      </rPr>
      <t xml:space="preserve">Energy </t>
    </r>
    <r>
      <rPr/>
      <t>121, 246-255. 
10.        Osei, I., Akowuah J.O., Kemausuor, F. (2016). Techno-Economic Models for Optimised Utilisation of Jatropha curcas Linnaeus under an Out-Grower Farming Scheme in Ghana.</t>
    </r>
    <r>
      <rPr>
        <i/>
      </rPr>
      <t xml:space="preserve"> Resources</t>
    </r>
    <r>
      <rPr/>
      <t xml:space="preserve"> 2016, 5, 38; doi:10.3390/resources5040038. 
11.        Kemausuor, F., and Ackom, E. (2016). Towards universal electrification in Ghana. </t>
    </r>
    <r>
      <rPr>
        <i/>
      </rPr>
      <t>WIREs Energy and Environment</t>
    </r>
    <r>
      <rPr/>
      <t xml:space="preserve">; doi: 10.1002/wene.225 
12.        Arranz-Piera, P., Bellot, O., Gavaldà, O., Kemausuor, F., and Velo, E. (2016). Trigeneration Based on Biomass - Specific Field Case: Agricultural Residues from Smallholder Farms in Ghana. </t>
    </r>
    <r>
      <rPr>
        <i/>
      </rPr>
      <t>Energy Procedia,</t>
    </r>
    <r>
      <rPr/>
      <t xml:space="preserve"> 93, 146-153.
13.        Kemausuor, F., Bolwig, S. and Miller, S. (2016). Modelling the socio-economic impacts of modern bioenergy in rural communities in Ghana. </t>
    </r>
    <r>
      <rPr>
        <i/>
      </rPr>
      <t>Sustainable Technologies and Assessments</t>
    </r>
    <r>
      <rPr/>
      <t xml:space="preserve"> 14,9-20. 
14.        Kemausuor, F., Addo, A. and Darkwah, L. (2015). Technical and Socioeconomic Potential of Biogas from Cassava Waste in Ghana. </t>
    </r>
    <r>
      <rPr>
        <i/>
      </rPr>
      <t>Biotechnology Research International</t>
    </r>
    <r>
      <rPr/>
      <t xml:space="preserve">, Volume 2015 (1-10), Article ID 828576, http://dx.doi.org/10.1155/2015/828576. 
15.        Kemausuor, F., Nygaard, I., and Mackenzie, G. (2015). Prospects for bioenergy use in Ghana using Long Range Energy Alternative Planning model. </t>
    </r>
    <r>
      <rPr>
        <i/>
      </rPr>
      <t>Energy</t>
    </r>
    <r>
      <rPr/>
      <t xml:space="preserve"> 93, 672-682. 
16.        Bensah E.C., Kemausuor, F., Mieza, K., Kádárd, Z. and Mensah, M. (2015). African perspective on cellulosic ethanol production. </t>
    </r>
    <r>
      <rPr>
        <i/>
      </rPr>
      <t>Renewable and Sustainable Energy Reviews</t>
    </r>
    <r>
      <rPr/>
      <t xml:space="preserve"> 49.  
17.        Ayamga, E. A., Kemausuor, F. and Addo, A. (2015). Technical analysis of crop residue biomass energy in an agricultural region of Ghana. Resources, </t>
    </r>
    <r>
      <rPr>
        <i/>
      </rPr>
      <t>Recycling and Conservation</t>
    </r>
    <r>
      <rPr/>
      <t xml:space="preserve"> 96, 51-60. 
18.  Kemausuor, F, Kamp, A, Thomsen, ST, Bensah, EC and Østergård, H (2014). Assessment of biomass residue availability and bioenergy yields in Ghana. Resources, </t>
    </r>
    <r>
      <rPr>
        <i/>
      </rPr>
      <t>Recycling and Conservation</t>
    </r>
    <r>
      <rPr/>
      <t xml:space="preserve"> 86: 28–37.                                                                                                                                                                                                                                                                                     19. Kemausuor, F., Bukari, D., Quansah, D., Adaramolad, M.S. Towards accelerating the deployment of decentralised renewable energy mini-grids in Ghana: Review and analysis of barriers. (2021). </t>
    </r>
    <r>
      <rPr>
        <i/>
      </rPr>
      <t>Science Direct</t>
    </r>
    <r>
      <rPr/>
      <t xml:space="preserve"> Volume 135, January 2021, 110408. </t>
    </r>
  </si>
  <si>
    <r>
      <rPr/>
      <t xml:space="preserve">1.        Offei, F., Mensah, M., Kemausuor, F., Thygesen, A. (2019). A biorefinery approach to bioethanol and bioelectricity co-production from tropical seaweeds. </t>
    </r>
    <r>
      <rPr>
        <i/>
      </rPr>
      <t>J Appl Phycol.</t>
    </r>
    <r>
      <rPr/>
      <t xml:space="preserve"> </t>
    </r>
    <r>
      <rPr>
        <color rgb="FF1155CC"/>
        <u/>
      </rPr>
      <t>https://doi.org/10.1007/s10811-019-01887-6.</t>
    </r>
    <r>
      <rPr/>
      <t xml:space="preserve"> </t>
    </r>
    <r>
      <rPr>
        <color rgb="FFFF0000"/>
      </rPr>
      <t>(moved to peer-reviewed)</t>
    </r>
    <r>
      <rPr/>
      <t xml:space="preserve">
2.        Offei, F., Mensah, M., Thygesen, A., Kemausuor, F. (2018). Seaweed Bioethanol Production: A Process Selection Review on Hydrolysis and Fermentation. </t>
    </r>
    <r>
      <rPr>
        <i/>
      </rPr>
      <t xml:space="preserve">Fermentation </t>
    </r>
    <r>
      <rPr/>
      <t xml:space="preserve">, 4(4), 99. </t>
    </r>
    <r>
      <rPr>
        <color rgb="FF1155CC"/>
        <u/>
      </rPr>
      <t>https://doi.org/10.3390/fermentation4040099</t>
    </r>
    <r>
      <rPr/>
      <t xml:space="preserve"> </t>
    </r>
    <r>
      <rPr>
        <color rgb="FFFF0000"/>
      </rPr>
      <t>(moved to peer-reviewed)</t>
    </r>
    <r>
      <rPr/>
      <t xml:space="preserve">
3.        Kemausuor, F., Adaramola, S. M., Morken, J. (2018). A Review of Commercial Biogas Systems and Lessons for Africa.</t>
    </r>
    <r>
      <rPr>
        <i/>
      </rPr>
      <t xml:space="preserve"> Energies</t>
    </r>
    <r>
      <rPr/>
      <t xml:space="preserve"> 11. </t>
    </r>
    <r>
      <rPr>
        <color rgb="FF1155CC"/>
        <u/>
      </rPr>
      <t>https://doi.org/10.3390/en11112984.</t>
    </r>
    <r>
      <rPr>
        <color rgb="FFFF0000"/>
      </rPr>
      <t xml:space="preserve"> (moved to peer-reviewed)</t>
    </r>
    <r>
      <rPr/>
      <t xml:space="preserve">
4.        Kemausuor, F., Sedzro, M.D. and Osei, I. (2018). Decentralised Energy Systems in Africa: Coordination and Integration of Off-Grid and Grid Power Systems-Review of Planning Tools to Identify Renewable Energy Deployment Options for Rural Electrification in Africa. </t>
    </r>
    <r>
      <rPr>
        <i/>
      </rPr>
      <t>Curr Sustainable Renewable Energy Rep</t>
    </r>
    <r>
      <rPr/>
      <t>, 1-10.</t>
    </r>
    <r>
      <rPr>
        <color rgb="FFFF0000"/>
      </rPr>
      <t xml:space="preserve"> (moved to peer-reviewed)</t>
    </r>
    <r>
      <rPr/>
      <t xml:space="preserve">
5.        Singh, R., Kemausuor, F., Wooldridge, M. (2018). Locational analysis of cellulosic ethanol production and distribution infrastructure for the transportation sector in Ghana. </t>
    </r>
    <r>
      <rPr>
        <i/>
      </rPr>
      <t>Renewable and Sustainable Energy Reviews</t>
    </r>
    <r>
      <rPr/>
      <t xml:space="preserve">, 98, 393-406. </t>
    </r>
    <r>
      <rPr>
        <color rgb="FFFF0000"/>
      </rPr>
      <t>(moved to peer-reviewed)</t>
    </r>
    <r>
      <rPr/>
      <t xml:space="preserve">
6.        Selorm Y. Dorvlo, Ahmad Addo, Francis Kemausuor, Stephen Abenney-Mickson, Jesper Ahrenfeldt, and Ulrik Henriksen (2018). Evaluating the Effect of Two Chimney Configurations on the Overall Airflow and Heat Transfer of a Biomass Cook Stove. </t>
    </r>
    <r>
      <rPr>
        <i/>
      </rPr>
      <t>Journal of Clean Energy Technologies.</t>
    </r>
    <r>
      <rPr/>
      <t xml:space="preserve">  6(5), 353-356.</t>
    </r>
    <r>
      <rPr>
        <color rgb="FFFF0000"/>
      </rPr>
      <t xml:space="preserve"> (moved to peer-reviewed)</t>
    </r>
    <r>
      <rPr/>
      <t xml:space="preserve">
7.        Arranz-Piera, P., Kemausuor, F., Darkwah, L., Edjekumhene, I., Cortés, J., &amp; Velo, E. (2018). Mini-grid electricity service based on local agricultural residues: Feasibility study in rural Ghana.</t>
    </r>
    <r>
      <rPr>
        <i/>
      </rPr>
      <t xml:space="preserve"> Energy</t>
    </r>
    <r>
      <rPr/>
      <t xml:space="preserve"> 153, 443-454. </t>
    </r>
    <r>
      <rPr>
        <color rgb="FFFF0000"/>
      </rPr>
      <t>(moved to peer-reviewed)</t>
    </r>
    <r>
      <rPr/>
      <t>.
8.        Mensah, L. D., Buertey, K. L., Kemausuor, F. (2017). Experimental analysis of three common tree species in Ghana.</t>
    </r>
    <r>
      <rPr>
        <i/>
      </rPr>
      <t xml:space="preserve"> International Journal of Engineering Sciences &amp; Research Technology</t>
    </r>
    <r>
      <rPr/>
      <t xml:space="preserve"> 6(6), 133-141. </t>
    </r>
    <r>
      <rPr>
        <color rgb="FFFF0000"/>
      </rPr>
      <t>(moved to peer-reviewed)</t>
    </r>
    <r>
      <rPr/>
      <t xml:space="preserve">
9.        Arranz-Piera, P., Kemausuor, F., Addo, A., Velo, E. (2017). Electricity generation prospects from clustered smallholder and irrigated rice farms in Ghana. </t>
    </r>
    <r>
      <rPr>
        <i/>
      </rPr>
      <t xml:space="preserve">Energy </t>
    </r>
    <r>
      <rPr/>
      <t xml:space="preserve">121, 246-255. </t>
    </r>
    <r>
      <rPr>
        <color rgb="FFFF0000"/>
      </rPr>
      <t>(moved to peer-reviewed)</t>
    </r>
    <r>
      <rPr/>
      <t xml:space="preserve">
10.        Osei, I., Akowuah J.O., Kemausuor, F. (2016). Techno-Economic Models for Optimised Utilisation of Jatropha curcas Linnaeus under an Out-Grower Farming Scheme in Ghana. </t>
    </r>
    <r>
      <rPr>
        <i/>
      </rPr>
      <t>Resources</t>
    </r>
    <r>
      <rPr/>
      <t xml:space="preserve"> 2016, 5, 38; doi:10.3390/resources5040038.</t>
    </r>
    <r>
      <rPr>
        <color rgb="FFFF0000"/>
      </rPr>
      <t xml:space="preserve"> (can't identify)</t>
    </r>
    <r>
      <rPr/>
      <t xml:space="preserve">
11.        Kemausuor, F., and Ackom, E. (2016). Towards universal electrification in Ghana. </t>
    </r>
    <r>
      <rPr>
        <i/>
      </rPr>
      <t>WIREs Energy and Environment;</t>
    </r>
    <r>
      <rPr/>
      <t xml:space="preserve"> doi: 10.1002/wene.225 </t>
    </r>
    <r>
      <rPr>
        <color rgb="FFFF0000"/>
      </rPr>
      <t>(moved to peer-reviewed)</t>
    </r>
    <r>
      <rPr/>
      <t xml:space="preserve">
12.        Arranz-Piera, P., Bellot, O., Gavaldà, O., Kemausuor, F., and Velo, E. (2016). Trigeneration Based on Biomass - Specific Field Case: Agricultural Residues from Smallholder Farms in Ghana. </t>
    </r>
    <r>
      <rPr>
        <i/>
      </rPr>
      <t>Energy Procedia,</t>
    </r>
    <r>
      <rPr/>
      <t xml:space="preserve"> 93, 146-153.</t>
    </r>
    <r>
      <rPr>
        <color rgb="FFFF0000"/>
      </rPr>
      <t xml:space="preserve"> (moved to peer-reviewed)</t>
    </r>
    <r>
      <rPr/>
      <t xml:space="preserve">
13.        Kemausuor, F., Bolwig, S. and Miller, S. (2016). Modelling the socio-economic impacts of modern bioenergy in rural communities in Ghana. </t>
    </r>
    <r>
      <rPr>
        <i/>
      </rPr>
      <t xml:space="preserve">Sustainable Technologies and Assessments </t>
    </r>
    <r>
      <rPr/>
      <t xml:space="preserve">14,9-20. </t>
    </r>
    <r>
      <rPr>
        <color rgb="FFFF0000"/>
      </rPr>
      <t>(moved to peer-reviewed)</t>
    </r>
    <r>
      <rPr/>
      <t xml:space="preserve">
14.        Kemausuor, F., Addo, A. and Darkwah, L. (2015). Technical and Socioeconomic Potential of Biogas from Cassava Waste in Ghana. </t>
    </r>
    <r>
      <rPr>
        <i/>
      </rPr>
      <t>Biotechnology Research International,</t>
    </r>
    <r>
      <rPr/>
      <t xml:space="preserve"> Volume 2015 (1-10), Article ID 828576, </t>
    </r>
    <r>
      <rPr>
        <color rgb="FF1155CC"/>
        <u/>
      </rPr>
      <t>http://dx.doi.org/10.1155/2015/828576.</t>
    </r>
    <r>
      <rPr/>
      <t xml:space="preserve"> </t>
    </r>
    <r>
      <rPr>
        <color rgb="FFFF0000"/>
      </rPr>
      <t>(moved to peer-reviewed)</t>
    </r>
    <r>
      <rPr/>
      <t xml:space="preserve">
15.        Kemausuor, F., Nygaard, I., and Mackenzie, G. (2015). Prospects for bioenergy use in Ghana using Long Range Energy Alternative Planning model. </t>
    </r>
    <r>
      <rPr>
        <i/>
      </rPr>
      <t xml:space="preserve">Energy </t>
    </r>
    <r>
      <rPr/>
      <t xml:space="preserve">93, 672-682. </t>
    </r>
    <r>
      <rPr>
        <color rgb="FFFF0000"/>
      </rPr>
      <t>(moved to peer-reviewed)</t>
    </r>
    <r>
      <rPr/>
      <t xml:space="preserve">
16.        Bensah E.C., Kemausuor, F., Mieza, K., Kádárd, Z. and Mensah, M. (2015). African perspective on cellulosic ethanol production</t>
    </r>
    <r>
      <rPr>
        <i/>
      </rPr>
      <t>. Renewable and Sustainable Energy Reviews</t>
    </r>
    <r>
      <rPr/>
      <t xml:space="preserve"> 49. </t>
    </r>
    <r>
      <rPr>
        <color rgb="FFFF0000"/>
      </rPr>
      <t>(moved to peer-reviewed)</t>
    </r>
    <r>
      <rPr/>
      <t xml:space="preserve">. 
17.        Ayamga, E. A., Kemausuor, F. and Addo, A. (2015). Technical analysis of crop residue biomass energy in an agricultural region of Ghana. Resources, Recycling and Conservation 96, 51-60. </t>
    </r>
    <r>
      <rPr>
        <color rgb="FFFF0000"/>
      </rPr>
      <t>(moved to peer-reviewed)</t>
    </r>
    <r>
      <rPr/>
      <t xml:space="preserve">
18.        Kemausuor, F., Yakah, E. and Kamp, A. (2014). Regional assessment of agricultural residue for bioenergy production in Ghana, 147-174. In: Roscoe, C. (ed), Ghana: Social, Economic and Political Issues, Nova Science Publishers Inc. </t>
    </r>
    <r>
      <rPr>
        <color rgb="FFFF0000"/>
      </rPr>
      <t>(can't identify)</t>
    </r>
    <r>
      <rPr/>
      <t xml:space="preserve">
19.  Kemausuor, F, Kamp, A, Thomsen, ST, Bensah, EC and Østergård, H (2014). Assessment of biomass residue availability and bioenergy yields in Ghana. </t>
    </r>
    <r>
      <rPr>
        <i/>
      </rPr>
      <t>Resources, Recycling and Conservation</t>
    </r>
    <r>
      <rPr/>
      <t xml:space="preserve"> 86: 28–37.     </t>
    </r>
    <r>
      <rPr>
        <color rgb="FFFF0000"/>
      </rPr>
      <t xml:space="preserve"> (moved to peer-reviewed) </t>
    </r>
    <r>
      <rPr/>
      <t xml:space="preserve">                                                                                                                                                                                                                                                                                  20. Kemausuor, F., Bukari, D., Quansah, D., Adaramolad, M.S. Towards accelerating the deployment of decentralised renewable energy mini-grids in Ghana: Review and analysis of barriers. (2021). </t>
    </r>
    <r>
      <rPr>
        <i/>
      </rPr>
      <t>Science Direct</t>
    </r>
    <r>
      <rPr/>
      <t xml:space="preserve"> Volume 135, January 2021, 110408.</t>
    </r>
    <r>
      <rPr>
        <color rgb="FFFF0000"/>
      </rPr>
      <t xml:space="preserve"> (moved to peer-reviewed)</t>
    </r>
  </si>
  <si>
    <t>Other Publications</t>
  </si>
  <si>
    <t>Lekgoathi, Sekibakiba Peter</t>
  </si>
  <si>
    <t xml:space="preserve">1.	With S. Chirikure, P. Delius, A. Esterhuysen, S. Hall, M. Mulaudzi, V. Neluvhalani, O. Ntsoane, D. Pearce, K. Sadr &amp; A. Schoeman. Exploring Beyond the Rise and Decline of the Mapungubwe State. Real African Publishers: 2016. ISBN – 10: 1920655042 / ISBN – 13: 978-1920655044, 2016 (first published as MISTRA Research Report in 2018).
2.	With Phil Bonner. Rand Water: A Century of Excellence, 1903-2003. With Bonner, P. Johannesburg: Creda Communications, 2004 (30% authorship).
3.	(In Preparation) The Politics of Ndebele Ethnicity in South Africa, 1960–2010s. Book Manuscript to be submitted to University of Michigan Press, Ann Arbor, USA.
4.	(In Preparation) With T. Moloi &amp; A.R. Sauté-Saíde. Guerrilla Radios in Southern Africa, 1960 – Early 1990s. Edited Volume. Book Proposal Accepted and Full Manuscript to be submitted to Rowman &amp; Littlefield International, UK.
5.	(In Preparation) The African National Congress’s Radio Freedom, 1963 – 1994. Book Proposal to be submitted to Wits University Press, Johannesburg.
</t>
  </si>
  <si>
    <t xml:space="preserve">1.        (Accepted): With T. Moloi &amp; A.R. Sauté-Saíde. ‘Introduction’. In S.P. Lekgoathi, T. Moloi &amp; A. Sauté-Saíde (eds.), Guerrilla Radios in Southern Africa, 1960 – Early 1990s. Edited Volume. Full Manuscript to be published by Rowman &amp; Littlefield International, UK.
2.        (Accepted), International Solidarity and Support for the African National Congress’s Radio Freedom, 1963-1994. In S.P. Lekgoathi, T. Moloi &amp; A. Sauté-Saíde (eds.), Guerrilla Radios in Southern Africa, 1960 – Early 1990s. Edited Volume. Full Manuscript to be published by Rowman &amp; Littlefield International, UK.
3.        (Accepted), ‘We must swell the ranks of our people’s army…’: Radio Freedom, Clandestine Broadcasting and the Liberation Struggle in South Africa, 1960s–1980s. For an edited volume titled The Underground in Africa, by Tshepo Moloi, George Gona and Noor Nieftagodien, to be published by Wits University Press. 
4.        Ethnic Separatism or Cultural Preservation? Ndebele Radio under Apartheid, 1983-1994. 2012. In S. Ally &amp; A. Lissoni (eds.), New Histories of South Africa’s Apartheid-Era Bantustans. Oxon, UK: Routledge, 2017. Pages 98-119 (First published in South African Historical Journal Vol. 64, No. 1 (March 2012). Pages 59-80.
5.        The 1976 Soweto Students Uprising and its Aftermath in Parts of the Northern Transvaal. In South African Democracy Education Trust (ed.), The Road to Democracy in South Africa Volume 7 – Soweto Uprisings: New Perspectives, Commemorations and Memorialisation. Pretoria: UNISA Press: 2017. Pages 126 – 142.
6.        Youth Politics and Rural Rebellion in Zebediela and Other Parts of the ‘Homeland’ of Lebowa, 1976–1977. In A. Heffernan (ed.), Students Must Rise: Youth Struggle in South Africa Before and Beyond Soweto ’76. Johannesburg: Wits University Press: 2016. Pages 109 – 118.
7.        Migrants from Zebediela and Shifting Identities on the Rand, 1930s-1970s. In P. Delius, L. Phillips &amp; F. Rankin-Smith (eds.), A Long Way Home: Migrant Worker Worlds 1800–2014. Johannesburg: Witwatersrand University Press: 2014. Pages 156 – 168.
8.        Radio Freedom, Songs of Freedom and the Liberation Struggle in South Africa under Apartheid. In M.J. Grant &amp; Ferdia J. Stone-Davis (eds.), Soundtrack of Conflict: The Role of Music in Radio Broadcasting in Wartime and in Conflict Situations, OLMS, Hildesheim: Zurich &amp; New York: 2013. Pages 111 – 129.
9.        (With A. Bank and T. Mwakasekele) The Personal History of a ‘Nyakyusa Clerk’: Leonard Mwaisumo (1910-1938) and his work with the Wilsons. In Andrew Bank and Leslie J. Bank (eds.), Inside African Anthropology: Monica Wilson and Her Interpreters. Cambridge University Press: 2013. Pages 162 – 189.
10.        The African National Congress’s Radio Freedom, Its Audiences and the Struggle against Apartheid in South Africa, 1963-1991. In South African Democracy Education Trust, The Road to Democracy Volume 5: The 1990s. Part 1. UNISA Press, 2013. Pages 548 – 587.
11.        (With S.M. Ndlovu) Political Violence on the Pretoria-Witwatersrand-Vaal Region, 1990 – 1994. In South African Democracy Education Trust, The Road to Democracy Volume 5: The 1990s. UNISA Press, 2013. Pages 958 – 1019. (60% authorship).
12.        Political Transformations in the Bantustans of Lebowa and KwaNdebele, 1990–1994. In South African Democracy Education Trust, The Road to Democracy Volume 5: The 1990s. Part 1. UNISA Press, 2013. Pages 434 – 473.
13.        Bantustan Identity, Censorship and Subversion on North Sotho Radio, 1960-1994. In: Gunner, L., Ligaga, D. and Moyo, D. (eds.). Radio in Africa: Publics, Cultures, Communities. Johannesburg: Wits University Press, 2011. Pages 117-133. 
14.        The United Democratic Front, Political Resistance and Local Struggles in the Vaal and West Rand Townships in the 1980s. In: South African Democracy Education Trust. The Road to Democracy in South Africa: Volume 4 [1980-1990] Part 1. Pretoria: Unisa Press, 2010. Pages 555-610.
15.        The United Democratic Front in Lebowa and KwaNdebele during the 1980s. In: South African Democracy Education Trust. The Road to Democracy in South Africa: Volume 4 [1980-1990] Part 1. Pretoria: Unisa Press, 2010. Pages 613-667.
16.        Voices of Our Past: Oral Testimony and Teaching History. In: Bam, J. and Dyer, C. (eds.). Educator’s Guide to the UNESCO General History of Africa for the FET Curriculum. Republic of South Africa: New Africa Education (NAE) 2004. Pages 41-50.
17.        Some Reflections on Early African and South African History: An Historiographical Essay. In: Turning Points in History Book 1: Ancient Civilisations and Global Trade. Johannesburg: STE Publishers, 2004. Pages 52-62.
18.  (InPrint):WithT.Moloi&amp;A.R.Sauté-Saíde(eds.),GuerrillaRadiosinSouthernAfrica, 1960 – Early 1990s: Broadcasters, Technology, Propaganda Wars, and the Armed Struggle. London &amp; Maryland: Rowman &amp; Littlefield International, 2020. (280 pages) ISBN- 13: 978-1-78661-560-2 and ISBN-10: 178-66-15606.
19. With S. Chirikure, P. Delius, A. Esterhuysen, S. Hall, M. Mulaudzi, V. Neluvhalani, O. Ntsoane, D. Pearce, K. Sadr &amp; A. Schoeman. Exploring Beyond the Rise and Decline of the Mapungubwe State. Real African Publishers: 2016. ISBN – 10: 1920655042 / ISBN – 13: 978-1920655044, 2016 (first published as MISTRA Research Report in 2018).
20. With Phil Bonner. Rand Water: A Century ofExcellence, 1903-2003. With Bonner, P. Johannesburg: Creda Communications, 2004 (30% authorship).
21. (InPreparation)ThePoliticsofNdebeleEthnicityinSouthAfrica,1960–2010s.Book Manuscript to be submitted to University of Michigan Press, Ann Arbor, USA.
22. (InPreparation)TheAfricanNationalCongress’sRadioFreedom,1963–1994.Book Proposal to be submitted to Wits University Press, Johannesburg.
23. Guerrilla Radios in Southern Africa: Broadcasters, Technology, Propaganda Wars, and the Armed Struggle  (November 2020) Rowman &amp; Littlefield Publishers / Rowman &amp; Littlefield International. Pages: 280.
</t>
  </si>
  <si>
    <r>
      <rPr/>
      <t xml:space="preserve">
                                                                                                                                                                                                                                                                                                                                                                                                  1.        Rural Youth and Changing Patterns of Political Mobilisation in the Northern Transvaal Village of Zebediela, 1976 – 1990. 2018.</t>
    </r>
    <r>
      <rPr>
        <i/>
      </rPr>
      <t xml:space="preserve"> Journal for Contemporary </t>
    </r>
    <r>
      <rPr/>
      <t xml:space="preserve">History Vol. 43, No. 1, Pages 21-42. 
2.        From Homeboy Networks to Broader Ethnic Affiliations: Migrants from Zebediela and Shifting Identities on the Rand, 1930s–1970s. 2014. </t>
    </r>
    <r>
      <rPr>
        <i/>
      </rPr>
      <t xml:space="preserve">African Studies </t>
    </r>
    <r>
      <rPr/>
      <t xml:space="preserve">Vol. 73, No. 3, Pages 432-454. 
3.        Ethnic Separatism or Cultural Preservation? Ndebele Radio under Apartheid, 1983-1994. 2012. </t>
    </r>
    <r>
      <rPr>
        <i/>
      </rPr>
      <t>South African</t>
    </r>
    <r>
      <rPr/>
      <t xml:space="preserve"> </t>
    </r>
    <r>
      <rPr>
        <i/>
      </rPr>
      <t>Historical Journal</t>
    </r>
    <r>
      <rPr/>
      <t xml:space="preserve"> Vol. 64, No. 1 (March), Pages 59-80. 
4.        The History Workshop, Teacher Development and Outcomes-Based Education over the Past Seven Years. 2010. </t>
    </r>
    <r>
      <rPr>
        <i/>
      </rPr>
      <t>African Studies</t>
    </r>
    <r>
      <rPr/>
      <t xml:space="preserve"> Vol. 69 No. 1. Pages 103-123. 
5.        The African National Congress’s Radio Freedom and its Audiences in Apartheid South Africa, 1963-1991. 2010. </t>
    </r>
    <r>
      <rPr>
        <i/>
      </rPr>
      <t>Journal of African Media Studies</t>
    </r>
    <r>
      <rPr/>
      <t xml:space="preserve"> Vol. 2 No. 2. Pages 139-153. 
6.        ‘Colonial’ Experts, Local Interlocutors, Informants and the Making of an Archive on the Transvaal Ndebele, 1930-89. 2009. </t>
    </r>
    <r>
      <rPr>
        <i/>
      </rPr>
      <t>Journal of African History</t>
    </r>
    <r>
      <rPr/>
      <t xml:space="preserve"> Vol. 50 No. 1. Pages 61-80.  
7.        ‘You are listening to Radio Lebowa of the South African Broadcasting Corporation’: Vernacular Radio, Bantustan Identity, and Listenership, 1960-1994. 2009. </t>
    </r>
    <r>
      <rPr>
        <i/>
      </rPr>
      <t>Journal of Southern African Studies</t>
    </r>
    <r>
      <rPr/>
      <t xml:space="preserve"> Vol. 35 No. 3.  Pages 575-594. 
8.        Teacher Militancy in the Rural Northern Transvaal Community of Zebediela, 1986-1994. 2007. </t>
    </r>
    <r>
      <rPr>
        <i/>
      </rPr>
      <t>South African Historica</t>
    </r>
    <r>
      <rPr/>
      <t xml:space="preserve">l </t>
    </r>
    <r>
      <rPr>
        <i/>
      </rPr>
      <t>Journa</t>
    </r>
    <r>
      <rPr/>
      <t xml:space="preserve">l Vol. 58 No.1. Pages 226-252. 
9.        Chiefs, Migrants and North Ndebele Ethnicity in the Context of Surrounding Homelands Politics, 1965-1978. 2007. </t>
    </r>
    <r>
      <rPr>
        <i/>
      </rPr>
      <t>African Studies</t>
    </r>
    <r>
      <rPr/>
      <t xml:space="preserve"> Vol. 62 No. 1. Pages 53-77. 
10.        An Accessible History of Rural Society: Review of Peter Delius, A Lion amongst Cattle. 1997. </t>
    </r>
    <r>
      <rPr>
        <i/>
      </rPr>
      <t>South African Historical</t>
    </r>
    <r>
      <rPr/>
      <t xml:space="preserve"> </t>
    </r>
    <r>
      <rPr>
        <i/>
      </rPr>
      <t>Journal</t>
    </r>
    <r>
      <rPr/>
      <t xml:space="preserve"> Vol. 37 No. 1. Pages 214-17. (Book review).</t>
    </r>
  </si>
  <si>
    <t xml:space="preserve">
1.        Sikhuluma isikhethu (We speak our own language): Ndebele Radio, Ethnicity and Cultural Identity in South Africa, 1983-1994. 2014. Oral History Journal of South Africa Vol. 2, No. 2. Pages 21-35.
2.        Usable Past: Oral Tradition, Song, and the Mobilization of Northern Ndebele Ethnicity in Post-Apartheid South Africa, 1994-2004. 2009. Cross Cultural Poetics. Pages 85-116.
  </t>
  </si>
  <si>
    <r>
      <rPr/>
      <t xml:space="preserve">1.        Lapho sikhona kunokukhanya’: Ikwekwezi FM in Post-apartheid South Africa, 1996-2013. December 2018. </t>
    </r>
    <r>
      <rPr>
        <i/>
      </rPr>
      <t xml:space="preserve">Bulletin of the National Library of South Africa </t>
    </r>
    <r>
      <rPr/>
      <t xml:space="preserve">Vol. 72, No. 2, Pages 151-166. </t>
    </r>
    <r>
      <rPr>
        <color rgb="FFFF0000"/>
      </rPr>
      <t>(can't identify)</t>
    </r>
    <r>
      <rPr/>
      <t xml:space="preserve">
2.        Rural Youth and Changing Patterns of Political Mobilisation in the Northern Transvaal Village of Zebediela, 1976 – 1990. 2018. </t>
    </r>
    <r>
      <rPr>
        <i/>
      </rPr>
      <t>Journal for Contemporary History</t>
    </r>
    <r>
      <rPr/>
      <t xml:space="preserve"> Vol. 43, No. 1, Pages 21-42. </t>
    </r>
    <r>
      <rPr>
        <color rgb="FFFF0000"/>
      </rPr>
      <t>(moved to peer-reviewed)</t>
    </r>
    <r>
      <rPr/>
      <t xml:space="preserve">
3.        From Homeboy Networks to Broader Ethnic Affiliations: Migrants from Zebediela and Shifting Identities on the Rand, 1930s–1970s. 2014. </t>
    </r>
    <r>
      <rPr>
        <i/>
      </rPr>
      <t xml:space="preserve">African Studies </t>
    </r>
    <r>
      <rPr/>
      <t xml:space="preserve">Vol. 73, No. 3, Pages 432-454. </t>
    </r>
    <r>
      <rPr>
        <color rgb="FFFF0000"/>
      </rPr>
      <t>(moved to peer-review)</t>
    </r>
    <r>
      <rPr/>
      <t xml:space="preserve">
4.        Ethnic Separatism or Cultural Preservation? Ndebele Radio under Apartheid, 1983-1994. 2012. </t>
    </r>
    <r>
      <rPr>
        <i/>
      </rPr>
      <t xml:space="preserve">South African Historical Journal </t>
    </r>
    <r>
      <rPr/>
      <t xml:space="preserve">Vol. 64, No. 1 (March), Pages 59-80. </t>
    </r>
    <r>
      <rPr>
        <color rgb="FFFF0000"/>
      </rPr>
      <t>(moved to peer-reviewed)</t>
    </r>
    <r>
      <rPr/>
      <t xml:space="preserve">
5.        The History Workshop, Teacher Development and Outcomes-Based Education over the Past Seven Years. 2010. </t>
    </r>
    <r>
      <rPr>
        <i/>
      </rPr>
      <t xml:space="preserve">African Studies </t>
    </r>
    <r>
      <rPr/>
      <t xml:space="preserve">Vol. 69 No. 1. Pages 103-123. </t>
    </r>
    <r>
      <rPr>
        <color rgb="FFFF0000"/>
      </rPr>
      <t>(moved to peer-reviewed)</t>
    </r>
    <r>
      <rPr/>
      <t xml:space="preserve">
6.        The African National Congress’s Radio Freedom and its Audiences in Apartheid South Africa, 1963-1991. 2010. </t>
    </r>
    <r>
      <rPr>
        <i/>
      </rPr>
      <t xml:space="preserve">Journal of African Media Studies </t>
    </r>
    <r>
      <rPr/>
      <t>Vol. 2 No. 2. Pages 139-153.</t>
    </r>
    <r>
      <rPr>
        <color rgb="FFFF0000"/>
      </rPr>
      <t xml:space="preserve"> (moved to peer-reviewed)</t>
    </r>
    <r>
      <rPr/>
      <t xml:space="preserve">
7.        ‘Colonial’ Experts, Local Interlocutors, Informants and the Making of an Archive on the Transvaal Ndebele, 1930-89. 2009. </t>
    </r>
    <r>
      <rPr>
        <i/>
      </rPr>
      <t xml:space="preserve">Journal of African History </t>
    </r>
    <r>
      <rPr/>
      <t xml:space="preserve">Vol. 50 No. 1. Pages 61-80. </t>
    </r>
    <r>
      <rPr>
        <color rgb="FFFF0000"/>
      </rPr>
      <t xml:space="preserve"> (moved to peer-reviewed)</t>
    </r>
    <r>
      <rPr/>
      <t xml:space="preserve">
8.        ‘You are listening to Radio Lebowa of the South African Broadcasting Corporation’: Vernacular Radio, Bantustan Identity, and Listenership, 1960-1994. 2009. </t>
    </r>
    <r>
      <rPr>
        <i/>
      </rPr>
      <t xml:space="preserve">Journal of Southern African Studies </t>
    </r>
    <r>
      <rPr/>
      <t>Vol. 35 No. 3.         Pages 575-594.</t>
    </r>
    <r>
      <rPr>
        <color rgb="FFFF0000"/>
      </rPr>
      <t xml:space="preserve"> (moved to peer-reviewed)</t>
    </r>
    <r>
      <rPr/>
      <t xml:space="preserve">
9.        Teacher Militancy in the Rural Northern Transvaal Community of Zebediela, 1986-1994. 2007. </t>
    </r>
    <r>
      <rPr>
        <i/>
      </rPr>
      <t>South African Historical Journal</t>
    </r>
    <r>
      <rPr/>
      <t xml:space="preserve"> Vol. 58 No.1. Pages 226-252. </t>
    </r>
    <r>
      <rPr>
        <color rgb="FFFF0000"/>
      </rPr>
      <t>(moved to peer-reviewed)</t>
    </r>
    <r>
      <rPr/>
      <t xml:space="preserve">
10.        Chiefs, Migrants and North Ndebele Ethnicity in the Context of Surrounding Homelands Politics, 1965-1978. 2007. </t>
    </r>
    <r>
      <rPr>
        <i/>
      </rPr>
      <t>African Studies</t>
    </r>
    <r>
      <rPr/>
      <t xml:space="preserve"> Vol. 62 No. 1. Pages 53-77. </t>
    </r>
    <r>
      <rPr>
        <color rgb="FFFF0000"/>
      </rPr>
      <t>(moved to peer-reviewed)</t>
    </r>
    <r>
      <rPr/>
      <t xml:space="preserve">
11.        An Accessible History of Rural Society: Review of Peter Delius, A Lion amongst Cattle. 1997. </t>
    </r>
    <r>
      <rPr>
        <i/>
      </rPr>
      <t>South African Historical Journal</t>
    </r>
    <r>
      <rPr/>
      <t xml:space="preserve"> Vol. 37 No. 1. Pages 214-17. (Book review).</t>
    </r>
    <r>
      <rPr>
        <color rgb="FFFF0000"/>
      </rPr>
      <t xml:space="preserve"> (moved to peer-reviewed)                       </t>
    </r>
    <r>
      <rPr/>
      <t xml:space="preserve">
</t>
    </r>
  </si>
  <si>
    <t xml:space="preserve">1         Report of the History Ministerial Task Team for the Department of Basic Education. With S.M. Ndlovu, S.P. Lekgoathi, A. Esterhuysen, N.N. Mkhize, G. Weldon, L. Callinicos &amp; J. Sithole Pretoria: Department of Basic Education, February 2018. ISBN: 978-1-4315-3257-5.
2        Exploring Beyond the Rise and Decline of the Mapungubwe State MISTRA Research Report 2013. With S. Chirikure, P. Delius, A. Esterhuysen, S. Hall, M. Mulaudzi, V. Neluvhalani, O. Ntsoane, D. Pearce, K. Sadr &amp; A. Schoeman. Johannesburg: Mapungubwe Institute for Strategic Reflection (MISTRA), 2013. (Also published as Book by Real African Publishers in 2016 – See under Books above). 
3.        With A. Schoeman (with contributions from S. Hall, V. Neluvhalani, O. Ntsoane and D. Pearce), Understanding the Past in the Present. In Exploring Beyond the Rise and Decline of the Mapungubwe State MISTRA Research Report 2013. With S. Chirikure, P. Delius, A. Esterhuysen, S. Hall, M. Mulaudzi, V. Neluvhalani, O Ntsoane, D. Pearce, K. Sadr &amp; A. Schoeman. Johannesburg: Mapungubwe Institute for Strategic Reflection (MISTRA), 2013. Pages 12-23
4.       (With S. Hall, K. Sadr, D. Pearce &amp; A. Schoeman). Frontiers and Intercation. In Exploring Beyond the Rise and Decline of the Mapungubwe State MISTRA Research Report 2013. With S. Chirikure, P. Delius, A. Esterhuysen, S. Hall, M. Mulaudzi, V. Neluvhalani, O Ntsoane, D. Pearce, K. Sadr &amp; A. Schoeman. Johannesburg: Mapungubwe Institute for Strategic Reflection (MISTRA), 2013. Pages 24-38
5.     (With A. Schoeman). Ethnicity, Conflicts, Cleavages and Cooperation in Pre-colonial South Africa. In Exploring Beyond the Rise and Decline of the Mapungubwe State MISTRA Research Report 2013. With S. Chirikure, P. Delius, A. Esterhuysen, S. Hall, M. Mulaudzi, V. Neluvhalani, O Ntsoane, D. Pearce, K. Sadr &amp; A. Schoeman. Johannesburg: Mapungubwe Institute for Strategic Reflection (MISTRA), 2013. Pages 39-54
6.      (With S. Chirikure, P. Delius, A. Esterhuysen, M. Hay, M. Manyanga, M. Mulaudzi, M. Schoeman &amp; J. Smith), Mapungubwe: A Living Legacy.. Johannesburg: Mapungubwe Institute for Strategic Reflection (MISTRA), 2011.
7. Lekgoathi, SP (2015) "'Sikhuluma Isikhethu': Ndebele Radio, Ethnicity and Cultural Identity in South Africa, 1983-94" Oral History J of S Afr 2(2):21-35.                                                                                                                                                                                                                                                 8. Lekgoathi, S.P .(No date was provided in H.'s e-mail)The Road to Democracy in SA Vol 8: South African Diaspora in southern and Eastern Africa in precolonial times, Part 1.                                                                                                                                                                                                  NEWSPAPER ARTICLES
9. Historyshowschieftainshipcanstillplayameaningfulrole.TheSundayIndependent,19 May 2013.
10. SomethingtobesaidforOralHistory.PretoriaNews,14October2009.
</t>
  </si>
  <si>
    <t>Mante, Priscilla</t>
  </si>
  <si>
    <t xml:space="preserve">Mante PK and Edmund E (2018). FPPS Peer Mentoring Handbook. </t>
  </si>
  <si>
    <r>
      <rPr/>
      <t xml:space="preserve">Owusu Frederick, Boakye-Gyasi, Mariam E. Mante, Priscilla K., Ekuadzi, Edmund, Ofori-Kwakye, Kwabena, Woode, Eric. Formulation and Evaluation of Sustained Release Matrix Tablets of Capparis erythrocarpos Roots Extract to Improve Patient Compliance in Management of Arthritis. </t>
    </r>
    <r>
      <rPr>
        <i/>
      </rPr>
      <t>Scientific African</t>
    </r>
    <r>
      <rPr/>
      <t xml:space="preserve">, 2019.  
                                                                                                                                                                                                                                                                                                                                                                                      Twumasi, M.A., Tandoh, A., Mante, P.K., Ekuadzi, E., Boakye-Gyasi, M.E., Benneh, C.K., Kumadoh, D., and Woode, E. Leaves and stems of Capparis erythrocarpos, more sustainable than roots, show antiarthritic effects,  </t>
    </r>
    <r>
      <rPr>
        <i/>
      </rPr>
      <t>J Ethnopharmacol</t>
    </r>
    <r>
      <rPr/>
      <t xml:space="preserve">, 2019, 111890.
                                                                                                                                                                                                                                                                                                                                                                                      Twumasi, M.A., Ekuadzi, E., Mante P.K., Boakye-Gyasi, M.E., Mensah, M.L.K., and Woode, E., “Pharmacognostic Studies of the Leaves, Stem and Root of Capparis erythrocarpos Isert (Capparaceae),” </t>
    </r>
    <r>
      <rPr>
        <i/>
      </rPr>
      <t>Pharmacog J</t>
    </r>
    <r>
      <rPr/>
      <t>, vol. 11, no.1, 2019, pp.112-8. 
                                                                                                                                                                                                                                                                                                                                                                                        Benneh, C. K., Biney, R. P., Adongo, D. W., Mante, P. K., Ampadu, F. A., Tandoh, A., Jato and Woode, E., “Anxiolytic and Antidepressant Effects of Maerua angolensis DC. Stem Bark Extract in Mice,”</t>
    </r>
    <r>
      <rPr>
        <i/>
      </rPr>
      <t xml:space="preserve"> Depress Res Treat</t>
    </r>
    <r>
      <rPr/>
      <t xml:space="preserve">, 2018, pp.17.
                                                                                                                                                                                                                                                                                                                                                                                        Adongo, D.W., Mante, P.K., Kukuia, K.K.E., Benneh, C.K., Biney, R.P., Boakye-Gyasi, E., Titiloye, N.A. and Woode, E., “Toxicological Assessment of Pseudospondias microcarpa (A. Rich.) Engl. Hydroethanolic Leaf Extract in Rats: Haematological, Biochemical, and Histopathological Studies,” </t>
    </r>
    <r>
      <rPr>
        <i/>
      </rPr>
      <t>Sci World J</t>
    </r>
    <r>
      <rPr/>
      <t>, 2018. 
                                                                                                                                                                                                                                                                                                                                                                                        Benneh, C.K., Biney, R.P., Mante, P.K., Tandoh, A., Adongo, D.W. and Woode, E., “Maerua angolensis stem bark extract reverses anxiety and related behaviours in zebrafish—Involvement of GABAergic and 5-HT systems,”</t>
    </r>
    <r>
      <rPr>
        <i/>
      </rPr>
      <t xml:space="preserve"> J Ethnopharmacol</t>
    </r>
    <r>
      <rPr/>
      <t xml:space="preserve">, vol. 207, 2017, pp.129-145. 
                                                                                                                                                                                                                                                                                                                                                                                        Adongo, D.W., Mante, P.K., Kukuia, K.K., Biney, R.P., Boakye-Gyasi, E., Benneh, C.K., Ameyaw, E.O. and Woode, E., “Anticonvulsant activity of Pseudospondias microcarpa (A. Rich) Engl. hydroethanolic leaf extract in mice: The role of excitatory/inhibitory neurotransmission and nitric oxide pathway,” </t>
    </r>
    <r>
      <rPr>
        <i/>
      </rPr>
      <t>J Ethnopharmacol,</t>
    </r>
    <r>
      <rPr/>
      <t xml:space="preserve"> vol. 206, 2017, pp.78-91.                                                                                                                                                                                                                                                                                                                                                                                                                                                                                                                                                                                                                                                                                                                                                                                                                                                                                                                                                                                                                                                        
Mante, P.K., Adongo, D.W., and Woode, E., “Anticonvulsant effects of Antiaris Toxicaria aqueous extract: investigation using animal models of temporal lobe epilepsy,” </t>
    </r>
    <r>
      <rPr>
        <i/>
      </rPr>
      <t>BMC Res Notes</t>
    </r>
    <r>
      <rPr/>
      <t xml:space="preserve">, vol. 10, no.1, 2017, pp.167. 
                                                                                                                                                                                                                                                                                                                                                                                        Dapaah, G., Koffuor, G.A., Mante, P.K., and Ben, I.O., “The possible mode of antitussive and expectorant activity of the ethanol seed extracts of Picralima nitida (Stapf) Th. &amp; H. Durand),” </t>
    </r>
    <r>
      <rPr>
        <i/>
      </rPr>
      <t>J Tradit Complement Med</t>
    </r>
    <r>
      <rPr/>
      <t xml:space="preserve">, vol. 7, no.1, 2017, pp.133-140. 
                                                                                                                                                                                                                                                                                                                                                                                       Adongo, D.W., Mante, P.K., Kukuia, K.K.E., and Woode, E., “Preclinical evidence of a rapid-onset antidepressant-like effect of Pseudospondias microcarpa hydroethanolic leaf extract in a chronic depression model,” </t>
    </r>
    <r>
      <rPr>
        <i/>
      </rPr>
      <t>Int J Basic Clin Pharmacol</t>
    </r>
    <r>
      <rPr/>
      <t xml:space="preserve">, vol. 5, no. 4, 2016, pp.1254-1262 .
                                                                                                                                                                                                                                                                                                                                                                                       Kukuia, K.K., Ameyaw, E.O., Woode, E., Mante, P.K., and Adongo, D.W., “Enhancement of inhibitory neurotransmission and inhibition of excitatory mechanisms underlie the anticonvulsant effects of Mallotus oppositifolius,” </t>
    </r>
    <r>
      <rPr>
        <i/>
      </rPr>
      <t>J Pharm Bioall Sci.</t>
    </r>
    <r>
      <rPr/>
      <t xml:space="preserve">, vol. 8, no. 3, 2016, pp. 253-261 . 
                                                                                                                                                                                                                                                                                                                                                                                   Ameyaw, E.O., Kukuia, K.K.E., Thomford, A.K., Kyei, S., Mante, P.K., and Boampong, J.N., “Analgesic properties of aqueous leaf extract of Haematostaphis barteri: involvement of ATP-sensitive potassium channels, adrenergic, opioidergic, muscarinic, adenosinergic and serotoninergic pathways,” </t>
    </r>
    <r>
      <rPr>
        <i/>
      </rPr>
      <t xml:space="preserve">J Basic Clin Physiol </t>
    </r>
    <r>
      <rPr/>
      <t xml:space="preserve">Pharmacol, vol. 27, no. 6, 2016, pp. 557-561. 
                                                                                                                                                                                                                                                                                                                                                                                     Adongo, D.W., Mante, P.K., Kukuia, K.K.E., Ameyaw, E.O., Woode, E., and Azi, I.H., “Anxiolytic-like effect of the leaves of Pseudospondias microcarpa (A. Rich.) Engl. in mice” </t>
    </r>
    <r>
      <rPr>
        <i/>
      </rPr>
      <t>J Basic Clin Physiol Pharmacol</t>
    </r>
    <r>
      <rPr/>
      <t>, vol. 27, no. 5, 2016, pp. 533-546.
                                                                                                                                                                                                                                                                                                                                                                                      Kukuia, K.K.E., Ameyaw, E.O., Woode, E., Mante, P.K., and Adongo, D.W., “Scientific evidence of plant with a rapid-onset and sustained antidepressant effect in a chronic model of depression: Mallotus oppositifolius,”</t>
    </r>
    <r>
      <rPr>
        <i/>
      </rPr>
      <t xml:space="preserve"> J Basic Clin Physiol Pharmacol</t>
    </r>
    <r>
      <rPr/>
      <t xml:space="preserve">, vol. 27, no. 5, 2016, pp. 523-532. 
                                                                                                                                                                                                                                                                                                                                                                                      Dapaah, G., Koffuor, G.A., Mante, P.K., and Ben, I.O., “Antitussive, expectorant and analgesic activity of the ethanol seed extract of Picralima nitida,” </t>
    </r>
    <r>
      <rPr>
        <i/>
      </rPr>
      <t>Res in Pharm Sci</t>
    </r>
    <r>
      <rPr/>
      <t xml:space="preserve">, vol. 11, no. 2, 2016, pp.100-112. 
                                                                                                                                                                                                                                                                                                                                                                                           Ansah, C., Appiah, J.A., Mensah, K.B., and Mante, P.K., “Aqueous leaf extract of carica papaya (caricaceae) linn. Causes liver injury and reduced fertility in rats,” </t>
    </r>
    <r>
      <rPr>
        <i/>
      </rPr>
      <t>Int J Pharm Pharm</t>
    </r>
    <r>
      <rPr/>
      <t xml:space="preserve"> Sci, vol. 8, no. 2, 2015.
                                                                                                                                                                                                                                                                                                                                                                                                   Adongo, D.W., Kukuia, K.K.E., Mante, P.K., Woode, E., and Ameyaw, E.O., “Antidepressant-Like Effect of the Leaves of Pseudospondias microcarpa in Mice: Evidence for the Involvement of the Serotoninergic System, NMDA Receptor Complex and Nitric Oxide Pathway,” </t>
    </r>
    <r>
      <rPr>
        <i/>
      </rPr>
      <t>Biomed Res Int</t>
    </r>
    <r>
      <rPr/>
      <t>, vol. 2015, 2015.
                                                                                                                                                                                                                                                                                                                                                                                        Mante, P.K., Woode, E., Kukuia, K.K.E., Adongo, D.W., and Ameyaw, E.O., “Antidepressant-like properties of Antiaris toxicaria aqueous extract,”</t>
    </r>
    <r>
      <rPr>
        <i/>
      </rPr>
      <t xml:space="preserve"> Int J Basic Clin Pharmacol</t>
    </r>
    <r>
      <rPr/>
      <t xml:space="preserve">, vol. 4, no.1, 2015, pp. 111-120. 
                                                                                                                                                                                                                                                                                                                                                                                      Adongo, D.W., Mante, P.K., Woode, E., Ameyaw, E.O., and Kukuia, K.K.E., “Effects of hyrdroethanolic leaf extract of Pseudospondias microcarpa (A. Rich.) Engl. (Anacardiaceae) on the central nervous system in mice,” J Phytopharmacol, vol. 3, no. 6, 2015, pp. 410-417 (moved to peer-reviewed). 
                                                                                                                                                                                                                                                                                                                                                                                        Kukuia, K.K.E., Mante, P.K., Woode, E., Ameyaw, E.O., and Adongo, D.W., “Antidepressant Effect of Mallotus oppositifolius In Acute Murine Models,” ISRN Pharmacol vol. 2014, 2014, pp. 12 (moved to peer-reviewed)                                                 
                                                                                                                                                                                                                                                                                                                                                                                         Biney, R.P., Boakye-Gyasi, E., Mante, P.K., Kukuia, K.K.E., and Woode, E., “Neuropharmacological Effects of Ethanolic Fruit extract of Xylopia aethiopica and xylopic acid (a kaurene diterpene) in mice,” West Afr J Pharm, vol. 25, no.1, 2014, pp. 106-117 (moved to peer-reviewed). 
                                                                                                                                                                                                                                                                                                                                                                                       Mante, P.K., Adongo, D.W., Woode, E., Kukuia, K.K.E., and Ameyaw, E.O., “Anticonvulsant Effect of Antiaris toxicaria (Pers.) Lesch. (Moraceae) Aqueous Extract in Rodents,” ISRN Pharmacol, vol. 2013, no. 9, 2013 (moved to peer-reviewed). 
                                                                                                                                                                                                                                                                                                                                                                                       Mante, P.K., Adongo, D.W., Kukuia, K.K.E., Ameyaw, E.O., and Woode, E., “Neuropharmacological assessment of an aqueous bark extract of Antiaris toxicaria (Pers.) Lesch. (moraceae) in rodents,” Am J Pharmacol Toxicol, vol. 7, 2012, pp.123-134 (moved to peer-reviewed)
                                                                                                                                                                                                                                                                                                                                                                                      Kukuia, K.K.E., Ameyaw, E.O., Mante, P.K., Adongo, D.W., and Woode, E., “Screening of Central Effects of the Leaves of Mallotus oppositifolius (Geiseler) Mull. Arg. in Mice,” Pharmacologia, vol. 3, no.12, 2012, pp. 683692 (moved to peer-reviewed).
 </t>
    </r>
  </si>
  <si>
    <r>
      <rPr/>
      <t xml:space="preserve">Mante PK (2013). Anticonvulsant and Related Central Nervous System Effects of Antiaris toxicaria Pers. Lesch. (Moraceae). Kwame Nkrumah University of Science and Technology, Kumasi. Ghana. </t>
    </r>
    <r>
      <rPr>
        <color rgb="FFFF0000"/>
      </rPr>
      <t>PhD Thesis</t>
    </r>
    <r>
      <rPr/>
      <t xml:space="preserve">                                            
                                                                                                                                                                                                                                                                                                                                                                                         Mante PK (2008). Anxiolytic effects of Picralima nitida in mice. B. Pharm (Pharmacology) Thesis. Kwame Nkrumah University of Science and Technology, Kumasi. Ghana.  Recommendations to the G7 Advisory Council on Gender Equality on the need to promote women scientists and science across Africa. 2019. (Recommendations fed into the G7 Gender Equality Advisory Council’s recommendations for advancing Gender Equality and the empowerment of girls and women and Call to Action (Biarritz Partnership for gender Equality) published in August 2019.  </t>
    </r>
    <r>
      <rPr>
        <color rgb="FFFF0000"/>
      </rPr>
      <t xml:space="preserve">  Can't identify  </t>
    </r>
    <r>
      <rPr/>
      <t xml:space="preserve">                                                                                                                                            
                                                                                                                                                                                                                                                                                                                                                                                       Owusu Frederick, Boakye-Gyasi, Mariam E. Mante, Priscilla K., Ekuadzi, Edmund, Ofori-Kwakye, Kwabena, Woode, Eric. Formulation and Evaluation of Sustained Release Matrix Tablets of Capparis erythrocarpos Roots Extract to Improve Patient Compliance in Management of Arthritis.</t>
    </r>
    <r>
      <rPr>
        <i/>
      </rPr>
      <t xml:space="preserve"> Scientific African</t>
    </r>
    <r>
      <rPr/>
      <t>, 2019.  (</t>
    </r>
    <r>
      <rPr>
        <color rgb="FFFF0000"/>
      </rPr>
      <t>moved to peer-reviewed</t>
    </r>
    <r>
      <rPr/>
      <t xml:space="preserve">)
                                                                                                                                                                                                                                                                                                                                                                                   Twumasi, M.A., Tandoh, A., Mante, P.K., Ekuadzi, E., Boakye-Gyasi, M.E., Benneh, C.K., Kumadoh, D., and Woode, E. Leaves and stems of Capparis erythrocarpos, more sustainable than roots, show antiarthritic effects, </t>
    </r>
    <r>
      <rPr>
        <i/>
      </rPr>
      <t>J Ethnopharmaco</t>
    </r>
    <r>
      <rPr/>
      <t>l, 2019, 111890. (</t>
    </r>
    <r>
      <rPr>
        <color rgb="FFFF0000"/>
      </rPr>
      <t>move to peer-reviewed</t>
    </r>
    <r>
      <rPr/>
      <t xml:space="preserve">).
                                                                                                                                                                                                                                                                                                                                                                                   Twumasi, M.A., Ekuadzi, E., Mante P.K., Boakye-Gyasi, M.E., Mensah, M.L.K., and Woode, E., “Pharmacognostic Studies of the Leaves, Stem and Root of Capparis erythrocarpos Isert (Capparaceae),” </t>
    </r>
    <r>
      <rPr>
        <i/>
      </rPr>
      <t>Pharmacog J</t>
    </r>
    <r>
      <rPr/>
      <t>, vol. 11, no.1, 2019, pp.112-8. (</t>
    </r>
    <r>
      <rPr>
        <color rgb="FFFF0000"/>
      </rPr>
      <t>moved to peer-reviewed</t>
    </r>
    <r>
      <rPr/>
      <t xml:space="preserve">)
                                                                                                                                                                                                                                                                                                                                                                                      Benneh, C. K., Biney, R. P., Adongo, D. W., Mante, P. K., Ampadu, F. A., Tandoh, A., Jato and Woode, E., “Anxiolytic and Antidepressant Effects of Maerua angolensis DC. Stem Bark Extract in Mice,” </t>
    </r>
    <r>
      <rPr>
        <i/>
      </rPr>
      <t>Depress Res Treat</t>
    </r>
    <r>
      <rPr/>
      <t>, 2018, pp.17 (</t>
    </r>
    <r>
      <rPr>
        <color rgb="FFFF0000"/>
      </rPr>
      <t>moved to peer-reviewed</t>
    </r>
    <r>
      <rPr/>
      <t>)
                                                                                                                                                                                                                                                                                                                                                                                      Adongo, D.W., Mante, P.K., Kukuia, K.K.E., Benneh, C.K., Biney, R.P., Boakye-Gyasi, E., Titiloye, N.A. and Woode, E., “Toxicological Assessment of Pseudospondias microcarpa (A. Rich.) Engl. Hydroethanolic Leaf Extract in Rats: Haematological, Biochemical, and Histopathological Studies,”</t>
    </r>
    <r>
      <rPr>
        <i/>
      </rPr>
      <t xml:space="preserve"> Sci World J,</t>
    </r>
    <r>
      <rPr/>
      <t xml:space="preserve"> 2018. (</t>
    </r>
    <r>
      <rPr>
        <color rgb="FFFF0000"/>
      </rPr>
      <t>moved to peer-reviewed</t>
    </r>
    <r>
      <rPr/>
      <t>)
                                                                                                                                                                                                                                                                                                                                                                                     Benneh, C.K., Biney, R.P., Mante, P.K., Tandoh, A., Adongo, D.W. and Woode, E., “Maerua angolensis stem bark extract reverses anxiety and related behaviours in zebrafish—Involvement of GABAergic and 5-HT systems,”</t>
    </r>
    <r>
      <rPr>
        <i/>
      </rPr>
      <t xml:space="preserve"> J Ethnopharmacol,</t>
    </r>
    <r>
      <rPr/>
      <t xml:space="preserve"> vol. 207, 2017, pp.129-145. (</t>
    </r>
    <r>
      <rPr>
        <color rgb="FFFF0000"/>
      </rPr>
      <t>moved to peer-reviewed</t>
    </r>
    <r>
      <rPr/>
      <t>)
                                                                                                                                                                                                                                                                                                                                                                                     Adongo, D.W., Mante, P.K., Kukuia, K.K., Biney, R.P., Boakye-Gyasi, E., Benneh, C.K., Ameyaw, E.O. and Woode, E., “Anticonvulsant activity of Pseudospondias microcarpa (A. Rich) Engl. hydroethanolic leaf extract in mice: The role of excitatory/inhibitory neurotransmission and nitric oxide pathway,” J Ethnopharmacol, vol. 206, 2017, pp.78-91. (</t>
    </r>
    <r>
      <rPr>
        <color rgb="FFFF0000"/>
      </rPr>
      <t>moved to peer-reviewed</t>
    </r>
    <r>
      <rPr/>
      <t>)
Mante, P.K., Adongo, D.W., and Woode, E., “Anticonvulsant effects of Antiaris Toxicaria aqueous extract: investigation using animal models of temporal lobe epilepsy,” BMC Res Notes, vol. 10, no.1, 2017, pp.167. (</t>
    </r>
    <r>
      <rPr>
        <color rgb="FFFF0000"/>
      </rPr>
      <t>moved to peer-reviewed</t>
    </r>
    <r>
      <rPr/>
      <t>)
                                                                                                                                                                                                                                                                                                                                                                                      Dapaah, G., Koffuor, G.A., Mante, P.K., and Ben, I.O., “The possible mode of antitussive and expectorant activity of the ethanol seed extracts of Picralima nitida (Stapf) Th. &amp; H. Durand),” J Tradit Complement Med, vol. 7, no.1, 2017, pp.133-140. (</t>
    </r>
    <r>
      <rPr>
        <color rgb="FFFF0000"/>
      </rPr>
      <t>moved to peer-reviewed</t>
    </r>
    <r>
      <rPr/>
      <t>)
                                                                                                                                                                                                                                                                                                                                                                                       Adongo, D.W., Mante, P.K., Kukuia, K.K.E., and Woode, E., “Preclinical evidence of a rapid-onset antidepressant-like effect of Pseudospondias microcarpa hydroethanolic leaf extract in a chronic depression model,” Int J Basic Clin Pharmacol, vol. 5, no. 4, 2016, pp.1254-1262 (</t>
    </r>
    <r>
      <rPr>
        <color rgb="FFFF0000"/>
      </rPr>
      <t>moved to peer-reviewed</t>
    </r>
    <r>
      <rPr/>
      <t>).
                                                                                                                                                                                                                                                                                                                                                                                       Kukuia, K.K., Ameyaw, E.O., Woode, E., Mante, P.K., and Adongo, D.W., “Enhancement of inhibitory neurotransmission and inhibition of excitatory mechanisms underlie the anticonvulsant effects of Mallotus oppositifolius,” J Pharm Bioall Sci., vol. 8, no. 3, 2016, pp. 253-261 (</t>
    </r>
    <r>
      <rPr>
        <color rgb="FFFF0000"/>
      </rPr>
      <t>moved to peer-reviewed</t>
    </r>
    <r>
      <rPr/>
      <t>). 
                                                                                                                                                                                                                                                                                                                                                                                   Ameyaw, E.O., Kukuia, K.K.E., Thomford, A.K., Kyei, S., Mante, P.K., and Boampong, J.N., “Analgesic properties of aqueous leaf extract of Haematostaphis barteri: involvement of ATP-sensitive potassium channels, adrenergic, opioidergic, muscarinic, adenosinergic and serotoninergic pathways,” J Basic Clin Physiol Pharmacol, vol. 27, no. 6, 2016, pp. 557-561 (</t>
    </r>
    <r>
      <rPr>
        <color rgb="FFFF0000"/>
      </rPr>
      <t>moved to peer-reviewed</t>
    </r>
    <r>
      <rPr/>
      <t>). 
                                                                                                                                                                                                                                                                                                                                                                                     Adongo, D.W., Mante, P.K., Kukuia, K.K.E., Ameyaw, E.O., Woode, E., and Azi, I.H., “Anxiolytic-like effect of the leaves of Pseudospondias microcarpa (A. Rich.) Engl. in mice” J Basic Clin Physiol Pharmacol, vol. 27, no. 5, 2016, pp. 533-546 (</t>
    </r>
    <r>
      <rPr>
        <color rgb="FFFF0000"/>
      </rPr>
      <t>moved to peer-reviewed</t>
    </r>
    <r>
      <rPr/>
      <t>)
                                                                                                                                                                                                                                                                                                                                                                                      Kukuia, K.K.E., Ameyaw, E.O., Woode, E., Mante, P.K., and Adongo, D.W., “Scientific evidence of plant with a rapid-onset and sustained antidepressant effect in a chronic model of depression: Mallotus oppositifolius,” J Basic Clin Physiol Pharmacol, vol. 27, no. 5, 2016, pp. 523-532 (moved to peer-reviewed). 
                                                                                                                                                                                                                                                                                                                                                                                      Dapaah, G., Koffuor, G.A., Mante, P.K., and Ben, I.O., “Antitussive, expectorant and analgesic activity of the ethanol seed extract of Picralima nitida,” Res in Pharm Sci, vol. 11, no. 2, 2016, pp.100-112 (moved to peer-</t>
    </r>
    <r>
      <rPr>
        <color rgb="FFFF0000"/>
      </rPr>
      <t>reviewed</t>
    </r>
    <r>
      <rPr/>
      <t>). 
                                                                                                                                                                                                                                                                                                                                                                                           Ansah, C., Appiah, J.A., Mensah, K.B., and Mante, P.K., “Aqueous leaf extract of carica papaya (caricaceae) linn. Causes liver injury and reduced fertility in rats,” Int J Pharm Pharm Sci, vol. 8, no. 2, 2015 (</t>
    </r>
    <r>
      <rPr>
        <color rgb="FFFF0000"/>
      </rPr>
      <t>moved to</t>
    </r>
    <r>
      <rPr/>
      <t xml:space="preserve"> </t>
    </r>
    <r>
      <rPr>
        <color rgb="FFFF0000"/>
      </rPr>
      <t>peer-reviewed</t>
    </r>
    <r>
      <rPr/>
      <t>). 
                                                                                                                                                                                                                                                                                                                                                                                                   Adongo, D.W., Kukuia, K.K.E., Mante, P.K., Woode, E., and Ameyaw, E.O., “Antidepressant-Like Effect of the Leaves of Pseudospondias microcarpa in Mice: Evidence for the Involvement of the Serotoninergic System, NMDA Receptor Complex and Nitric Oxide Pathway,” Biomed Res Int, vol. 2015, 2015 (</t>
    </r>
    <r>
      <rPr>
        <color rgb="FFFF0000"/>
      </rPr>
      <t>moved to peer-reviewed</t>
    </r>
    <r>
      <rPr/>
      <t>). 
                                                                                                                                                                                                                                                                                                                                                                                        Mante, P.K., Woode, E., Kukuia, K.K.E., Adongo, D.W., and Ameyaw, E.O., “Antidepressant-like properties of Antiaris toxicaria aqueous extract,” Int J Basic Clin Pharmacol, vol. 4, no.1, 2015, pp. 111-120 (</t>
    </r>
    <r>
      <rPr>
        <color rgb="FFFF0000"/>
      </rPr>
      <t>moved to</t>
    </r>
    <r>
      <rPr/>
      <t xml:space="preserve"> </t>
    </r>
    <r>
      <rPr>
        <color rgb="FFFF0000"/>
      </rPr>
      <t>peer-reviewed</t>
    </r>
    <r>
      <rPr/>
      <t>).  
                                                                                                                                                                                                                                                                                                                                                                                      Adongo, D.W., Mante, P.K., Woode, E., Ameyaw, E.O., and Kukuia, K.K.E., “Effects of hyrdroethanolic leaf extract of Pseudospondias microcarpa (A. Rich.) Engl. (Anacardiaceae) on the central nervous system in mice,” J Phytopharmacol, vol. 3, no. 6, 2015, pp. 410-417 (</t>
    </r>
    <r>
      <rPr>
        <color rgb="FFFF0000"/>
      </rPr>
      <t>moved to peer-reviewed</t>
    </r>
    <r>
      <rPr/>
      <t>). 
                                                                                                                                                                                                                                                                                                                                                                                        Kukuia, K.K.E., Mante, P.K., Woode, E., Ameyaw, E.O., and Adongo, D.W., “Antidepressant Effect of Mallotus oppositifolius In Acute Murine Models,” ISRN Pharmacol vol. 2014, 2014, pp. 12 (</t>
    </r>
    <r>
      <rPr>
        <color rgb="FFFF0000"/>
      </rPr>
      <t>moved to peer-reviewed</t>
    </r>
    <r>
      <rPr/>
      <t>)                                                 
                                                                                                                                                                                                                                                                                                                                                                                         Biney, R.P., Boakye-Gyasi, E., Mante, P.K., Kukuia, K.K.E., and Woode, E., “Neuropharmacological Effects of Ethanolic Fruit extract of Xylopia aethiopica and xylopic acid (a kaurene diterpene) in mice,” West Afr J Pharm, vol. 25, no.1, 2014, pp. 106-117 (</t>
    </r>
    <r>
      <rPr>
        <color rgb="FFFF0000"/>
      </rPr>
      <t>moved to peer-reviewed</t>
    </r>
    <r>
      <rPr/>
      <t xml:space="preserve">). 
                                                                                                                                                                                                                                                                                                                                                                                       Mante, P.K., Adongo, D.W., Woode, E., Kukuia, K.K.E., and Ameyaw, E.O., “Anticonvulsant Effect of Antiaris toxicaria (Pers.) Lesch. (Moraceae) Aqueous Extract in Rodents,” ISRN Pharmacol, vol. 2013, no. 9, 2013 </t>
    </r>
    <r>
      <rPr>
        <color rgb="FFFF0000"/>
      </rPr>
      <t>(moved to peer-reviewed</t>
    </r>
    <r>
      <rPr/>
      <t xml:space="preserve">). 
                                                                                                                                                                                                                                                                                                                                                                                       Mante, P.K., Adongo, D.W., Kukuia, K.K.E., Ameyaw, E.O., and Woode, E., “Neuropharmacological assessment of an aqueous bark extract of Antiaris toxicaria (Pers.) Lesch. (moraceae) in rodents,” Am J Pharmacol Toxicol, vol. 7, 2012, pp.123-134 </t>
    </r>
    <r>
      <rPr>
        <color rgb="FFFF0000"/>
      </rPr>
      <t>(moved to peer-reviewed)</t>
    </r>
    <r>
      <rPr/>
      <t xml:space="preserve">
                                                                                                                                                                                                                                                                                                                                                                                      Kukuia, K.K.E., Ameyaw, E.O., Mante, P.K., Adongo, D.W., and Woode, E., “Screening of Central Effects of the Leaves of Mallotus oppositifolius (Geiseler) Mull. Arg. in Mice,” Pharmacologia, vol. 3, no.12, 2012, pp. 683692 </t>
    </r>
    <r>
      <rPr>
        <color rgb="FFFF0000"/>
      </rPr>
      <t>(moved to peer-reviewed</t>
    </r>
    <r>
      <rPr/>
      <t xml:space="preserve">).
 </t>
    </r>
  </si>
  <si>
    <t>Books (Monographs/edited volumes)</t>
  </si>
  <si>
    <t>Matjila, Daniel Sekepe</t>
  </si>
  <si>
    <r>
      <rPr/>
      <t xml:space="preserve">Lover of his people : a biography of Sol Plaatje, by S M Molema; Book editors D S </t>
    </r>
    <r>
      <rPr>
        <b/>
      </rPr>
      <t>Matjila</t>
    </r>
    <r>
      <rPr/>
      <t xml:space="preserve">; Karen Haire; Johannesburg : Wits University Press, 2012; Bringing Plaatje Back Home : Re-Storying the African and Batswana Sensibilities in his Oeuvre, D S </t>
    </r>
    <r>
      <rPr>
        <b/>
      </rPr>
      <t>Matjila</t>
    </r>
    <r>
      <rPr/>
      <t xml:space="preserve">; Karen Haire; Trenton, NJ : Africa World Press, [2014];  D S </t>
    </r>
    <r>
      <rPr>
        <b/>
      </rPr>
      <t>Matjila</t>
    </r>
    <r>
      <rPr/>
      <t xml:space="preserve">, Bodibeng jwa matlhomola, Tshwane (Pretoria) : Unisa Press, 2011 1st ed, 2015 2nd ed (fiction); D S </t>
    </r>
    <r>
      <rPr>
        <b/>
      </rPr>
      <t>Matjila</t>
    </r>
    <r>
      <rPr/>
      <t>, Malakabe, Publisher: Pietermaritzburg : Shuter &amp; Shooter, 2015.</t>
    </r>
  </si>
  <si>
    <t>Karen Haire, Daniel Sekepe Matjila (2010- September). The Cattle Motif in Sol T. Plaatje’s Publications in English: Re-Storying the African and Batswana Sensibilities. 41(1), 207 - 217. Sage Publications; DS Matjila (2019 - November 29). Sol Plaatje: A Life of Solomon Tshekisho Plaatje, 1876–1932: Brian Willan, 2018. Auckland Park, South Africa: Jacana. ISBN: 978-1-4314-2644-7, 330 - 334, Routledge.</t>
  </si>
  <si>
    <r>
      <rPr>
        <rFont val="Roboto, RobotoDraft, Helvetica, Arial, sans-serif"/>
        <color rgb="FF000000"/>
      </rPr>
      <t xml:space="preserve">Daniel Sekepe </t>
    </r>
    <r>
      <rPr>
        <rFont val="Roboto, RobotoDraft, Helvetica, Arial, sans-serif"/>
        <b/>
        <color rgb="FF000000"/>
      </rPr>
      <t>Matjila</t>
    </r>
    <r>
      <rPr>
        <rFont val="Roboto, RobotoDraft, Helvetica, Arial, sans-serif"/>
        <color rgb="FF000000"/>
      </rPr>
      <t xml:space="preserve"> (2012 - June 1). Poetry and Patronage: The Sociocultural and Historical Vision of Raditladi's Sefalane sa Menate 28 (2), 99 - 113. Taylor &amp; Francis Group (publisher); Daniel S </t>
    </r>
    <r>
      <rPr>
        <rFont val="Roboto, RobotoDraft, Helvetica, Arial, sans-serif"/>
        <b/>
        <color rgb="FF000000"/>
      </rPr>
      <t>Matjila</t>
    </r>
    <r>
      <rPr>
        <rFont val="Roboto, RobotoDraft, Helvetica, Arial, sans-serif"/>
        <color rgb="FF000000"/>
      </rPr>
      <t xml:space="preserve"> (2012 - October 1). Socio-cultural dimensions of Raditladi's poetry: Reflections from images and allusions from selected poems. 32(1), 35 - 41. Taylor &amp; Francis Group (publisher). DS </t>
    </r>
    <r>
      <rPr>
        <rFont val="Roboto, RobotoDraft, Helvetica, Arial, sans-serif"/>
        <b/>
        <color rgb="FF000000"/>
      </rPr>
      <t>Matjila</t>
    </r>
    <r>
      <rPr>
        <rFont val="Roboto, RobotoDraft, Helvetica, Arial, sans-serif"/>
        <color rgb="FF000000"/>
      </rPr>
      <t xml:space="preserve">, Karen Haire (2014 - January 2). Echoes of and affinities with Bogosi (kingship) in the works of Sol T. Plaatje. 34(1), 65- 73, Routledge. Karen Haire, Daniel Sekepe </t>
    </r>
    <r>
      <rPr>
        <rFont val="Roboto, RobotoDraft, Helvetica, Arial, sans-serif"/>
        <b/>
        <color rgb="FF000000"/>
      </rPr>
      <t>Matjila</t>
    </r>
    <r>
      <rPr>
        <rFont val="Roboto, RobotoDraft, Helvetica, Arial, sans-serif"/>
        <color rgb="FF000000"/>
      </rPr>
      <t xml:space="preserve"> (2011). The inaugural Plaatje festival, Mahikeng: A watershed event.Tydskrif vir letterkunde 48(2). Daniel S </t>
    </r>
    <r>
      <rPr>
        <rFont val="Roboto, RobotoDraft, Helvetica, Arial, sans-serif"/>
        <b/>
        <color rgb="FF000000"/>
      </rPr>
      <t>Matjila</t>
    </r>
    <r>
      <rPr>
        <rFont val="Roboto, RobotoDraft, Helvetica, Arial, sans-serif"/>
        <color rgb="FF000000"/>
      </rPr>
      <t xml:space="preserve"> (2019 - September 11). Host and parasite in Setswana Poetry: an intertextual analysis of themes: Protest and Love. Southern African Journal for Folklore Studies 29(1), 1- 16. UNISA Press. DS </t>
    </r>
    <r>
      <rPr>
        <rFont val="Roboto, RobotoDraft, Helvetica, Arial, sans-serif"/>
        <b/>
        <color rgb="FF000000"/>
      </rPr>
      <t>Matjila</t>
    </r>
    <r>
      <rPr>
        <rFont val="Roboto, RobotoDraft, Helvetica, Arial, sans-serif"/>
        <color rgb="FF000000"/>
      </rPr>
      <t xml:space="preserve"> (2015 - November 30). Glorification and castigation of birds through song in Setswana folk stories. Southern African Journal for Folklore Studies 25 (2), 16 - 29. UNISA Press. DS </t>
    </r>
    <r>
      <rPr>
        <rFont val="Roboto, RobotoDraft, Helvetica, Arial, sans-serif"/>
        <b/>
        <color rgb="FF000000"/>
      </rPr>
      <t>Matjila</t>
    </r>
    <r>
      <rPr>
        <rFont val="Roboto, RobotoDraft, Helvetica, Arial, sans-serif"/>
        <color rgb="FF000000"/>
      </rPr>
      <t xml:space="preserve"> (2015 - January 2). Birds as subjects in Setswana folklore: Depiction of their relationship to man. South African Journal of African Languages 35 (1), 105 - 111, Routledge. Daniel S </t>
    </r>
    <r>
      <rPr>
        <rFont val="Roboto, RobotoDraft, Helvetica, Arial, sans-serif"/>
        <b/>
        <color rgb="FF000000"/>
      </rPr>
      <t>Matjila</t>
    </r>
    <r>
      <rPr>
        <rFont val="Roboto, RobotoDraft, Helvetica, Arial, sans-serif"/>
        <color rgb="FF000000"/>
      </rPr>
      <t xml:space="preserve"> (2009 - July 1). Analogy and intertextuality in Setswana oral/written poetic diction. Muziki  6(1), 92- 111, Taylor &amp; Francis Group.</t>
    </r>
  </si>
  <si>
    <t>Melessew Nigussie Gereme</t>
  </si>
  <si>
    <r>
      <rPr/>
      <t xml:space="preserve">Abebe KEBEDE  Jaya Prakash RAJU,  Diriba KORECHA, Samuel TAKELE,  Melessew NIGUSSIE (2019), Drought sensitivity characteristics and relationships between drought indices  over UpperBlue Nile basin, </t>
    </r>
    <r>
      <rPr>
        <i/>
      </rPr>
      <t>JOURNAL OF WATER AND LAND DEVELOPMENT</t>
    </r>
    <r>
      <rPr/>
      <t xml:space="preserve">, https://DOI.org/10.2478/jwld-2019-0064                                                                                                                                                                                                                                               Abebe Kebede, U. J. P. Raju, D. Korecha, M. Nigussie, (2019), Developing new drought indices with and without climate signal information over the Upper Blue Nile, Model. Earth Syst. </t>
    </r>
    <r>
      <rPr>
        <i/>
      </rPr>
      <t>Environ</t>
    </r>
    <r>
      <rPr/>
      <t xml:space="preserve">. (2019). https://doi.org/10.1007/s40808-019-00667-y                                                                                                                                                                                                                                                                                                               T. Dugassa, J. B. Habarulema, Melessew Nigussie, (2019) Spatial gradient of total electron content (TEC) between two nearby stations as indicator of occurrence of ionospheric irregularity DOI: 10.5194/angeo-2018-131.                                                                                                                                                                                                                                                                                                                                                                                      E. Mengistu, M. Moldwin, B. Damtie, M. Nigussie, (2019) The performance of IRI-2016 in the African sector of equatorial ionosphere for different geomagnetic conditions and time scales, </t>
    </r>
    <r>
      <rPr>
        <i/>
      </rPr>
      <t xml:space="preserve">Journal of Atmospheric and Solar-Terrestrial Physics </t>
    </r>
    <r>
      <rPr/>
      <t xml:space="preserve">186 DOI: 10.1016/j.jastp.2019.02.006.                                                                                                                                                                                                                                                                              T. Dugassa, J. B. Habarulema, Melessew Nigussie, (2019) Longitudinal variability of occurrence of ionospheric irregularities over the American, African and Indian regions during geomagnetic storms, </t>
    </r>
    <r>
      <rPr>
        <i/>
      </rPr>
      <t>Advances in Space Research</t>
    </r>
    <r>
      <rPr/>
      <t xml:space="preserve"> 63(8) DOI:10.1016/j.asr.2019.01.001                                                                                                                                                                                                                                                                                            Ambelu Tebabal, S. Radicella, B. Damtie, Yenca Migoya-Orue, M. Nigussie, B. Nava, (2019) Feed forward neural network based ionospheric model for the </t>
    </r>
    <r>
      <rPr>
        <i/>
      </rPr>
      <t>East African regionournal of Atmospheric and Solar-Terrestrial Physics</t>
    </r>
    <r>
      <rPr/>
      <t xml:space="preserve"> 191 DOI:10.1016/j.jastp.2019.05.016                                                                                                                                                                                                                                                                                            Habtamu Marew, Melessew Nigussie, D. Hui, B. Damtie, (2019), A Method of Estimating Equatorial Plasma Vertical Drift Velocity and Its Evaluation Using C/NOFS Observations, </t>
    </r>
    <r>
      <rPr>
        <i/>
      </rPr>
      <t>Radio Science</t>
    </r>
    <r>
      <rPr/>
      <t xml:space="preserve"> ,DOI:10.1029/2019RS006800                                                                                                                                                                                                                                                                                                                                            Ephrem Beshir, Melessew Nigussie, Mark Moldwin, (2019),Characteristics of equatorial nighttime spread F - an analysis on season-longitude, solar activity and triggering causes,</t>
    </r>
    <r>
      <rPr>
        <i/>
      </rPr>
      <t xml:space="preserve"> Advances in Space Research</t>
    </r>
    <r>
      <rPr/>
      <t xml:space="preserve">  DOI:10.1016/j.asr.2019.09.020                                                                                                                                                                                                                                                                                                                                        Daniel Chekole, Nigussie mezgebe Gidy, Melessew Nigussie (2019), Performance of NeQuick-2, RI-Plas 2017 and GIM models over Ethiopia during varying solar activity periods, </t>
    </r>
    <r>
      <rPr>
        <i/>
      </rPr>
      <t>Journal of Atmospheric and Solar-Terrestrial Physics</t>
    </r>
    <r>
      <rPr/>
      <t xml:space="preserve"> 195:105117DOI: 10.1016/j.jastp.2019.105117                                                                                                                                                                                                                                                                    Ambelu T., S. M. Radicella, M. Nigussie, B. Damtie,  (2018), Regional TEC  modeling and forecasting using neural networks, </t>
    </r>
    <r>
      <rPr>
        <i/>
      </rPr>
      <t>Journal of Atmospheric and Solar-Terrestrial Physics</t>
    </r>
    <r>
      <rPr/>
      <t xml:space="preserve"> 172, DOI:10.1016/j.jastp.2018.03.004                                                                                                                                                                                                                                                                                                                                     Mengistu, E., B. Damtie, M. B. Moldwin, M. Nigussie, (2018) Comparison of GPS-TEC measurements with NeQuick2 and IRI model predictions in the low latitude East African region during varying solar activity period (1998 and 2008-2015). </t>
    </r>
    <r>
      <rPr>
        <i/>
      </rPr>
      <t>Advances in Space Research</t>
    </r>
    <r>
      <rPr/>
      <t xml:space="preserve"> DOI: 10.1016/j.asr.2018.01.009                                                                                                                                                                                                                      Seid, A. M., Kendeya, T. B., L., Roininen, M. Nigussie, (2018) Hierarchical Bayesian modeling of ionospheric TEC disturbances as non-stationary processes</t>
    </r>
    <r>
      <rPr>
        <i/>
      </rPr>
      <t>Advances in Space Research</t>
    </r>
    <r>
      <rPr/>
      <t xml:space="preserve">, DOI:10.1016/j.asr.2017.12.009                                                                                                                                                                                                                                                                                                                                                       Tebabal, A., B. Damtie, M. Nigussie, (2017) Temporal variations of solar irradiance since 1947, </t>
    </r>
    <r>
      <rPr>
        <i/>
      </rPr>
      <t>Sol Phys</t>
    </r>
    <r>
      <rPr/>
      <t xml:space="preserve"> (2017) 292: 112. https://doi.org/10.1007/s11207-017-1128-x 16                                                                                                                                           Tesema, F., R. Mesquita, J. Meriwether, B. Damtie, M. Nigussie, J. Makela, D. Fisher, B. Harding, E. Yizengaw, S. Sanders, (2017)  New results on equatorial thermospheric winds and temperatures from Ethiopia, Africa,  Ann. </t>
    </r>
    <r>
      <rPr>
        <i/>
      </rPr>
      <t>Geophy</t>
    </r>
    <r>
      <rPr/>
      <t xml:space="preserve">., 35, 333-344.                                                                                                                                                                                                                                                                                                                                 M. Nigussie, B. Damtie, E. Yizengaw, S. M. Radicella, (2016), Modeling the East African ionosphere ,Ionospheric Space Weather, Longitudinal and Hemispheric Dependences and Lower Atmosphere Forcing Monograph, John Wiley &amp; Sons. Inc. 
Bires, A., L. Roininen, B. Damtie, M. Nigussie, h. Vanhamäki, (2016), Study of TEC Fluctuation via Stochastic Models and Bayesian Inversion, </t>
    </r>
    <r>
      <rPr>
        <i/>
      </rPr>
      <t>Radio Sci</t>
    </r>
    <r>
      <rPr/>
      <t xml:space="preserve">., 51, 11, 1772-1782 19.                                                                                                                                               Nigussie, M., S. Radicella, B. Damtie, E. Yizengaw, B. Nava, L. Roininen,  (2016), Validation of NeQuick TEC data ingestion technique against C/NOFS and EISCAT electron density measurements, </t>
    </r>
    <r>
      <rPr>
        <i/>
      </rPr>
      <t>Radio Sci</t>
    </r>
    <r>
      <rPr/>
      <t>., 51,  7, 905–917 DOI: 10.1002/2015RS005930                                                                                                                                                                                                                                                                                                                                 Beshire, E., M. Nigussie (2016), Investigating the effect of geomagnetic storm and equatorial electrojet on equatorial ionospheric irregularity over East African sector,</t>
    </r>
    <r>
      <rPr>
        <i/>
      </rPr>
      <t xml:space="preserve"> Adv. Space Res</t>
    </r>
    <r>
      <rPr/>
      <t>. http://dx.doi.org/10.1016/j.asr.2016.06.037                                                                                                                                                                                                                                                                                                              Tesema, F., B. Damtie, M. Nigussie, (2015), The response of the  ionosphere to intense geomagnetic storms in 2012 using GPS-TEC data from East Africa longitudinal sector,</t>
    </r>
    <r>
      <rPr>
        <i/>
      </rPr>
      <t xml:space="preserve"> J. Atmos. Sol-Terr. Phys</t>
    </r>
    <r>
      <rPr/>
      <t xml:space="preserve">.135, 143–151, http://dx.doi.org/10.1016/j.jastp.2015.10.021                                                                                                                                                                                                                                                                                                Tebabal, A., B. Damtie, M. Nigussie, A. Biress, E. Yizengaw, (2015), Modeling total solar irradiance from PMOD composite using feed-forward neural networks, </t>
    </r>
    <r>
      <rPr>
        <i/>
      </rPr>
      <t>J. Atmos. Sol-Terr. Phys.</t>
    </r>
    <r>
      <rPr/>
      <t xml:space="preserve">, 135, 64-71, DOI: 10.1016/j.jastp.2015.10.007                                                                                                                                                                                                                                                                                                                                         Asmare, Y., T. Kassa, M. Nigussie, (2014), Validation of IRI-2012 TEC model over Ethiopia during solar minimum (2009) and solar maximum (2013) phases, </t>
    </r>
    <r>
      <rPr>
        <i/>
      </rPr>
      <t>Adv. Space Res.</t>
    </r>
    <r>
      <rPr/>
      <t xml:space="preserve">, 53, 11, 15821594, http://dx.doi.org/10.1016/j.asr.2014.02.017                                                                                                                                                                                                                                                                                                           Nigussie, M., S. Radicella, B. Damtie, B. Nava, E. Yizengaw, K. Groves, (2013) Validation of the NeQuick 2 and IRI-2007 models in East-African equatorial region, </t>
    </r>
    <r>
      <rPr>
        <i/>
      </rPr>
      <t>J. Atmos. Sol-Terr. Phys</t>
    </r>
    <r>
      <rPr/>
      <t xml:space="preserve">., 102, 26–33, http://dx.doi.org/10.1016/j.jastp.2013.04.016                                                                                                                                                                                                                                                                                                           Nigussie, M., S. Radicella, B. Damtie, B. Nava, E. Yizengaw, L. Ciraolo, (2012) TEC ingestion into NeQuick 2 to model the East African equatorial ionosphere, </t>
    </r>
    <r>
      <rPr>
        <i/>
      </rPr>
      <t>Radio Sci.</t>
    </r>
    <r>
      <rPr/>
      <t xml:space="preserve">, 47,5,  DOI: 10.1029/2012RS004981 </t>
    </r>
  </si>
  <si>
    <r>
      <rPr/>
      <t xml:space="preserve">Abebe KEBEDE  Jaya Prakash RAJU,  Diriba KORECHA, Samuel TAKELE,  Melessew NIGUSSIE (2019), Drought sensitivity characteristics and relationships between drought indices  over UpperBlue Nile basin, </t>
    </r>
    <r>
      <rPr>
        <i/>
      </rPr>
      <t>JOURNAL OF WATER AND LAND DEVELOPMENT,</t>
    </r>
    <r>
      <rPr/>
      <t xml:space="preserve"> https://DOI.org/10.2478/jwld-2019-0064   </t>
    </r>
    <r>
      <rPr>
        <color rgb="FFFF0000"/>
      </rPr>
      <t xml:space="preserve">(moved to peer-reviewed)   </t>
    </r>
    <r>
      <rPr/>
      <t xml:space="preserve">                                                                                                                                                                                                                                           Abebe Kebede, U. J. P. Raju, D. Korecha, M. Nigussie, (2019), Developing new drought indices with and without climate signal information over the Upper Blue Nile, Model. Earth Syst. </t>
    </r>
    <r>
      <rPr>
        <i/>
      </rPr>
      <t>Environ</t>
    </r>
    <r>
      <rPr/>
      <t xml:space="preserve">. (2019). https://doi.org/10.1007/s40808-019-00667-y  </t>
    </r>
    <r>
      <rPr>
        <color rgb="FFFF0000"/>
      </rPr>
      <t xml:space="preserve">(moved to peer-reviewed)    </t>
    </r>
    <r>
      <rPr/>
      <t xml:space="preserve">                                                                                                                                                                                                                                                                                                         T. Dugassa, J. B. Habarulema, Melessew Nigussie, (2019) Spatial gradient of total electron content (TEC) between two nearby stations as indicator of occurrence of ionospheric irregularity DOI: 10.5194/angeo-2018-131.</t>
    </r>
    <r>
      <rPr>
        <color rgb="FFFF0000"/>
      </rPr>
      <t xml:space="preserve"> (moved to peer-reviewd) </t>
    </r>
    <r>
      <rPr/>
      <t xml:space="preserve">                                                                                                                                                                                                                                                                                                                                                                                E. Mengistu, M. Moldwin, B. Damtie, M. Nigussie, (2019) The performance of IRI-2016 in the African sector of equatorial ionosphere for different geomagnetic conditions and time scales, Journal of Atmospheric and Solar-Terrestrial Physics 186 DOI: 10.1016/j.jastp.2019.02.006.</t>
    </r>
    <r>
      <rPr>
        <color rgb="FFFF0000"/>
      </rPr>
      <t xml:space="preserve"> (moved to peer-reviewed) </t>
    </r>
    <r>
      <rPr/>
      <t xml:space="preserve">                                                                                                                                                                                                                                                                           T. Dugassa, J. B. Habarulema, Melessew Nigussie, (2019) Longitudinal variability of occurrence of ionospheric irregularities over the American, African and Indian regions during geomagnetic storms, Advances in Space Research 63(8) DOI:10.1016/j.asr.2019.01.001 </t>
    </r>
    <r>
      <rPr>
        <color rgb="FFFF0000"/>
      </rPr>
      <t xml:space="preserve">(moved to peer-reviewed)     </t>
    </r>
    <r>
      <rPr/>
      <t xml:space="preserve">                                                                                                                                                                                                                                                                                       Ambelu Tebabal, S. Radicella, B. Damtie, Yenca Migoya-Orue, M. Nigussie, B. Nava, (2019) Feed forward neural network based ionospheric model for the East African regionournal of Atmospheric and Solar-Terrestrial Physics 191 DOI:10.1016/j.jastp.2019.05.016 </t>
    </r>
    <r>
      <rPr>
        <color rgb="FFFF0000"/>
      </rPr>
      <t xml:space="preserve">(can't identify)     </t>
    </r>
    <r>
      <rPr/>
      <t xml:space="preserve">                                                                                                                                                                                                                                                                                       Habtamu Marew, Melessew Nigussie, D. Hui, B. Damtie, (2019), A Method of Estimating Equatorial Plasma Vertical Drift Velocity and Its Evaluation Using C/NOFS Observations, </t>
    </r>
    <r>
      <rPr>
        <i/>
      </rPr>
      <t>Radio Scienc</t>
    </r>
    <r>
      <rPr/>
      <t xml:space="preserve">e ,DOI:10.1029/2019RS006800 </t>
    </r>
    <r>
      <rPr>
        <color rgb="FFFF0000"/>
      </rPr>
      <t xml:space="preserve">(moved to peer-reviewed)  </t>
    </r>
    <r>
      <rPr/>
      <t xml:space="preserve">                                                                                                                                                                                                                                                                                                                                         Ephrem Beshir, Melessew Nigussie, Mark Moldwin, (2019),Characteristics of equatorial nighttime spread F - an analysis on season-longitude, solar activity and triggering causes, </t>
    </r>
    <r>
      <rPr>
        <i/>
      </rPr>
      <t>Advances in Space Research</t>
    </r>
    <r>
      <rPr/>
      <t xml:space="preserve">  DOI:10.1016/j.asr.2019.09.020 </t>
    </r>
    <r>
      <rPr>
        <color rgb="FFFF0000"/>
      </rPr>
      <t xml:space="preserve"> (moved to peer-reviewed)   </t>
    </r>
    <r>
      <rPr/>
      <t xml:space="preserve">                                                                                                                                                                                                                                                                                                                                    Daniel Chekole, Nigussie mezgebe Gidy, Melessew Nigussie (2019), Performance of NeQuick-2, RI-Plas 2017 and GIM models over Ethiopia during varying solar activity periods, </t>
    </r>
    <r>
      <rPr>
        <i/>
      </rPr>
      <t>Journal of Atmospheric and Solar-Terrestrial Physics</t>
    </r>
    <r>
      <rPr/>
      <t xml:space="preserve"> 195:105117DOI: 10.1016/j.jastp.2019.105117</t>
    </r>
    <r>
      <rPr>
        <color rgb="FFFF0000"/>
      </rPr>
      <t xml:space="preserve">  (moved to peer-reviewed)  </t>
    </r>
    <r>
      <rPr/>
      <t xml:space="preserve">                                                                                                                                                                                                                                                                  Ambelu T., S. M. Radicella, M. Nigussie, B. Damtie,  (2018), Regional TEC  modeling and forecasting using neural networks, </t>
    </r>
    <r>
      <rPr>
        <i/>
      </rPr>
      <t>Journal of Atmospheric and Solar-Terrestrial Physics</t>
    </r>
    <r>
      <rPr/>
      <t xml:space="preserve"> 172, DOI:10.1016/j.jastp.2018.03.004 </t>
    </r>
    <r>
      <rPr>
        <color rgb="FFFF0000"/>
      </rPr>
      <t xml:space="preserve"> (moved to peer-reviewed)  </t>
    </r>
    <r>
      <rPr/>
      <t xml:space="preserve">                                                                                                                                                                                                                                                                                                                                  Mengistu, E., B. Damtie, M. B. Moldwin, M. Nigussie, (2018) Comparison of GPS-TEC measurements with NeQuick2 and IRI model predictions in the low latitude East African region during varying solar activity period (1998 and 2008-2015). </t>
    </r>
    <r>
      <rPr>
        <i/>
      </rPr>
      <t>Advances in Space Research</t>
    </r>
    <r>
      <rPr/>
      <t xml:space="preserve"> DOI: 10.1016/j.asr.2018.01.009 </t>
    </r>
    <r>
      <rPr>
        <color rgb="FFFF0000"/>
      </rPr>
      <t xml:space="preserve"> (moved to peer-reviewed) </t>
    </r>
    <r>
      <rPr/>
      <t xml:space="preserve">                                                                                                                                                                                                                      Seid, A. M., Kendeya, T. B., L., Roininen, M. Nigussie, (2018) Hierarchical Bayesian modeling of ionospheric TEC disturbances as non-stationary processesAdvances in Space Research, DOI:10.1016/j.asr.2017.12.009 </t>
    </r>
    <r>
      <rPr>
        <color rgb="FFFF0000"/>
      </rPr>
      <t xml:space="preserve">(can't identify) </t>
    </r>
    <r>
      <rPr/>
      <t xml:space="preserve">                                                                                                                                                                                                                                                                                                                                                         Tebabal, A., B. Damtie, M. Nigussie, (2017) Temporal variations of solar irradiance since 1947, Sol Phys (2017) 292: 112. https://doi.org/10.1007/s11207-017-1128-x 16 </t>
    </r>
    <r>
      <rPr>
        <color rgb="FFFF0000"/>
      </rPr>
      <t>(moved to peer-reviewed)</t>
    </r>
    <r>
      <rPr/>
      <t xml:space="preserve">                                                                                                                                                                                                                                                                                                                  Tesema, F., R. Mesquita, J. Meriwether, B. Damtie, M. Nigussie, J. Makela, D. Fisher, B. Harding, E. Yizengaw, S. Sanders, (2017)  New results on equatorial thermospheric winds and temperatures from Ethiopia, Africa,  </t>
    </r>
    <r>
      <rPr>
        <i/>
      </rPr>
      <t>Ann. Geophy.</t>
    </r>
    <r>
      <rPr/>
      <t xml:space="preserve">, 35, 333-344. </t>
    </r>
    <r>
      <rPr>
        <color rgb="FFFF0000"/>
      </rPr>
      <t xml:space="preserve">(moved to peer-reviewed) </t>
    </r>
    <r>
      <rPr/>
      <t xml:space="preserve">                                                                                                                                                                                                                                                                                                                                M. Nigussie, B. Damtie, E. Yizengaw, S. M. Radicella, (2016), Modeling the East African ionosphere ,Ionospheric Space Weather, Longitudinal and Hemispheric Dependences and Lower Atmosphere Forcing Monograph, John Wiley &amp; Sons. Inc. </t>
    </r>
    <r>
      <rPr>
        <color rgb="FFFF0000"/>
      </rPr>
      <t>(can't identify</t>
    </r>
    <r>
      <rPr/>
      <t>)
Bires, A., L. Roininen, B. Damtie, M. Nigussie, h. Vanhamäki, (2016), Study of TEC Fluctuation via Stochastic Models and Bayesian Inversion, Radio Sci., 51, 11, 1772-1782 19 (</t>
    </r>
    <r>
      <rPr>
        <color rgb="FFFF0000"/>
      </rPr>
      <t xml:space="preserve">moved to peer-reviewed).                                                                                                                                                                                                                                                                                                         </t>
    </r>
    <r>
      <rPr/>
      <t xml:space="preserve">Nigussie, M., S. Radicella, B. Damtie, E. Yizengaw, B. Nava, L. Roininen,  (2016), Validation of NeQuick TEC data ingestion technique against C/NOFS and EISCAT electron density measurements, </t>
    </r>
    <r>
      <rPr>
        <i/>
      </rPr>
      <t>Radio Sci.</t>
    </r>
    <r>
      <rPr/>
      <t xml:space="preserve">, 51,  7, 905–917 DOI: 10.1002/2015RS005930  </t>
    </r>
    <r>
      <rPr>
        <color rgb="FFFF0000"/>
      </rPr>
      <t>(moved to peer-reviewed</t>
    </r>
    <r>
      <rPr/>
      <t xml:space="preserve">)                                                                                                                                                                                                                                                                                                                               Beshire, E., M. Nigussie (2016), Investigating the effect of geomagnetic storm and equatorial electrojet on equatorial ionospheric irregularity over East African sector, </t>
    </r>
    <r>
      <rPr>
        <i/>
      </rPr>
      <t xml:space="preserve">Adv. Space Res. </t>
    </r>
    <r>
      <rPr/>
      <t>http://dx.doi.org/10.1016/j.asr.2016.06.037   (</t>
    </r>
    <r>
      <rPr>
        <color rgb="FFFF0000"/>
      </rPr>
      <t>moved to peer-reviewed</t>
    </r>
    <r>
      <rPr/>
      <t xml:space="preserve">)                                                                                                                                                                                                                                                                                                            Tesema, F., B. Damtie, M. Nigussie, (2015), The response of the  ionosphere to intense geomagnetic storms in 2012 using GPS-TEC data from East Africa longitudinal sector, </t>
    </r>
    <r>
      <rPr>
        <i/>
      </rPr>
      <t>J. Atmos. Sol-Terr. Phys</t>
    </r>
    <r>
      <rPr/>
      <t>.135, 143–151, http://dx.doi.org/10.1016/j.jastp.2015.10.021   (</t>
    </r>
    <r>
      <rPr>
        <color rgb="FFFF0000"/>
      </rPr>
      <t>moved to peer-reviewed)</t>
    </r>
    <r>
      <rPr/>
      <t xml:space="preserve">                                                                                                                                                                                                                                                                                              Tebabal, A., B. Damtie, M. Nigussie, A. Biress, E. Yizengaw, (2015), Modeling total solar irradiance from PMOD composite using feed-forward neural networks,</t>
    </r>
    <r>
      <rPr>
        <i/>
      </rPr>
      <t xml:space="preserve"> J. Atmos. Sol-Terr. Phys</t>
    </r>
    <r>
      <rPr/>
      <t>., 135, 64-71, DOI: 10.1016/j.jastp.2015.10.007   (</t>
    </r>
    <r>
      <rPr>
        <color rgb="FFFF0000"/>
      </rPr>
      <t>moved to peer-reviewed)</t>
    </r>
    <r>
      <rPr/>
      <t xml:space="preserve">                                                                                                                                                                                                                                                                                                                                       Asmare, Y., T. Kassa, M. Nigussie, (2014), Validation of IRI-2012 TEC model over Ethiopia during solar minimum (2009) and solar maximum (2013) phases,</t>
    </r>
    <r>
      <rPr>
        <i/>
      </rPr>
      <t xml:space="preserve"> Adv. Space Res.</t>
    </r>
    <r>
      <rPr/>
      <t>, 53, 11, 15821594, http://dx.doi.org/10.1016/j.asr.2014.02.017     (</t>
    </r>
    <r>
      <rPr>
        <color rgb="FFFF0000"/>
      </rPr>
      <t>moved to peer-reviewed</t>
    </r>
    <r>
      <rPr/>
      <t xml:space="preserve">)                                                                                                                                                                                                                                                                                                       Nigussie, M., S. Radicella, B. Damtie, B. Nava, E. Yizengaw, K. Groves, (2013) Validation of the NeQuick 2 and IRI-2007 models in East-African equatorial region, </t>
    </r>
    <r>
      <rPr>
        <i/>
      </rPr>
      <t>J. Atmos. Sol-Terr. Phys.</t>
    </r>
    <r>
      <rPr/>
      <t>, 102, 26–33, http://dx.doi.org/10.1016/j.jastp.2013.04.016 (</t>
    </r>
    <r>
      <rPr>
        <color rgb="FFFF0000"/>
      </rPr>
      <t>moved to peer-reviewed</t>
    </r>
    <r>
      <rPr/>
      <t xml:space="preserve">)                                                                                                                                                                                                                                                                                                           Nigussie, M., S. Radicella, B. Damtie, B. Nava, E. Yizengaw, L. Ciraolo, (2012) TEC ingestion into NeQuick 2 to model the East African equatorial ionosphere, </t>
    </r>
    <r>
      <rPr>
        <i/>
      </rPr>
      <t>Radio Sci.</t>
    </r>
    <r>
      <rPr/>
      <t>, 47,5,  DOI: 10.1029/2012RS004981 (</t>
    </r>
    <r>
      <rPr>
        <color rgb="FFFF0000"/>
      </rPr>
      <t>moved to peer-reviewed</t>
    </r>
    <r>
      <rPr/>
      <t>)</t>
    </r>
  </si>
  <si>
    <t>Mensah, Abraham</t>
  </si>
  <si>
    <t>1.  DICKSON, R. A, ANNAN, K. &amp; MENSAH A. Y. (2012) Toxicity problems associated with Herbs In Herbal Drugs A Modern Approach to understand them Better Ed. SUBHASH C MANDAL pp. 436-443                                                                                                                                                                                                                                                    2.HOUGHTON P.J. &amp; MENSAH A.Y. (1999) Biologically-active compounds from Buddleja species. In Phytochemicals in Human Health Protection, Nutrition and Plant Defense Recent Advances in Phytochemistry 33 Ed. J.T. ROMEO, Kluwer Academic/Plenum, New York pp. 343-368.</t>
  </si>
  <si>
    <r>
      <rPr/>
      <t xml:space="preserve">1. ASANTE-KWATIA, E., MENSAH, A.Y., FRIMPONG, M.B. &amp; ASOMANING, G.A., (2019). Quality control standardization of the leaves and root of Landolphia owariensis (Apocynaceae). </t>
    </r>
    <r>
      <rPr>
        <i/>
      </rPr>
      <t>Journal of Phytopharmacology</t>
    </r>
    <r>
      <rPr/>
      <t xml:space="preserve">. 8(4): 185-191. 
2. FRIMPONG, M.B., ASANTE-KWATIA, E., MENSAH, A.Y., SAM, G.H &amp; AMPONSAH, I.K., (2018). Pharmacognostic characterization and development of standardization parameters for the quality control of Entada africana Guill. &amp; Perr.  </t>
    </r>
    <r>
      <rPr>
        <i/>
      </rPr>
      <t>Journal of Applied Research on Medicinal and Aromatic Plants.</t>
    </r>
    <r>
      <rPr/>
      <t xml:space="preserve"> 10.1016/j.jarmap.2018.11.003. 
3. MIREKU, E. A., MENSAH, A.Y., AMPONSAH, I. K., DANQUAH, C. A., ANOKWAH, D. &amp; BAAH, M., K (2018) Antimicrobial pentacyclic triterpenes and glycosides from the stem bark of Cussonia bancoensis. </t>
    </r>
    <r>
      <rPr>
        <i/>
      </rPr>
      <t>Natural Products Research</t>
    </r>
    <r>
      <rPr/>
      <t xml:space="preserve">. </t>
    </r>
    <r>
      <rPr>
        <color rgb="FF1155CC"/>
        <u/>
      </rPr>
      <t>doi.org/10.1080/14786419.2018.1503262</t>
    </r>
    <r>
      <rPr/>
      <t xml:space="preserve">.
4. MBATCHOU, V. C., DICKSON, R.A., AMPONSAH, I. K., MENSAH, A.Y., &amp; HABTEMARIAM, S. (2018) Protection effect of the anthraquinones, cassiatorin and aurantio-obtusin from seeds of Senna tora against cowpea weevil attack. Asian Pacific </t>
    </r>
    <r>
      <rPr>
        <i/>
      </rPr>
      <t>Journal of Tropical Biomedicine,</t>
    </r>
    <r>
      <rPr/>
      <t xml:space="preserve"> 8(2): 98-105. 
5. ARMAH, F. A., AMPONSAH, I. K., MENSAH, A.Y., DICKSON, R.A., STEENKAMP, P.A., MADALA, N.E. &amp; ADOKOH. (2018) Leishmanicidal activity of the root bark of Erythrophleum ivorense (Fabaceae) and the identification of some of its compounds by ultr-performance liquid chromatography quadrupole time of flight mass spectrometry (UPLC-QTOF-MS/MS) </t>
    </r>
    <r>
      <rPr>
        <i/>
      </rPr>
      <t>Journal of Ethnopharmacology</t>
    </r>
    <r>
      <rPr/>
      <t xml:space="preserve"> , 211:207-216
6. MIREKU-GYIMAH, N. A., SARPONG, K., AMPONSAH, I. K., MENSAH, A.Y., DICKSON, R.A., (2018) Comparative Pharmacognostic Studies of two Ghanaian Medicinal Plants: Saba senegalensis and Saba thompsonii. </t>
    </r>
    <r>
      <rPr>
        <i/>
      </rPr>
      <t>International Journal of Pharmaceutical Sciences and Research</t>
    </r>
    <r>
      <rPr/>
      <t xml:space="preserve"> 9(4): 100-12.doi: 10.13040/IJPSR.0975-8232.9(4):1000-12. 
7.  MBATCHOU, V. C., TCHOUASSI, D. P., DICKSON, R.A., ANNAN, K., MENSAH, A.Y AMPONSAH, I. K., JACOBS, J.W., CHESETO., X., HABTEMARIAM, S. &amp; TORTO, B. (2017) Mosquito larvicidal activity of Cassia tora seed extract and its key anthraquinones aurantio-obtusin and obtusin. </t>
    </r>
    <r>
      <rPr>
        <i/>
      </rPr>
      <t xml:space="preserve">Parasites and Vectors </t>
    </r>
    <r>
      <rPr/>
      <t xml:space="preserve">DOI 10.1186/s13071-017-2512-y . 
8.  TETTEH, A.W., MENSAH, M.L., BOADU, K.O., THOMFORD, K.P., AGYEMANG, M.O., ANNAN, K., DICKSON, R., MENSAH, A.Y., AMPOSAH, I.K., EKUADZI, E. AND OWUSU-ANSAH, E.D. (2017) Clinical Evaluation of the Safety and Effectiveness of Adutwumwaa Malamix: A Polyherbal Product for the Treatment of Uncomplicated Malaria in Ghana. </t>
    </r>
    <r>
      <rPr>
        <i/>
      </rPr>
      <t>Journal of Applied Pharmaceutical Science</t>
    </r>
    <r>
      <rPr/>
      <t xml:space="preserve">, 7(07):040-045. 
9.  MIREKU, E. A., MENSAH, A.Y., MENSAH, M. L. K., AMPONSAH, I. K. &amp; MINTAH, D. N. (2017) Phytochemical constituents and anti-oxidative properties of Landolphia heudelotti roots </t>
    </r>
    <r>
      <rPr>
        <i/>
      </rPr>
      <t>International Journal Pharmaceutical Sciences and Research</t>
    </r>
    <r>
      <rPr/>
      <t xml:space="preserve">, 8(7) 2862-2866.                                                                                                                                                                                                                                                                                               10.  RAMOS, E.K., AMPOFO, E. K., MENSAH, A. Y., SARPONG, F.M. &amp; AMPONSAH, I.K., (2017) Anti-inflammatory and anti-oxidant activity of Dialium dinklagei Harms. (Leguminosae) </t>
    </r>
    <r>
      <rPr>
        <i/>
      </rPr>
      <t>World Journal of Pharmaceutical Sciences</t>
    </r>
    <r>
      <rPr/>
      <t xml:space="preserve">, 5(4): 6-12. 
11.  MIREKU, E. A., MENSAH, M. L. K. &amp; MENSAH, A.Y. (2016) Prenylated indole alkaloids from the stem bark of Hexalobus monopetalus. </t>
    </r>
    <r>
      <rPr>
        <i/>
      </rPr>
      <t>Phytochemistry letters</t>
    </r>
    <r>
      <rPr/>
      <t xml:space="preserve">, 16:108-114. Doi: 10.1016/j.phytol.2016.03.012. 
Page 7 of 19  CV of Prof Abraham Yeboah Mensah. 
12. PARK, S. R., TRIPATHI, A., WU, J.,   SCHULTZ, P., YIM, I., MCQUADE, T.J., YU, F., AREVANG, C. MENSAH A.Y., TAMAYO-CASTILLO, G., XI, C &amp; SHERMAN, D. H. (2016) Discovery of Cahuitamycins as biofilm inhibitors derived from a convergent biosynthetic pathway. </t>
    </r>
    <r>
      <rPr>
        <i/>
      </rPr>
      <t>Nature Communications</t>
    </r>
    <r>
      <rPr/>
      <t xml:space="preserve"> 7:10710 Doi:10.1038/ncomms10710. 
13. ANOKWAH, D., MENSAH, A. Y., AMPONSAH, I.K., MIREKU, E. A., &amp; MINTAH, D.N. (2016) Anti-inflammatory, anti-oxidant and antimicrobial activities of the stem bark of Psydrax subcordata Pharmacia Lettre, 8(20):21-28. 
14.  AMPONSAH, I.K., MENSAH, A. Y., AMPOFO, E. K, BEKOE, S.O. SARPONG, F. M., &amp; JIBIRA Y (2016) Pharmacognostic studies of the leaves and seeds of Cassia occidentalis (Linn.) (Leguminosae) </t>
    </r>
    <r>
      <rPr>
        <i/>
      </rPr>
      <t>Journal of Pharmacognosy and Phytochemistry,</t>
    </r>
    <r>
      <rPr/>
      <t xml:space="preserve"> 5 (3): 250-256. 
15.  ARMAH, F.A., ANNAN, K., DICKSON, R.A., MENSAH, A.Y., AMEYAW, E.O. &amp; ANING, A.A. (2016) Anti-leishmanial, anti-inflammatory and antioxidant potential of Omphalocarpum ahia </t>
    </r>
    <r>
      <rPr>
        <i/>
      </rPr>
      <t>A. Chev Der Pharmacia Lettre</t>
    </r>
    <r>
      <rPr/>
      <t xml:space="preserve">, 8(2):161-168. 
16.  AMPONSAH, I.K., ORMAN, E., MENSAH, A.Y., SARPONG, F.M., ARMAH, F.A.  &amp; SARPONG, L. M. (2016) Development and validation of a radical scavenging antioxidant assay using potassium permanganate. </t>
    </r>
    <r>
      <rPr>
        <i/>
      </rPr>
      <t>Journal of Scientific &amp; Innovative Research,</t>
    </r>
    <r>
      <rPr/>
      <t xml:space="preserve"> 5(2):36-42. 
17.  KUMATHIA, E.K., ANNAN, K., DICKSON, R.A., MENSAH, A. Y., AMPONSAH, I.K., APPIAH, A.A., TUNG, N.H., TUNG, N.H., OCLOO, A. &amp; HABTEMARIAM S. (2016) Anti-inflammatory and analgesic activities of Annickia polycarpa stem bark and its constituents</t>
    </r>
    <r>
      <rPr>
        <i/>
      </rPr>
      <t xml:space="preserve"> Der Pharmacia Lettre</t>
    </r>
    <r>
      <rPr/>
      <t xml:space="preserve">, 8(12):42-52.  
18.  MIREKU, E. A., KUSARI, S., ECKELMANN, D., MENSAH, A.Y., TALONTSI, F. M., SPITELLER, M. (2015) Anti-inflammatory tirucallane triterpenoids from Anopyxis klaineana pierre (Engl.), (Rhizophoraceae) </t>
    </r>
    <r>
      <rPr>
        <i/>
      </rPr>
      <t>Fitoterapia</t>
    </r>
    <r>
      <rPr/>
      <t xml:space="preserve">, 106: 84-91. 
19.  ARMAH, F. A., ANNAN, K, MENSAH, A.Y., AMPONSAH, I.K., TOCHER, D.A. &amp; HABTEMARIAM, S. (2015) Erythroivorensin: A novel diterpene from the root-bark of Erythrophleum ivorense (A Chev.) </t>
    </r>
    <r>
      <rPr>
        <i/>
      </rPr>
      <t>Fitoterapia</t>
    </r>
    <r>
      <rPr/>
      <t xml:space="preserve">, 105: 37-42. 
20.  JACKSON, B. N., ANNAN, K, MENSAH, A.Y., EKUADZI, E., MENSAH, M.L.K, &amp; HABTEMARIAM, S. (2015) A novel triterpene from the roots of Paullinia pinnata: 6-(3’-methoxy-4’hydroxybenzoyl)-lup-20(29)-ene-3-one. </t>
    </r>
    <r>
      <rPr>
        <i/>
      </rPr>
      <t>Natural Products Communications</t>
    </r>
    <r>
      <rPr/>
      <t xml:space="preserve">, 10(4): 563-564.  
21.  TURKSON, B.K., KOFI, P.O., ACHAAB, E., WOYOME, Y., MENSAH, M.L.K., SARPONG, K., FLEISCHER, T., AMPONSAH, I.K., EKUADZI, E., DICKSON, R, MENSAH, A.Y. &amp; ANNAN, K. (2015) Clinical Evaluation of the Effectiveness and Safety of Mist Amen Fevermix, a Ghanaian Bi-herbal Products, Used in the Management of Uncomplicated Malaria.  </t>
    </r>
    <r>
      <rPr>
        <i/>
      </rPr>
      <t>Journal of Natural Sciences Research</t>
    </r>
    <r>
      <rPr/>
      <t xml:space="preserve">, 5(10): 1-7. age 8 of 19  CV of Prof Abraham Yeboah Mensah.
22.  MIREKU, E.A., MENSAH, A.Y., MENSAH, M.L.K, TOCHER, D. A. &amp; HABTEMARIAM, S. (2014) Anti-inflammatory Properties of the Stem-bark of Anopyxis klaineana and its Major Constituent, Methyl Angolensate  </t>
    </r>
    <r>
      <rPr>
        <i/>
      </rPr>
      <t>Phytotherapy Research</t>
    </r>
    <r>
      <rPr/>
      <t xml:space="preserve">, 28: 1855-1860. 
23. AMPONSAH, I.K., MENSAH, A.Y., OTOO, A., MENSAH, M.L.K. &amp; JATO, J. (2014) Pharmacognostic standardisation of Hilleria latifolia (Lam.) H. Walt (Phytolaccaceae) </t>
    </r>
    <r>
      <rPr>
        <i/>
      </rPr>
      <t>Asian Pacific Journal of Tropical Biomedicine</t>
    </r>
    <r>
      <rPr/>
      <t xml:space="preserve">, 4(22): 941- 946. 
24.  MIREKU, E. A., MENSAH, A.Y., MENSAH, M.L.K., EKUADZI, E. &amp; DICKSON, R.A. (2014) Antimicrobial and antioxidant activities of the stem bark of Cussonia bancoensis </t>
    </r>
    <r>
      <rPr>
        <i/>
      </rPr>
      <t>Journal of Medical and Biomedical Sciences</t>
    </r>
    <r>
      <rPr/>
      <t xml:space="preserve"> 3(2): 7-13. 
25.  MENSAH, A.Y., MIREKU, E.A., MENSAH, M.L.K, OPPONG-DAMOAH, A. &amp; AMPONSAH, I.K. (2014) Anti-inflammatory and antioxidant activities of Commelina diffusa (Commelinaceae) </t>
    </r>
    <r>
      <rPr>
        <i/>
      </rPr>
      <t>World Journal of Pharmaceutical Science,</t>
    </r>
    <r>
      <rPr/>
      <t xml:space="preserve"> 2(10): 1159-1165. 
26. MENSAH, A. Y., MIREKU, E., MENSAH, M.L.K., &amp; AMPONSAH, I.K. (2014) Some neurological effects of the ethanolic stem bark extract of Cussonia bancoensis Aubrev and Pellgr (Araliaceae) </t>
    </r>
    <r>
      <rPr>
        <i/>
      </rPr>
      <t>Journal of Pharmacognosy and Phytochemistry</t>
    </r>
    <r>
      <rPr/>
      <t xml:space="preserve">, 2 (6): 101-106.                                                                                                                                                                                                                                                                                                                                  27. AMPONSAH, I.K., FLEISCHER T.C., ANNAN, K, DICKSON, R.A., MENSAH A.Y. &amp; SARPONG F.M. (2013) Anti-inflammatory, antioxidant and antimicrobial activity of the stem bark extract and fractions of Ficus exasperata Vahl. (Moraceae) </t>
    </r>
    <r>
      <rPr>
        <i/>
      </rPr>
      <t>Journal of Pharmacognosy and Phytochemistry</t>
    </r>
    <r>
      <rPr/>
      <t xml:space="preserve">, 2 (3): 38-44.                                                                                                                                                                                                                                                        28.  KOFFOUR, G. A., WOODE E. AND MENSAH A.Y. (2011) Neurobehavioral and Safety Evaluation of a Polyherbal Antihypertensive Mixture in Ghana. </t>
    </r>
    <r>
      <rPr>
        <i/>
      </rPr>
      <t>European Journal of Experimental Biology</t>
    </r>
    <r>
      <rPr/>
      <t xml:space="preserve">, 1 (3):20-30.                                                                                                                                                                                                    29. MENSAH, A.Y., BONSU, A.S. &amp; FLEISCHER, T.C. (2011) Investigation of the bronchodilator activity of Abrus precatorius. </t>
    </r>
    <r>
      <rPr>
        <i/>
      </rPr>
      <t>International Journal of Pharmaceutical Sciences Review and Research</t>
    </r>
    <r>
      <rPr/>
      <t xml:space="preserve">, 6(2):9-13.                                                                                                                                                                                                                                                                                                                                                                  30. MENSAH A.Y., DONKOR P.O. AND FLEISCHER T.C. (2011) Anti-inflammatory and antioxidant activities of the leaves of Wissadula amplissima var rostrata. African Journal of Traditional, </t>
    </r>
    <r>
      <rPr>
        <i/>
      </rPr>
      <t>Complementary and Alternative Medicine</t>
    </r>
    <r>
      <rPr/>
      <t xml:space="preserve">, 8(2):185-195.                                                                                                                                                                                                                                                                                                                            
31.. JULIANI, H.R., SIMON, J.E., QUANSAH, C., ASARE, E., AKROMAH, R., ACQUAYE, D. ASANTEDARTEY, R., MENSAH, M.L.K., FLEISCHER. T.C., DICKSON, R. A., ANNAN, K AND MENSAH A.Y. (2008) Chemical diversity of Lippia Multiflora essential oils from West Africa. </t>
    </r>
    <r>
      <rPr>
        <i/>
      </rPr>
      <t>Journal of Essential Oil Research</t>
    </r>
    <r>
      <rPr/>
      <t xml:space="preserve">, 20: 49-55.                                                                                                                                                                                                                                                                                                                                                                                                                                                                                                                                                   32.  WOODE E., AINOOSON, G.K., BOAKYE-GYASI, E., ANSAH, C., OBIRI, D.D., KOFFOUR, G.A., MENSAH A.Y. &amp; DUWEIJUA, M. (2008) Anti-arthritic and antioxidant properties of the ethanolic stem extract of Newbouldia laevis (P. Beauv.) Seaman ex Bureau (Bignoniaceae) </t>
    </r>
    <r>
      <rPr>
        <i/>
      </rPr>
      <t>Journal of Medicinal plants Research,</t>
    </r>
    <r>
      <rPr/>
      <t xml:space="preserve"> 2(8): 180-188.                                                                                                                                                                                                                                                                                                                                                                                                                                                                                                                                    33. FLEISCHER, T.C., MENSAH, M.L.K., MENSAH, A.Y., KOMLAGA, G., GBEDEMA, S.Y. &amp; SKALTSA, H. (2008) Antimicrobial activity of essential oils of Xylopia aethiopica </t>
    </r>
    <r>
      <rPr>
        <i/>
      </rPr>
      <t>African Journal of Traditional, Complementary and Alternative Medicines</t>
    </r>
    <r>
      <rPr/>
      <t xml:space="preserve">, 5(4): 391-393.                                                                                                                                                                                                                                                                                                                    34. WOODE, E., ANSAH, C., AINOOSON, G.K., ABOTSI, W.M.K, MENSAH, A.Y. &amp; DUWIEJUA, M. (2007) Anti-inflammatory and antioxidant properties of the root extract of Carissa edulis (Forsk.) Vahl (Apocynaceae) </t>
    </r>
    <r>
      <rPr>
        <i/>
      </rPr>
      <t xml:space="preserve">Journal of Science and Technology </t>
    </r>
    <r>
      <rPr/>
      <t xml:space="preserve">(Ghana), 27 (3): 5-15.                                                                                                                                                                                                                                                                                            35. MENSAH, A.Y., HOUGHTON, P.J., AGYARE, C., KOMLAGA, G., MENSAH, M. L.K., FLEISCHER, T.C. AND SARPONG G. (2006) Investigation of activities related to wound healing of Secamone afzelii. </t>
    </r>
    <r>
      <rPr>
        <i/>
      </rPr>
      <t>Journal of Science and Technology</t>
    </r>
    <r>
      <rPr/>
      <t xml:space="preserve"> (Ghana), 26 (3): 83-89.                                                                                                                                                                                                                                                                                                                                  36. MENSAH, A.Y., HOUGHTON, P.J., DICKSON, R. A., FLEISCHER. T.C., HEINRICH, M., BREMNER, P. (2006) In vitro evaluation of effects of two Ghanaian plants relevant to wound healing. </t>
    </r>
    <r>
      <rPr>
        <i/>
      </rPr>
      <t>Phytotherapy Research,</t>
    </r>
    <r>
      <rPr/>
      <t xml:space="preserve"> 20 (11):941-944.                                                                                                                                                                                                                                                                                                                                                                         37. FLEISCHER, T.C., KOMLAGA, G., MENSAH, A.Y., MENSAH, M.L.K., WOODE, E., SAWER, I.K., GREY, A.I. (2006) Flavonoid constituents of the mature fruit of Tetrapleura tetraptera </t>
    </r>
    <r>
      <rPr>
        <i/>
      </rPr>
      <t>Journal of Science and Technology</t>
    </r>
    <r>
      <rPr/>
      <t xml:space="preserve"> (Ghana), 26 (1): 41-47.                                                                                                                                                                                                                                                                                                                                                                                                                                                                                                                                                                                                                                                                                                                                                                                                                                                                                                                                                                                                                                                   38.  HOUGHTON, P.J., HYLANDS, P.J., MENSAH, A.Y., HENSEL, A. &amp; DETERS A.M. (2005) In vitro tests and ethnopharmacological investigations: Wound healing as an example. </t>
    </r>
    <r>
      <rPr>
        <i/>
      </rPr>
      <t xml:space="preserve">Journal of Ethnopharmacology </t>
    </r>
    <r>
      <rPr/>
      <t xml:space="preserve">100: 100-107.                                                                                                                                                                                                                                                                                                                                                                              39. HOUGHTON, P.J., MENSAH, A.Y., IESSA N. &amp; YONG HONG L. (2003) Terpenoids in Buddleja: relevance to chemosystematics, chemical ecology and biologically activity. </t>
    </r>
    <r>
      <rPr>
        <i/>
      </rPr>
      <t>Phytochemistry</t>
    </r>
    <r>
      <rPr/>
      <t xml:space="preserve"> 64:385-93.                                                                                                                                                                                                                                                                                                                                                                           40. HOUGHTON, P. J. &amp; MENSAH, A.Y. (2003) Herbal practitioners and pharmacists in Ghana. </t>
    </r>
    <r>
      <rPr>
        <i/>
      </rPr>
      <t>British Pharmaceutical Journal</t>
    </r>
    <r>
      <rPr/>
      <t xml:space="preserve">, 207:93-94. 
41. MENSAH, A.Y., SAMPSON, J., HOUGHTON, P.J., HYLANDS, P.J., WESTBROOK, J., DUNN, M., HUGHES, M.A. &amp; CHERRY, G.W. (2001) Effects of Buddleja  globosa leaf and its constituents relevant to wound healing. </t>
    </r>
    <r>
      <rPr>
        <i/>
      </rPr>
      <t>Journal of Ethnopharmacology</t>
    </r>
    <r>
      <rPr/>
      <t xml:space="preserve">, 77: 219-226. 
42.  MENSAH, A.Y. WOODE, E. &amp; HOUGHTON, P.J. (2006). Wound Healing </t>
    </r>
    <r>
      <rPr>
        <i/>
      </rPr>
      <t>Ghana Pharm. J.</t>
    </r>
    <r>
      <rPr/>
      <t xml:space="preserve"> 28:6166.                                                                                                                                                                                                                                                                                                                                                                                             43. MENSAH, A.Y. HOUGHTON, P.J. &amp; WOODE, E. (2004). Fungi, friends or foes? </t>
    </r>
    <r>
      <rPr>
        <i/>
      </rPr>
      <t>Ghana Pharm. J.</t>
    </r>
    <r>
      <rPr/>
      <t xml:space="preserve"> 28:22-36. 
44.  SAMPSON, J., HOUGHTON, P.J., MENSAH, A.Y. AND HYLANDS, P.J. (2000) Determination of the potential wound-healing effects of Buddleja globosa and Buddleja davidii leaves using an in-vitro human dermal fibroblast assay. </t>
    </r>
    <r>
      <rPr>
        <i/>
      </rPr>
      <t>Journal of Pharmacy and Pharmacology</t>
    </r>
    <r>
      <rPr/>
      <t xml:space="preserve">, S 308.
45. MENSAH, A.Y., HOUGHTON, P.J., AKYIREM, G.N., FLEISCHER. T.C., MENSAH, M.L., SARPONG, K. &amp; ADOSRAKU, R. (2004) Evaluation of the antioxidant and free radical scavenging properties of Secamone afzelii Rhoem. </t>
    </r>
    <r>
      <rPr>
        <i/>
      </rPr>
      <t>Phytotherapy Research</t>
    </r>
    <r>
      <rPr/>
      <t xml:space="preserve">, 18(12):10311032. 
46.  HOUGHTON, P.J. AND MENSAH, A.Y. (1998) Buddleja and Wound Healing. </t>
    </r>
    <r>
      <rPr>
        <i/>
      </rPr>
      <t>SOFW-Journal,</t>
    </r>
    <r>
      <rPr/>
      <t xml:space="preserve"> 123: 40-43.  
                                                                                                                                                                                                                                                                                                                                                                                                    47. ABOTSI, W. M. K., WOODE, E. AND MENSAH, A. Y. (2011) Anxiolytic- and Antidepressantlike effects of an ethanolic extract of the aerial parts of Hilleria latifolia (Lam.) H. Walt. in mice. </t>
    </r>
    <r>
      <rPr>
        <i/>
      </rPr>
      <t>Journal of Natural Pharmaceuticals</t>
    </r>
    <r>
      <rPr/>
      <t xml:space="preserve">, 2 (2): 62-71.                                                                                                                                                                                                                                                                                                                                          48. MENSAH, A.Y., MIREKU, E.A. &amp; OKWUONU, V. (2014) Anti-inflammatory and anti-oxidant activities of Secamone afzelii (Rhoem) Asclepiadaceae. </t>
    </r>
    <r>
      <rPr>
        <i/>
      </rPr>
      <t>Journal of Medical and Biomedical Sciences,</t>
    </r>
    <r>
      <rPr/>
      <t xml:space="preserve"> 3(1): 23-30.                                                                                                                                                                                                                                                                                                                                                                 49. ASANTE-KWATIA, E., JIBIRA, Y., MENSAH, A.Y., &amp; OSEI-SARFOD, D. (2019). Macaranga barteri stem bark extracts exerts anti-inflammatory and anti-hyperalgesia activity in murine models. </t>
    </r>
    <r>
      <rPr>
        <i/>
      </rPr>
      <t>Discovery Phytomedicine</t>
    </r>
    <r>
      <rPr/>
      <t xml:space="preserve"> 6(3): 130-137. DOI: 10.15562/phytomedicine 2019.104.                                                                                                                                                                                                                                                                                                                                                                                                                                                                                                                                                                  50.  MENSAH, A HOUGHTON, P.J., HUGHES M. AND CHERRY, G.W. (1998) In vitro investigation of the wound-healing properties of Buddleja globosa </t>
    </r>
    <r>
      <rPr>
        <i/>
      </rPr>
      <t>Journal of Pharmacy and Pharmacology,</t>
    </r>
    <r>
      <rPr/>
      <t xml:space="preserve"> 50 (Suppl.) 83.                                                                 51. Michael Frimpong Baidoo, Abraham Yeboah Mensah, Paul Poku Sampene Ossei, Evelyn Asante-Kwatia, Isaac Kingsley Amponsah. (March 2021). Wound healing, antimicrobial and antioxidant properties of the leaf and stem bark of Entada africana Guill. &amp; Perr. Volume 137 Pages 52-59.                                    </t>
    </r>
  </si>
  <si>
    <r>
      <rPr/>
      <t xml:space="preserve">                                                                                                                                                                                                                                                                                                                                                                                                       1. ASANTE-KWATIA, E., MENSAH, A.Y., FRIMPONG, M.B. &amp; ASOMANING, G.A., (2019). Quality control standardization of the leaves and root of Landolphia owariensis (Apocynaceae). </t>
    </r>
    <r>
      <rPr>
        <i/>
      </rPr>
      <t>Journal of Phytopharmacology.</t>
    </r>
    <r>
      <rPr/>
      <t xml:space="preserve"> 8(4): 185-191. </t>
    </r>
    <r>
      <rPr>
        <color rgb="FFFF0000"/>
      </rPr>
      <t xml:space="preserve">(moved to peer-reviewed) </t>
    </r>
    <r>
      <rPr/>
      <t xml:space="preserve">
2. FRIMPONG, M.B., ASANTE-KWATIA, E., MENSAH, A.Y., SAM, G.H &amp; AMPONSAH, I.K., (2018). Pharmacognostic characterization and development of standardization parameters for the quality control of Entada africana Guill. &amp; Perr.  </t>
    </r>
    <r>
      <rPr>
        <i/>
      </rPr>
      <t>Journal of Applied Research on Medicinal and Aromatic Plants</t>
    </r>
    <r>
      <rPr/>
      <t>. 10.1016/j.jarmap.2018.11.003</t>
    </r>
    <r>
      <rPr>
        <color rgb="FFFF0000"/>
      </rPr>
      <t>. (moved to peer-reviewed)</t>
    </r>
    <r>
      <rPr/>
      <t xml:space="preserve">
3. MIREKU, E. A., MENSAH, A.Y., AMPONSAH, I. K., DANQUAH, C. A., ANOKWAH, D. &amp; BAAH, M., K (2018) Antimicrobial pentacyclic triterpenes and glycosides from the stem bark of Cussonia bancoensis. </t>
    </r>
    <r>
      <rPr>
        <i/>
      </rPr>
      <t>Natural Products Research</t>
    </r>
    <r>
      <rPr/>
      <t xml:space="preserve">. </t>
    </r>
    <r>
      <rPr>
        <color rgb="FF1155CC"/>
        <u/>
      </rPr>
      <t>doi.org/10.1080/14786419.2018.1503262</t>
    </r>
    <r>
      <rPr>
        <color rgb="FFFF0000"/>
      </rPr>
      <t>.(moved to peer-reviewed)</t>
    </r>
    <r>
      <rPr/>
      <t xml:space="preserve">
4. MBATCHOU, V. C., DICKSON, R.A., AMPONSAH, I. K., MENSAH, A.Y., &amp; HABTEMARIAM, S. (2018) Protection effect of the anthraquinones, cassiatorin and aurantio-obtusin from seeds of Senna tora against cowpea weevil attack. </t>
    </r>
    <r>
      <rPr>
        <i/>
      </rPr>
      <t>Asian Pacific Journal of Tropical Biomedicine</t>
    </r>
    <r>
      <rPr/>
      <t>, 8(2): 98-105.</t>
    </r>
    <r>
      <rPr>
        <color rgb="FFFF0000"/>
      </rPr>
      <t xml:space="preserve"> (moved to peer-reviewed)</t>
    </r>
    <r>
      <rPr/>
      <t xml:space="preserve">
5. ARMAH, F. A., AMPONSAH, I. K., MENSAH, A.Y., DICKSON, R.A., STEENKAMP, P.A., MADALA, N.E. &amp; ADOKOH. (2018) Leishmanicidal activity of the root bark of Erythrophleum ivorense (Fabaceae) and the identification of some of its compounds by ultr-performance liquid chromatography quadrupole time of flight mass spectrometry (UPLC-QTOF-MS/MS) </t>
    </r>
    <r>
      <rPr>
        <i/>
      </rPr>
      <t>Journal of Ethnopharmacology</t>
    </r>
    <r>
      <rPr/>
      <t xml:space="preserve"> , 211:207-216.(</t>
    </r>
    <r>
      <rPr>
        <color rgb="FFFF0000"/>
      </rPr>
      <t xml:space="preserve">moved to peer-reviewed) </t>
    </r>
    <r>
      <rPr/>
      <t xml:space="preserve">
6. MIREKU-GYIMAH, N. A., SARPONG, K., AMPONSAH, I. K., MENSAH, A.Y., DICKSON, R.A., (2018) Comparative Pharmacognostic Studies of two Ghanaian Medicinal Plants: Saba senegalensis and Saba thompsonii. </t>
    </r>
    <r>
      <rPr>
        <i/>
      </rPr>
      <t>International Journal of Pharmaceutical Sciences and Researc</t>
    </r>
    <r>
      <rPr/>
      <t xml:space="preserve">h 9(4): 100-12.doi: 10.13040/IJPSR.0975-8232.9(4):1000-12. </t>
    </r>
    <r>
      <rPr>
        <color rgb="FFFF0000"/>
      </rPr>
      <t xml:space="preserve">(moved to peer-reviewed) </t>
    </r>
    <r>
      <rPr/>
      <t xml:space="preserve">
7.  MBATCHOU, V. C., TCHOUASSI, D. P., DICKSON, R.A., ANNAN, K., MENSAH, A.Y AMPONSAH, I. K., JACOBS, J.W., CHESETO., X., HABTEMARIAM, S. &amp; TORTO, B. (2017) Mosquito larvicidal activity of Cassia tora seed extract and its key anthraquinones aurantio-obtusin and obtusin. </t>
    </r>
    <r>
      <rPr>
        <i/>
      </rPr>
      <t>Parasites and Vectors</t>
    </r>
    <r>
      <rPr/>
      <t xml:space="preserve"> DOI 10.1186/s13071-017-2512-y .</t>
    </r>
    <r>
      <rPr>
        <color rgb="FFFF0000"/>
      </rPr>
      <t xml:space="preserve"> (moved to peer-reviewed)</t>
    </r>
    <r>
      <rPr/>
      <t xml:space="preserve">
8.  TETTEH, A.W., MENSAH, M.L., BOADU, K.O., THOMFORD, K.P., AGYEMANG, M.O., ANNAN, K., DICKSON, R., MENSAH, A.Y., AMPOSAH, I.K., EKUADZI, E. AND OWUSU-ANSAH, E.D. (2017) Clinical Evaluation of the Safety and Effectiveness of Adutwumwaa Malamix: A Polyherbal Product for the Treatment of Uncomplicated Malaria in Ghana. </t>
    </r>
    <r>
      <rPr>
        <i/>
      </rPr>
      <t>Journal of Applied Pharmaceutical Science</t>
    </r>
    <r>
      <rPr/>
      <t xml:space="preserve">, 7(07):040-045. </t>
    </r>
    <r>
      <rPr>
        <color rgb="FFFF0000"/>
      </rPr>
      <t>(moved to peer-reviewed)</t>
    </r>
    <r>
      <rPr/>
      <t xml:space="preserve">
9.  MIREKU, E. A., MENSAH, A.Y., MENSAH, M. L. K., AMPONSAH, I. K. &amp; MINTAH, D. N. (2017) Phytochemical constituents and anti-oxidative properties of Landolphia heudelotti roots International </t>
    </r>
    <r>
      <rPr>
        <i/>
      </rPr>
      <t>Journal Pharmaceutical Sciences and Research,</t>
    </r>
    <r>
      <rPr/>
      <t xml:space="preserve"> 8(7) 2862-2866. </t>
    </r>
    <r>
      <rPr>
        <color rgb="FFFF0000"/>
      </rPr>
      <t>(moved to peer-reviewed)</t>
    </r>
    <r>
      <rPr/>
      <t xml:space="preserve">
10.  RAMOS, E.K., AMPOFO, E. K., MENSAH, A. Y., SARPONG, F.M. &amp; AMPONSAH, I.K., (2017) Anti-inflammatory and anti-oxidant activity of Dialium dinklagei Harms. (Leguminosae) </t>
    </r>
    <r>
      <rPr>
        <i/>
      </rPr>
      <t>World Journal of Pharmaceutical Sciences</t>
    </r>
    <r>
      <rPr/>
      <t xml:space="preserve">, 5(4): 6-12. </t>
    </r>
    <r>
      <rPr>
        <color rgb="FFFF0000"/>
      </rPr>
      <t>(moved to peer-reviewed)</t>
    </r>
    <r>
      <rPr/>
      <t xml:space="preserve">
11.  KUMATHIA, E.K., ANNAN, K., DICKSON, R.A., MENSAH, A. Y., AMPONSAH, I.K., APPIAH, A.A., TUNG, N.H., TUNG, N.H., EDOH, D.A. &amp; HABTEMARIAM S. (2017) Antiinflammatory and analgesic effects in rodent models of ethanol extracts of Clausena anisata roots and their chemical constituents Natural Products Communications, 12(1): 67-72. </t>
    </r>
    <r>
      <rPr>
        <color rgb="FFFF0000"/>
      </rPr>
      <t>(can't identify)</t>
    </r>
    <r>
      <rPr/>
      <t xml:space="preserve">
12.  MIREKU, E. A., MENSAH, M. L. K. &amp; MENSAH, A.Y. (2016) Prenylated indole alkaloids from the stem bark of Hexalobus monopetalus. </t>
    </r>
    <r>
      <rPr>
        <i/>
      </rPr>
      <t>Phytochemistry letters</t>
    </r>
    <r>
      <rPr/>
      <t xml:space="preserve">, 16:108-114. Doi: 10.1016/j.phytol.2016.03.012. 
Page 7 of 19  CV of Prof Abraham Yeboah Mensah. </t>
    </r>
    <r>
      <rPr>
        <color rgb="FFFF0000"/>
      </rPr>
      <t>(moved to peer-reviewed)</t>
    </r>
    <r>
      <rPr/>
      <t xml:space="preserve">
13. PARK, S. R., TRIPATHI, A., WU, J.,   SCHULTZ, P., YIM, I., MCQUADE, T.J., YU, F., AREVANG, C. MENSAH A.Y., TAMAYO-CASTILLO, G., XI, C &amp; SHERMAN, D. H. (2016) Discovery of Cahuitamycins as biofilm inhibitors derived from a convergent biosynthetic pathway. </t>
    </r>
    <r>
      <rPr>
        <i/>
      </rPr>
      <t>Nature Communications</t>
    </r>
    <r>
      <rPr/>
      <t xml:space="preserve"> 7:10710 Doi:10.1038/ncomms10710. </t>
    </r>
    <r>
      <rPr>
        <color rgb="FFFF0000"/>
      </rPr>
      <t>(moved to peer-reviewed)</t>
    </r>
    <r>
      <rPr/>
      <t xml:space="preserve">
14. ANOKWAH, D., MENSAH, A. Y., AMPONSAH, I.K., MIREKU, E. A., &amp; MINTAH, D.N. (2016) Anti-inflammatory, anti-oxidant and antimicrobial activities of the stem bark of Psydrax subcordata Pharmacia Lettre, 8(20):21-28. </t>
    </r>
    <r>
      <rPr>
        <color rgb="FFFF0000"/>
      </rPr>
      <t>(moved to peer-reviewed)</t>
    </r>
    <r>
      <rPr/>
      <t xml:space="preserve">
15.  AMPONSAH, I.K., MENSAH, A. Y., AMPOFO, E. K, BEKOE, S.O. SARPONG, F. M., &amp; JIBIRA Y (2016) Pharmacognostic studies of the leaves and seeds of Cassia occidentalis (Linn.) (Leguminosae) </t>
    </r>
    <r>
      <rPr>
        <i/>
      </rPr>
      <t>Journal of Pharmacognosy and Phytochemistry</t>
    </r>
    <r>
      <rPr/>
      <t>, 5 (3): 250-256</t>
    </r>
    <r>
      <rPr>
        <color rgb="FFFF0000"/>
      </rPr>
      <t>. (moved to peer-reviewed)</t>
    </r>
    <r>
      <rPr/>
      <t xml:space="preserve">
16.  ARMAH, F.A., ANNAN, K., DICKSON, R.A., MENSAH, A.Y., AMEYAW, E.O. &amp; ANING, A.A. (2016) Anti-leishmanial, anti-inflammatory and antioxidant potential of Omphalocarpum ahia A. Chev Der Pharmacia Lettre, 8(2):161-168. </t>
    </r>
    <r>
      <rPr>
        <color rgb="FFFF0000"/>
      </rPr>
      <t>(moved to peer-reviewed)</t>
    </r>
    <r>
      <rPr/>
      <t xml:space="preserve">
17.  AMPONSAH, I.K., ORMAN, E., MENSAH, A.Y., SARPONG, F.M., ARMAH, F.A.  &amp; SARPONG, L. M. (2016) Development and validation of a radical scavenging antioxidant assay using potassium permanganate. </t>
    </r>
    <r>
      <rPr>
        <i/>
      </rPr>
      <t>Journal of Scientific &amp; Innovative Research</t>
    </r>
    <r>
      <rPr/>
      <t xml:space="preserve">, 5(2):36-42. </t>
    </r>
    <r>
      <rPr>
        <color rgb="FFFF0000"/>
      </rPr>
      <t xml:space="preserve">(moved to peer-reviewed) </t>
    </r>
    <r>
      <rPr/>
      <t xml:space="preserve">
18.  KUMATHIA, E.K., ANNAN, K., DICKSON, R.A., MENSAH, A. Y., AMPONSAH, I.K., APPIAH, A.A., TUNG, N.H., TUNG, N.H., OCLOO, A. &amp; HABTEMARIAM S. (2016) Anti-inflammatory and analgesic activities of Annickia polycarpa stem bark and its constituents Der Pharmacia Lettre, 8(12):42-52.  </t>
    </r>
    <r>
      <rPr>
        <color rgb="FFFF0000"/>
      </rPr>
      <t>(moved to peer-reviewed)</t>
    </r>
    <r>
      <rPr/>
      <t xml:space="preserve">
19.  MIREKU, E. A., KUSARI, S., ECKELMANN, D., MENSAH, A.Y., TALONTSI, F. M., SPITELLER, M. (2015) Anti-inflammatory tirucallane triterpenoids from Anopyxis klaineana pierre (Engl.), (Rhizophoraceae)</t>
    </r>
    <r>
      <rPr>
        <i/>
      </rPr>
      <t xml:space="preserve"> Fitoterapia</t>
    </r>
    <r>
      <rPr/>
      <t>, 106: 84-91.</t>
    </r>
    <r>
      <rPr>
        <color rgb="FFFF0000"/>
      </rPr>
      <t xml:space="preserve"> (moved to peer-reviewed)</t>
    </r>
    <r>
      <rPr/>
      <t xml:space="preserve">
20.  ARMAH, F. A., ANNAN, K, MENSAH, A.Y., AMPONSAH, I.K., TOCHER, D.A. &amp; HABTEMARIAM, S. (2015) Erythroivorensin: A novel diterpene from the root-bark of Erythrophleum ivorense (A Chev.) </t>
    </r>
    <r>
      <rPr>
        <i/>
      </rPr>
      <t>Fitoterapia,</t>
    </r>
    <r>
      <rPr/>
      <t xml:space="preserve"> 105: 37-42. </t>
    </r>
    <r>
      <rPr>
        <color rgb="FFFF0000"/>
      </rPr>
      <t>(moved to peer-reviewed)</t>
    </r>
    <r>
      <rPr/>
      <t xml:space="preserve">
21.  JACKSON, B. N., ANNAN, K, MENSAH, A.Y., EKUADZI, E., MENSAH, M.L.K, &amp; HABTEMARIAM, S. (2015) A novel triterpene from the roots of Paullinia pinnata: 6-(3’-methoxy-4’hydroxybenzoyl)-lup-20(29)-ene-3-one. </t>
    </r>
    <r>
      <rPr>
        <i/>
      </rPr>
      <t>Natural Products Communications</t>
    </r>
    <r>
      <rPr/>
      <t xml:space="preserve">, 10(4): 563-564. </t>
    </r>
    <r>
      <rPr>
        <color rgb="FFFF0000"/>
      </rPr>
      <t xml:space="preserve"> (moved to peer-reviewed)</t>
    </r>
    <r>
      <rPr/>
      <t xml:space="preserve">
22.  TURKSON, B.K., KOFI, P.O., ACHAAB, E., WOYOME, Y., MENSAH, M.L.K., SARPONG, K., FLEISCHER, T., AMPONSAH, I.K., EKUADZI, E., DICKSON, R, MENSAH, A.Y. &amp; ANNA</t>
    </r>
    <r>
      <rPr>
        <i/>
      </rPr>
      <t>N, K. (2015) Clinical Evaluation of the Effectiveness and Safety of Mist Amen Fevermix, a Ghanaian Bi-herbal Products, Used in the Management of Uncomplicated Malaria.  Journal of Natural Sciences Research</t>
    </r>
    <r>
      <rPr/>
      <t xml:space="preserve">, 5(10): 1-7. age 8 of 19  CV of Prof Abraham Yeboah Mensah. </t>
    </r>
    <r>
      <rPr>
        <color rgb="FFFF0000"/>
      </rPr>
      <t>(moved to peer-reviewed)</t>
    </r>
    <r>
      <rPr/>
      <t xml:space="preserve">
23.  MIREKU, E.A., MENSAH, A.Y., MENSAH, M.L.K, TOCHER, D. A. &amp; HABTEMARIAM, S. (2014) Anti-inflammatory Properties of the Stem-bark of Anopyxis klaineana and its Major Constituent, Methyl Angolensate  </t>
    </r>
    <r>
      <rPr>
        <i/>
      </rPr>
      <t>Phytotherapy Research</t>
    </r>
    <r>
      <rPr/>
      <t>, 28: 1855-1860</t>
    </r>
    <r>
      <rPr>
        <color rgb="FFFF0000"/>
      </rPr>
      <t>. (moved to peer-reviewed)</t>
    </r>
    <r>
      <rPr/>
      <t xml:space="preserve">
24. AMPONSAH, I.K., MENSAH, A.Y., OTOO, A., MENSAH, M.L.K. &amp; JATO, J. (2014) Pharmacognostic standardisation of Hilleria latifolia (Lam.) H. Walt (Phytolaccaceae) </t>
    </r>
    <r>
      <rPr>
        <i/>
      </rPr>
      <t>Asian Pacific Journal of Tropical Biomedicine</t>
    </r>
    <r>
      <rPr/>
      <t xml:space="preserve">, 4(22): 941- 946. </t>
    </r>
    <r>
      <rPr>
        <color rgb="FFFF0000"/>
      </rPr>
      <t>(moved to peer-reviewed)</t>
    </r>
    <r>
      <rPr/>
      <t xml:space="preserve">
25.  MIREKU, E. A., MENSAH, A.Y., MENSAH, M.L.K., EKUADZI, E. &amp; DICKSON, R.A. (2014) Antimicrobial and antioxidant activities of the stem bark of Cussonia bancoensis </t>
    </r>
    <r>
      <rPr>
        <i/>
      </rPr>
      <t xml:space="preserve">Journal of Medical and Biomedical Sciences </t>
    </r>
    <r>
      <rPr/>
      <t xml:space="preserve">3(2): 7-13. </t>
    </r>
    <r>
      <rPr>
        <color rgb="FFFF0000"/>
      </rPr>
      <t xml:space="preserve"> (moved to peer-reviewed)</t>
    </r>
    <r>
      <rPr/>
      <t xml:space="preserve">
26.  MENSAH, A.Y., MIREKU, E.A., MENSAH, M.L.K, OPPONG-DAMOAH, A. &amp; AMPONSAH, I.K. (2014) Anti-inflammatory and antioxidant activities of Commelina diffusa (Commelinaceae) </t>
    </r>
    <r>
      <rPr>
        <i/>
      </rPr>
      <t>World Journal of Pharmaceutical Science</t>
    </r>
    <r>
      <rPr/>
      <t>, 2(10): 1159-1165.</t>
    </r>
    <r>
      <rPr>
        <color rgb="FFFF0000"/>
      </rPr>
      <t xml:space="preserve"> (moved to peer-reviewed)</t>
    </r>
    <r>
      <rPr/>
      <t xml:space="preserve">
27. MENSAH, A. Y., MIREKU, E., MENSAH, M.L.K., &amp; AMPONSAH, I.K. (2014) Some neurological effects of the ethanolic stem bark extract of Cussonia bancoensis Aubrev and Pellgr (Araliaceae) </t>
    </r>
    <r>
      <rPr>
        <i/>
      </rPr>
      <t>Journal of Pharmacognosy and Phytochemistry</t>
    </r>
    <r>
      <rPr/>
      <t xml:space="preserve">, 2 (6): 101-106. </t>
    </r>
    <r>
      <rPr>
        <color rgb="FFFF0000"/>
      </rPr>
      <t xml:space="preserve">(moved to peer-reviewed)  </t>
    </r>
    <r>
      <rPr/>
      <t xml:space="preserve">                                                                                                                                                                                                                                                                                               28. AMPONSAH, I.K., FLEISCHER T.C., ANNAN, K, DICKSON, R.A., MENSAH A.</t>
    </r>
    <r>
      <rPr>
        <i/>
      </rPr>
      <t xml:space="preserve">Y. &amp; SARPONG F.M. (2013) Anti-inflammatory, antioxidant and antimicrobial activity of the stem bark extract and fractions of Ficus exasperata Vahl. (Moraceae) </t>
    </r>
    <r>
      <rPr/>
      <t>J</t>
    </r>
    <r>
      <rPr>
        <i/>
      </rPr>
      <t>ournal of Pharmacognosy and Phytochemistry</t>
    </r>
    <r>
      <rPr/>
      <t xml:space="preserve">, 2 (3): 38-44. </t>
    </r>
    <r>
      <rPr>
        <color rgb="FFFF0000"/>
      </rPr>
      <t xml:space="preserve"> (moved to peer-reviewed) </t>
    </r>
    <r>
      <rPr/>
      <t xml:space="preserve">                                                                                                                                                                                                                           29.  KOFFOUR, G. A., WOODE E. AND MENSAH A.Y. (2011) Neurobehavioral and Safety Evaluation of a Polyherbal Antihypertensive Mixture in Ghana. </t>
    </r>
    <r>
      <rPr>
        <i/>
      </rPr>
      <t>European Journal of Experimental Biology</t>
    </r>
    <r>
      <rPr/>
      <t>, 1 (3):20-30.</t>
    </r>
    <r>
      <rPr>
        <color rgb="FFFF0000"/>
      </rPr>
      <t xml:space="preserve"> (moved to peer-reviewed) </t>
    </r>
    <r>
      <rPr/>
      <t xml:space="preserve">                                                                                                                                                                                                                                                                                                                                                                 30. MENSAH, A.Y., BONSU, A.S. &amp; FLEISCHER, T.C. (2011) Investigation of the bronchodilator activity of Abrus precatorius. </t>
    </r>
    <r>
      <rPr>
        <i/>
      </rPr>
      <t>International Journal of Pharmaceutical Sciences Review and Research</t>
    </r>
    <r>
      <rPr/>
      <t>, 6(2):9-13.</t>
    </r>
    <r>
      <rPr>
        <color rgb="FFFF0000"/>
      </rPr>
      <t xml:space="preserve"> (moved to </t>
    </r>
    <r>
      <rPr/>
      <t xml:space="preserve">peeer-reviewed)                                                                                                                                                                                                                                                                                                                                                                 31. MENSAH A.Y., DONKOR P.O. AND FLEISCHER T.C. (2011) Anti-inflammatory and antioxidant activities of the leaves of Wissadula amplissima var rostrata. </t>
    </r>
    <r>
      <rPr>
        <i/>
      </rPr>
      <t>African Journal of Traditional, Complementary and Alternative Medicine</t>
    </r>
    <r>
      <rPr/>
      <t xml:space="preserve">, 8(2):185-195.  </t>
    </r>
    <r>
      <rPr>
        <color rgb="FFFF0000"/>
      </rPr>
      <t xml:space="preserve"> (moved to peer-reviewed)  </t>
    </r>
    <r>
      <rPr/>
      <t xml:space="preserve">                                                                                                                                                                                                                                                                                                                           32.  ANNAN, K., DICKSON, R., MENSAH. A. &amp; FLEISCHER T.C. (2009) Acaricidal effect of Plumbago zeylanica L. against Amblyoma variegatum. Phcogji.com, 1(3) 190-194.</t>
    </r>
    <r>
      <rPr>
        <color rgb="FFFF0000"/>
      </rPr>
      <t xml:space="preserve"> (can't identify)</t>
    </r>
    <r>
      <rPr/>
      <t xml:space="preserve">
33.. JULIANI, H.R., SIMON, J.E., QUANSAH, C., ASARE, E., AKROMAH, R., ACQUAYE, D. ASANTEDARTEY, R., MENSAH, M.L.K., FLEISCHER. T.C., DICKSON, R. A., ANNAN, K AND MENSAH A.Y. (2008) Chemical diversity of Lippia Multiflora essential oils from West Africa. </t>
    </r>
    <r>
      <rPr>
        <i/>
      </rPr>
      <t>Journal of Essential Oil Research</t>
    </r>
    <r>
      <rPr/>
      <t>, 20: 49-55.</t>
    </r>
    <r>
      <rPr>
        <color rgb="FFFF0000"/>
      </rPr>
      <t xml:space="preserve"> (moved to peer-reviewed)   </t>
    </r>
    <r>
      <rPr/>
      <t xml:space="preserve">                                                                                                                                                                                                                                                                                                                                                                                                                                                                                                                                                 34.  WOODE E., AINOOSON, G.K., BOAKYE-GYASI, E., ANSAH, C., OBIRI, D.D., KOFFOUR, G.A., MENSAH A.Y. &amp; DUWEIJUA, M. (2008) Anti-arthritic and antioxidant properties of the ethanolic stem extract of Newbouldia laevis (P. Beauv.) Seaman ex Bureau (Bignoniaceae) </t>
    </r>
    <r>
      <rPr>
        <i/>
      </rPr>
      <t>Journal of Medicinal plants Research</t>
    </r>
    <r>
      <rPr/>
      <t>, 2(8): 180-188.   (</t>
    </r>
    <r>
      <rPr>
        <color rgb="FFFF0000"/>
      </rPr>
      <t xml:space="preserve">moved to peer-reviewed)  </t>
    </r>
    <r>
      <rPr/>
      <t xml:space="preserve">                                                                                                                                                                                                                                                                                                                                                                                                                                                                                                                                35. FLEISCHER, T.C., MENSAH, M.L.K., MENSAH, A.Y., KOMLAGA, G., GBEDEMA, S.Y. &amp; SKALTSA, H. (2008) Antimicrobial activity of essential oils of Xylopia aethiopica </t>
    </r>
    <r>
      <rPr>
        <i/>
      </rPr>
      <t>African Journal of Traditional, Complementary and</t>
    </r>
    <r>
      <rPr/>
      <t xml:space="preserve"> </t>
    </r>
    <r>
      <rPr>
        <i/>
      </rPr>
      <t>Alternative Medicines</t>
    </r>
    <r>
      <rPr/>
      <t xml:space="preserve">, 5(4): 391-393. </t>
    </r>
    <r>
      <rPr>
        <color rgb="FFFF0000"/>
      </rPr>
      <t xml:space="preserve">(moved to peer-reviewed)  </t>
    </r>
    <r>
      <rPr/>
      <t xml:space="preserve">                                                                                                                                                                                                                                                                                                                    36. WOODE, E., ANSAH, C., AINOOSON, G.K., ABOTSI, W.M.K, MENSAH, A.Y. &amp; DUWIEJUA, M. (2007) Anti-inflammatory and antioxidant properties of the root extract of Carissa edulis (Forsk.) Vahl (Apocynaceae) </t>
    </r>
    <r>
      <rPr>
        <i/>
      </rPr>
      <t>Journal of Science and Technology</t>
    </r>
    <r>
      <rPr/>
      <t xml:space="preserve"> (Ghana), 27 (3): 5-15.  </t>
    </r>
    <r>
      <rPr>
        <color rgb="FFFF0000"/>
      </rPr>
      <t xml:space="preserve">(moved to peer-reviewed)     </t>
    </r>
    <r>
      <rPr/>
      <t xml:space="preserve">                                                                                                                                                                                                                                                                                    37. MENSAH, A.Y., HOUGHTON, P.J., AGYARE, C., KOMLAGA, G., MENSAH, M. L.K., FLEISCHER, T.C. AND SARPONG G. (2006) Investigation of activities related to wound healing of Secamone afzelii. </t>
    </r>
    <r>
      <rPr>
        <i/>
      </rPr>
      <t>Journal of Science and Technology</t>
    </r>
    <r>
      <rPr/>
      <t xml:space="preserve"> (Ghana), 26 (3): 83-89. </t>
    </r>
    <r>
      <rPr>
        <color rgb="FFFF0000"/>
      </rPr>
      <t xml:space="preserve">(moved to peer-reviewed)  </t>
    </r>
    <r>
      <rPr/>
      <t xml:space="preserve">                                                                                                                                                                                                                                                                                                                 38. MENSAH, A.Y., HOUGHTON, P.J., DICKSON, R. A., FLEISCHER. T.C., HEINRICH, M., BREMNER, P. (2006) In vitro evaluation of effects of two Ghanaian plants relevant to wound healing. </t>
    </r>
    <r>
      <rPr>
        <i/>
      </rPr>
      <t>Phytotherapy Research</t>
    </r>
    <r>
      <rPr/>
      <t xml:space="preserve">, 20 (11):941-944. </t>
    </r>
    <r>
      <rPr>
        <color rgb="FFFF0000"/>
      </rPr>
      <t xml:space="preserve">(moved to peer-reviewed)  </t>
    </r>
    <r>
      <rPr/>
      <t xml:space="preserve">                                                                                                                                                                                                                                                                                                                                                                    39. FLEISCHER, T.C., KOMLAGA, G., MENSAH, A.Y., MENSAH, M.L.K., WOODE, E., SAWER, I.K., GREY, A.I. (2006) Flavonoid constituents of the mature fruit of Tetrapleura tetraptera </t>
    </r>
    <r>
      <rPr>
        <i/>
      </rPr>
      <t>Journal of Science and Technology</t>
    </r>
    <r>
      <rPr/>
      <t xml:space="preserve"> (Ghana), 26 (1): 41-47.</t>
    </r>
    <r>
      <rPr>
        <color rgb="FFFF0000"/>
      </rPr>
      <t xml:space="preserve">(moved to peer-reviewed)   </t>
    </r>
    <r>
      <rPr/>
      <t xml:space="preserve">                                                                                                                                                                                                                                                                                                                                              40. AGYARE, C., KOFFUOR, G. A., MENSAH, A. Y. AND AGYEMANG, D. O. (2006) Antimicrobial and uterine smooth muscle activities of Albizia ferruginea extracts. Boletin Latino Americano y del Caribe de Plantas Medicinales y Aromaticas, 5: 31-35. </t>
    </r>
    <r>
      <rPr>
        <color rgb="FFFF0000"/>
      </rPr>
      <t xml:space="preserve">(can't identify)  </t>
    </r>
    <r>
      <rPr/>
      <t xml:space="preserve">                                                                                                                                                                                                                                                                                                                 41. AGYARE, C., MENSAH, A. Y. SARPONG K &amp; KOMLAGA, G. (2006) Antimicrobial activity of Hymenostegia afzelii and Napoleanea vogelii Boletin Latino Americano y del Caribe de Plantas Medicinales y Aromaticas, 5: 11-14.</t>
    </r>
    <r>
      <rPr>
        <color rgb="FFFF0000"/>
      </rPr>
      <t xml:space="preserve"> (can't identify)   </t>
    </r>
    <r>
      <rPr/>
      <t xml:space="preserve">                                                                                                                                                                                                                                                                                                                                                                                42.  HOUGHTON, P.J., HYLANDS, P.J., MENSAH, A.Y., HENSEL, A. &amp; DETERS A.M. (2005) In vitro tests and ethnopharmacological investigations: Wound healing as an example. </t>
    </r>
    <r>
      <rPr>
        <i/>
      </rPr>
      <t>Journal of Ethnopharmacology</t>
    </r>
    <r>
      <rPr/>
      <t xml:space="preserve"> 100: 100-107. </t>
    </r>
    <r>
      <rPr>
        <color rgb="FFFF0000"/>
      </rPr>
      <t xml:space="preserve"> (moved to peer-rviewed)  </t>
    </r>
    <r>
      <rPr/>
      <t xml:space="preserve">                                                                                                                                                                                                                                                                                                                                                                              43. HOUGHTON, P.J., MENSAH, A.Y., IESSA N. &amp; YONG HONG L. (2003) Terpenoids in Buddleja: relevance to chemosystematics, chemical ecology and biologically activity. </t>
    </r>
    <r>
      <rPr>
        <i/>
      </rPr>
      <t>Phytochemistry</t>
    </r>
    <r>
      <rPr/>
      <t xml:space="preserve"> 64:385-93.</t>
    </r>
    <r>
      <rPr>
        <color rgb="FFFF0000"/>
      </rPr>
      <t xml:space="preserve"> (moved to peer-reviewed).</t>
    </r>
    <r>
      <rPr/>
      <t xml:space="preserve">                                                                                                                                                                                                                                                                                                                                                                            44. HOUGHTON, P. J. &amp; MENSAH, A.Y. (2003) Herbal practitioners and pharmacists in Ghana. </t>
    </r>
    <r>
      <rPr>
        <i/>
      </rPr>
      <t>British Pharmaceutical Journa</t>
    </r>
    <r>
      <rPr/>
      <t>l, 207:93-94.</t>
    </r>
    <r>
      <rPr>
        <color rgb="FFFF0000"/>
      </rPr>
      <t xml:space="preserve"> (moved to peer-reviewed)  </t>
    </r>
    <r>
      <rPr/>
      <t xml:space="preserve">
45. MENSAH, A.Y., SAMPSON, J., HOUGHTON, P.J., HYLANDS, P.J., WESTBROOK, J., DUNN, M., HUGHES, M.A. &amp; CHERRY, G.W. (2001) Effects of Buddleja  globosa leaf and its constituents relevant to wound healing. </t>
    </r>
    <r>
      <rPr>
        <i/>
      </rPr>
      <t>Journal of Ethnopharmacology</t>
    </r>
    <r>
      <rPr/>
      <t xml:space="preserve">, 77: 219-226. </t>
    </r>
    <r>
      <rPr>
        <color rgb="FFFF0000"/>
      </rPr>
      <t>(moved to peer-reviewed)</t>
    </r>
    <r>
      <rPr/>
      <t xml:space="preserve">
46.  MENSAH, A.Y. WOODE, E. &amp; HOUGHTON, P.J. (2006). Wound Healing </t>
    </r>
    <r>
      <rPr>
        <i/>
      </rPr>
      <t>Ghana Pharm. J.</t>
    </r>
    <r>
      <rPr/>
      <t xml:space="preserve"> 28:61</t>
    </r>
    <r>
      <rPr>
        <i/>
      </rPr>
      <t xml:space="preserve">66. </t>
    </r>
    <r>
      <rPr>
        <color rgb="FFFF0000"/>
      </rPr>
      <t xml:space="preserve">(moved to peer-reviewed) </t>
    </r>
    <r>
      <rPr/>
      <t xml:space="preserve">  </t>
    </r>
    <r>
      <rPr>
        <i/>
      </rPr>
      <t xml:space="preserve">                                                                                                                                                                                                                                                                                                                                                                                             47. MENSAH, A.Y. HOUGHTON, P.J. &amp; WOODE, E. (2004). Fungi, friends or foes?</t>
    </r>
    <r>
      <rPr/>
      <t xml:space="preserve"> </t>
    </r>
    <r>
      <rPr>
        <i/>
      </rPr>
      <t>Ghana Pharm. J</t>
    </r>
    <r>
      <rPr/>
      <t xml:space="preserve">. 28:22-36. </t>
    </r>
    <r>
      <rPr>
        <color rgb="FFFF0000"/>
      </rPr>
      <t>(moved to peer-reviewed)</t>
    </r>
    <r>
      <rPr/>
      <t xml:space="preserve">
48.  SAMPSON, J., HOUGHTON, P.J., MENSAH, A.Y. AND HYLANDS, P.J. (2000) Determination of the potential wound-healing effects of Buddleja globosa and Buddleja davidii leaves using an in-vitro human dermal fibroblast assay. </t>
    </r>
    <r>
      <rPr>
        <i/>
      </rPr>
      <t>Journal of Pharmacy and Pharmacology</t>
    </r>
    <r>
      <rPr/>
      <t xml:space="preserve">, S 308. </t>
    </r>
    <r>
      <rPr>
        <color rgb="FFFF0000"/>
      </rPr>
      <t>(moved to peer-reviewed)</t>
    </r>
    <r>
      <rPr/>
      <t xml:space="preserve">
49. MENSAH, A.Y., HOUGHTON, P.J., AKYIREM, G.N., FLEISCHER. T.C., MENSAH, M.L., SARPONG, K. &amp; ADOSRAKU, R. (2004) Evaluation of the antioxidant and free radical scavenging properties of Secamone afzelii Rhoem.</t>
    </r>
    <r>
      <rPr>
        <i/>
      </rPr>
      <t xml:space="preserve"> Phytotherapy Research</t>
    </r>
    <r>
      <rPr/>
      <t xml:space="preserve">, 18(12):10311032. </t>
    </r>
    <r>
      <rPr>
        <color rgb="FFFF0000"/>
      </rPr>
      <t xml:space="preserve">(moved to peer-reviewed)  </t>
    </r>
    <r>
      <rPr/>
      <t xml:space="preserve">  
50.  HOUGHTON, P.J. AND MENSAH, A.Y. (1998) Buddleja and Wound Healing. </t>
    </r>
    <r>
      <rPr>
        <i/>
      </rPr>
      <t>SOFW-Journal</t>
    </r>
    <r>
      <rPr/>
      <t xml:space="preserve">, 123: 40-43. </t>
    </r>
    <r>
      <rPr>
        <color rgb="FFFF0000"/>
      </rPr>
      <t xml:space="preserve"> (moved to peer-reviewed)</t>
    </r>
    <r>
      <rPr/>
      <t xml:space="preserve">
 51.  DICKSON, R.A., FLEISCHER, T.C., EKUADZI, E, MENSAH, A.Y., ANNAN, K. &amp; WOODE E. (2010) Antibacterial, Antioxidant and Anti-inflammatory Properties of Margaritaria discoidea, a Wound Healing Remedy from Ghana. Phcogji.com, 2 (17) 32-39.</t>
    </r>
    <r>
      <rPr>
        <color rgb="FFFF0000"/>
      </rPr>
      <t xml:space="preserve">  (can't identify)      </t>
    </r>
    <r>
      <rPr/>
      <t xml:space="preserve">                                                                                                                                                                                                                                                                                                                    52. ABOTSI, W. M. K., WOODE, E. AND MENSAH, A. Y. (2011) Anxiolytic- and Antidepressantlike effects of an ethanolic extract of the aerial parts of Hilleria latifolia (Lam.) H. Walt. in mice.</t>
    </r>
    <r>
      <rPr>
        <i/>
      </rPr>
      <t xml:space="preserve"> Journal of Natura</t>
    </r>
    <r>
      <rPr/>
      <t xml:space="preserve">l </t>
    </r>
    <r>
      <rPr>
        <i/>
      </rPr>
      <t>Pharmaceuticals,</t>
    </r>
    <r>
      <rPr/>
      <t xml:space="preserve"> 2 (2): 62-71. </t>
    </r>
    <r>
      <rPr>
        <color rgb="FFFF0000"/>
      </rPr>
      <t xml:space="preserve">(moved to peer-reviewed)   </t>
    </r>
    <r>
      <rPr/>
      <t xml:space="preserve">                                                                                                                                                                                                                                                                                                                                 53. MENSAH, A.Y., MIREKU, E.A. &amp; OKWUONU, V. (2014) Anti-inflammatory and anti-oxidant activities of Secamone afzelii (Rhoem) Asclepiadaceae. </t>
    </r>
    <r>
      <rPr>
        <i/>
      </rPr>
      <t>Journal of Medical and Biomedical Sciences</t>
    </r>
    <r>
      <rPr/>
      <t xml:space="preserve">, 3(1): 23-30. </t>
    </r>
    <r>
      <rPr>
        <color rgb="FFFF0000"/>
      </rPr>
      <t>(moved to peer-reviewed)</t>
    </r>
    <r>
      <rPr/>
      <t xml:space="preserve">.                                                                                                                                                                                                                                                                                                                                                                 54. ASANTE-KWATIA, E., JIBIRA, Y., MENSAH, A.Y., &amp; OSEI-SARFOD, D. (2019). Macaranga barteri stem bark extracts exerts anti-inflammatory and anti-hyperalgesia activity in murine models. </t>
    </r>
    <r>
      <rPr>
        <i/>
      </rPr>
      <t xml:space="preserve">Discovery Phytomedicine </t>
    </r>
    <r>
      <rPr/>
      <t xml:space="preserve">6(3): 130-137. DOI: 10.15562/phytomedicine 2019.104.  </t>
    </r>
    <r>
      <rPr>
        <color rgb="FFFF0000"/>
      </rPr>
      <t xml:space="preserve">(moved to peer-reviewed) </t>
    </r>
    <r>
      <rPr/>
      <t xml:space="preserve">                                                                                                                                                                                                                                                                                   55. MENSAH, A.Y., HOUGHTON, P.J., BLOOMFIELD, S.F., VANDEN BERGHE, D.A., &amp; VLIETNICK, A.J. (2000) Known and novel terpenes from Buddleja globosa displaying selective antifungal activity against dermatophytes. </t>
    </r>
    <r>
      <rPr>
        <i/>
      </rPr>
      <t>Journal of Natural Products</t>
    </r>
    <r>
      <rPr/>
      <t xml:space="preserve">, 63:1210-1213.  </t>
    </r>
    <r>
      <rPr>
        <color rgb="FFFF0000"/>
      </rPr>
      <t xml:space="preserve"> (can't identify)     </t>
    </r>
    <r>
      <rPr/>
      <t xml:space="preserve">                                                                                                                                                                                                                                                                            56.  MENSAH, A HOUGHTON, P.J., HUGHES M. AND CHERRY, G.W. (1998) In vitro investigation of the wound-healing properties of Buddleja globosa </t>
    </r>
    <r>
      <rPr>
        <i/>
      </rPr>
      <t>Journal of Pharmacy and Pharmacology</t>
    </r>
    <r>
      <rPr/>
      <t xml:space="preserve">, 50 (Suppl.) 83.  </t>
    </r>
    <r>
      <rPr>
        <color rgb="FFFF0000"/>
      </rPr>
      <t xml:space="preserve">(moved to peer-reviewed)     </t>
    </r>
    <r>
      <rPr/>
      <t xml:space="preserve">                                                                                                                                                                                                                                                                                                                                                               57.  Michael Frimpong Baidoo, Abraham Yeboah Mensah, Paul Poku Sampene Ossei, Evelyn Asante-Kwatia, Isaac Kingsley Amponsah. (March 2021). Wound healing, antimicrobial and antioxidant properties of the leaf and stem bark of Entada africana Guill. &amp; Perr. Volume 137 Pages 52-59.</t>
    </r>
    <r>
      <rPr>
        <color rgb="FFFF0000"/>
      </rPr>
      <t xml:space="preserve"> (moved to peer-reviewed on 11/12)</t>
    </r>
    <r>
      <rPr/>
      <t xml:space="preserve">.                                                                                                                           </t>
    </r>
  </si>
  <si>
    <t>Mfecane, Sakhumzi</t>
  </si>
  <si>
    <t xml:space="preserve">1. Mfecane. S. (2018). Unknowing men: Africanising gender justice programmes in South 
Africa. Centre for Sexualities, Gender and AIDS. Pretoria: University of Pretoria Press </t>
  </si>
  <si>
    <t xml:space="preserve">1. Mfecane, S.  (2014). Friends in the Field. In Posel and Ross (eds). Ethical quandaries of   social research. Cape Town: HSRC Press 
2. Mfecane S.; Struthers H.; Gray G.; &amp; Mc lntyre J. (2005). The practice of 
Masculinity in Soweto Shebeens: implications for safer sex. In Gibson and Hardon (eds). Rethinking gender, HIV and masculinity. Amsterdam. Amsterdam University Press. 
</t>
  </si>
  <si>
    <r>
      <rPr>
        <rFont val="Calibri"/>
        <sz val="11.0"/>
      </rPr>
      <t xml:space="preserve">1. Mfecane, S (2018).  Towards African-centred theories of masculinity. Social Dynamics: A  </t>
    </r>
    <r>
      <rPr>
        <rFont val="Calibri"/>
        <i/>
        <sz val="11.0"/>
      </rPr>
      <t>Journal of African Studies</t>
    </r>
    <r>
      <rPr>
        <rFont val="Calibri"/>
        <sz val="11.0"/>
      </rPr>
      <t xml:space="preserve">, pp1-15. DOI: 10.1080/02533952.2018.1481683. 
2. Mfecane, S. (2016).  “Ndiyindoda” (I am a man): Theorising Xhosa Masculinity.  </t>
    </r>
    <r>
      <rPr>
        <rFont val="Calibri"/>
        <i/>
        <sz val="11.0"/>
      </rPr>
      <t>Anthropology Southern Africa</t>
    </r>
    <r>
      <rPr>
        <rFont val="Calibri"/>
        <sz val="11.0"/>
      </rPr>
      <t xml:space="preserve">, 39 (3): 204-214
3. Mfecane, S. (2016). Narratives of sexual negotiation among men living with HIV in a South African village. </t>
    </r>
    <r>
      <rPr>
        <rFont val="Calibri"/>
        <i/>
        <sz val="11.0"/>
      </rPr>
      <t>International Journal of Men’s Health</t>
    </r>
    <r>
      <rPr>
        <rFont val="Calibri"/>
        <sz val="11.0"/>
      </rPr>
      <t xml:space="preserve">, 15 (2): 129 - 142. 
4. Mfecane, S. (2013).   Can women ‘refuse’ condoms? Dilemmas of condom negotiation among men living with HIV in South Africa. </t>
    </r>
    <r>
      <rPr>
        <rFont val="Calibri"/>
        <i/>
        <sz val="11.0"/>
      </rPr>
      <t>Culture, Health &amp; Sexuality</t>
    </r>
    <r>
      <rPr>
        <rFont val="Calibri"/>
        <sz val="11.0"/>
      </rPr>
      <t xml:space="preserve">, 15 (12): 269 –282. 
5. Mfecane, S. (2012).  Narratives of HIV disclosure in a South African village. Culture, </t>
    </r>
    <r>
      <rPr>
        <rFont val="Calibri"/>
        <i/>
        <sz val="11.0"/>
      </rPr>
      <t>Health &amp; Sexuality,</t>
    </r>
    <r>
      <rPr>
        <rFont val="Calibri"/>
        <sz val="11.0"/>
      </rPr>
      <t xml:space="preserve"> DOI:10.1080/13691058.2011.647081
</t>
    </r>
  </si>
  <si>
    <t>Mhlambi, Innocentia</t>
  </si>
  <si>
    <t>Mhlambi I. J. 2012. African-language Literatures: Perspectives on IsiZulu Fiction and Popular Black Television Series. Johannesburg: University of the Witwatersrand Press.</t>
  </si>
  <si>
    <t xml:space="preserve">1.      Mhlambi, I. J. 2014 ‘Participatory politics in South Africa: Social commentary from above and resistance from below’. In W. Williams and J. Obedare (eds.), Africa’s Everyday Forms of Resistance. London: Zed Books:204-232.
2.      Mhlambi, I. J. 2014. Music for Troubled Times: Caiphus Semenya’s Nomalanga and Zuluboy’s Nomalanga Mntakwethu. In S. Newell and O. Onoge Readings in Popular Culture: Everyday Epistemologies. London: Routlege:341-366. 
3.         Milani, T. M., Rikard, J and Mhlambi, I. J. 2014. ‘Shooting the subversive: When “Rinkebysvenska” and “Tsotsitaal” go mainstream in the media’, in Language, Youth and Identity in the 21st Century, J. M. Nortier and A. Bente (ed.), Cambridge: Cambridge University Press:119-138.
4.       Mhlambi, I. J., Mjiyako, J. and Zungu, B. 2017 Indigenous language media systems in the postcolony: From oramedia to print and broadcast media (publication details to be provided)
</t>
  </si>
  <si>
    <r>
      <rPr/>
      <t xml:space="preserve">1.        Mhlambi I. J. 2002. ‘The hegemonic conceptualization of Buthelezi’ African renaissance as reflected in his narratives’. In </t>
    </r>
    <r>
      <rPr>
        <i/>
      </rPr>
      <t>South African Journal of African Languages</t>
    </r>
    <r>
      <rPr/>
      <t xml:space="preserve">: 22 (3):197-205
2.     Mhlambi I. J. 2008. ‘Acts of Naming: The Detective Plot in Masondo’s Fiction’. In </t>
    </r>
    <r>
      <rPr>
        <i/>
      </rPr>
      <t>South African Journal of African Languages</t>
    </r>
    <r>
      <rPr/>
      <t xml:space="preserve">: 27 (3):128-141.
3.        Mhlambi, I. J. 2010. ‘Thematic re-engagements in the television series Gaz’ Lam and isiZulu literature’. In </t>
    </r>
    <r>
      <rPr>
        <i/>
      </rPr>
      <t>South African Journal of African Languages</t>
    </r>
    <r>
      <rPr/>
      <t xml:space="preserve">: 30 (1): 119-134.
4.        Mhlambi I. J. 2010. ‘It is not crime the way you see it’: Crime discourses and the outlaw culture in Yizo Yizo’, in Current Writing: 152-165.
5.     Mhlambi, I. J. 2011. ‘Narrativising proverbs: Seeing contempereneity through archaic gazes in Aphelile Agambaqa and Impi YaboMdabu Isethunjini’. In </t>
    </r>
    <r>
      <rPr>
        <i/>
      </rPr>
      <t>Southern African Journal of Folklore Studies:</t>
    </r>
    <r>
      <rPr/>
      <t xml:space="preserve"> 21 (1) 2011:89-106. 
6.       Mhlambi, I. J. 2011. ‘A world in creolisation: Inheritance politics and the ambiguities of a very ‘modern tradition’, in two black South African TV dramas, in</t>
    </r>
    <r>
      <rPr>
        <i/>
      </rPr>
      <t xml:space="preserve"> South African Journal of African Languages</t>
    </r>
    <r>
      <rPr/>
      <t>: 31 (2):159-177. 
7.     Mhlambi, I. J.  2012. ‘Basing aesthetics on African discourses’, in J</t>
    </r>
    <r>
      <rPr>
        <i/>
      </rPr>
      <t>ournal of Literary Studies:</t>
    </r>
    <r>
      <rPr/>
      <t xml:space="preserve"> 28(2):4-19.
8.      Mhlambi I. J. 2012. ‘Seyiyakhuluma: IsiZulu as a new language for political and corporate mass communication through mobile telephony’. In the Special Issue of African Identities: The Social Lives of Mobile </t>
    </r>
    <r>
      <rPr>
        <i/>
      </rPr>
      <t>Telephony in Africa</t>
    </r>
    <r>
      <rPr/>
      <t xml:space="preserve">: 10 (2):129-142. 
9.   Mhlambi I. J. 2012. ‘Nested Narratives: ‘Some are seated well […] while others are not seated at all’. In </t>
    </r>
    <r>
      <rPr>
        <i/>
      </rPr>
      <t>Southern African Journal of Folklore Studies</t>
    </r>
    <r>
      <rPr/>
      <t xml:space="preserve">: 21 (2):14-28
10.     Mhlambi, I. J. 2014 ‘Hail to the King: Da Hip-Hop Empire and the Question of Marginalscapes in post-1994 neoliberal South Africa’. In English Studies in Africa: 57(1):81-91.
11.        Mhlambi, I. J. 2015. The Question of Nationalism in Princess Magogo kaDinuzulu’. In </t>
    </r>
    <r>
      <rPr>
        <i/>
      </rPr>
      <t>African Journal of Cultural Studies</t>
    </r>
    <r>
      <rPr/>
      <t xml:space="preserve">: 75(3):294-310.
12.       Mhlambi, I. J. 2016. Embodied Discordance: Vernacular Idioms in Winnie. In a subsection titled ‘New voices in post-apartheid black opera’, in </t>
    </r>
    <r>
      <rPr>
        <i/>
      </rPr>
      <t>Journal of African Studies</t>
    </r>
    <r>
      <rPr/>
      <t xml:space="preserve">: Vol. 75:48-73.
13.       André N., Somma, D. and Mhlambi, I. J. 2016. ‘New Voices in Black South African Opera’, in </t>
    </r>
    <r>
      <rPr>
        <i/>
      </rPr>
      <t>Journal of African Studies</t>
    </r>
    <r>
      <rPr/>
      <t xml:space="preserve">: Vol. 75: 1-9.  
14.   Mhlambi I. J. 2016. Wena ungubani? (Who are you): Spatial and temporal restructuring of social relations through ukuthakazela in the Internet. In </t>
    </r>
    <r>
      <rPr>
        <i/>
      </rPr>
      <t>Southern African Journal of African Languages</t>
    </r>
    <r>
      <rPr/>
      <t xml:space="preserve">: 36(1):109-122.
15.     Mhlambi I. J. 2016. ‘Occult imaginaries in isiZulu fictional works’, </t>
    </r>
    <r>
      <rPr>
        <i/>
      </rPr>
      <t>Alternation Journal Special Issue,</t>
    </r>
    <r>
      <rPr/>
      <t xml:space="preserve"> (18):174-196. 
16.     Mhlambi, I. J. 2017. ‘Kudzanai Chiurai’s fine art visual-sonicscapes: Creation, ritual, death and the end of times, Harvest of Thorns, Johannesburg:  Goodman Gallery’s Critical Harvests:.27-80.
</t>
    </r>
  </si>
  <si>
    <t>Mitchell, Carol</t>
  </si>
  <si>
    <t xml:space="preserve">1. Akhurst, J. &amp; Mitchell, C. (in press) Community-based service learning during clinical psychology training: working at the critically reflective interface. In C. Walker, S. Zlotowitz, A. Zoli (Eds) New ideas for new times: a handbook of innovative community and clinical psychologies.
2. Rochat, T and Mitchell C (2011).  Young children and HIV in sub-Saharan Africa: Implications for practice and intervention. In: H. Fitzgerald, K. Puura, M. Tomlinson M, &amp; C. Paul (Eds) International Perspectives on Children and Mental Health. Vol 2: Prevention and Treatment. (pp. 45-74.) Santa Barbara, CA: Praeger
3. Gelmon. S., Sherman, A., Gaudet, M., Mitchell, C. &amp; Trotter, K. (2004). Institutionalizing service-learning across the university: International comparisons. In M. Welch &amp; S. Billig (Eds.), New perspectives in service-learning: Research to advance the field (pp. 195-217). Greenwich, CT: Information Age
</t>
  </si>
  <si>
    <r>
      <rPr/>
      <t xml:space="preserve">1.Mitchell, C.J. &amp; Dabysing (2016). An exploration of students’ experiences of a distance service-learning course in four African countries. Progressio: </t>
    </r>
    <r>
      <rPr>
        <i/>
      </rPr>
      <t>South African Journal for Open and Distance Learning Practice</t>
    </r>
    <r>
      <rPr/>
      <t xml:space="preserve"> (38): 84 - 105 
2. Munsami A, Mitchell C, Lachenicht L, Kvalsvig JD, Kjetland EF, et al. (2016) The role of socio-cultural-cognition in disease prevalence and risky behaviour among children: A conceptual framework.</t>
    </r>
    <r>
      <rPr>
        <i/>
      </rPr>
      <t xml:space="preserve"> J AIDS Clin Res </t>
    </r>
    <r>
      <rPr/>
      <t xml:space="preserve">7: 631. doi: 10.4172/2155-6113.1000631
3. Hutton, N., Mitchell, C. &amp; van der Riet, M. (2016) Assessing an isiZulu questionnaire with educators in primary schools in Pietermaritzburg to establish a baseline of knowledge of Autism Spectrum Disorder. </t>
    </r>
    <r>
      <rPr>
        <i/>
      </rPr>
      <t xml:space="preserve">BMC Pediatrics </t>
    </r>
    <r>
      <rPr/>
      <t xml:space="preserve">(16): 185
4. Akhurst, J., Mitchell, C., Solomon, V., &amp; Van der Riet, M. (2016) Embedding community-based service learning into psychology degrees at UKZN, South Africa. </t>
    </r>
    <r>
      <rPr>
        <i/>
      </rPr>
      <t xml:space="preserve">Educational Research for Social Change </t>
    </r>
    <r>
      <rPr/>
      <t xml:space="preserve">(5)2: 136-150.
5. Mitchell, C., and Holdt, N. (2014). A group of South African parents’ experiences of their child being diagnosed with an Autistic Spectrum Disorder. </t>
    </r>
    <r>
      <rPr>
        <i/>
      </rPr>
      <t>Journal of Child and Adolescent Mental Health (</t>
    </r>
    <r>
      <rPr/>
      <t xml:space="preserve">26) 1: 49-62. 
6. Mitchell, C., &amp; Jonker, D. (2013). Benefits and challenges of a teacher cluster in South Africa: The case of Sizabantwana. </t>
    </r>
    <r>
      <rPr>
        <i/>
      </rPr>
      <t>Perspectives in Education</t>
    </r>
    <r>
      <rPr/>
      <t xml:space="preserve">, (31) 4: 100-113
7. Akhurst, J., &amp; Mitchell, C. (2012). International Community-Based Work Placements for UK Psychology Undergraduates: An evaluation of three cohorts’ experiences. </t>
    </r>
    <r>
      <rPr>
        <i/>
      </rPr>
      <t>Psychology Learning and Teaching</t>
    </r>
    <r>
      <rPr/>
      <t xml:space="preserve">, 11, 3, 401-405.
8. Mitchell, C.J., Mansfield, D.J. &amp; Rautenbach, S.C. (2008). Coloured filters and reading accuracy, comprehension and rate: A placebo-controlled study. </t>
    </r>
    <r>
      <rPr>
        <i/>
      </rPr>
      <t>Perceptual and Motor Skills,</t>
    </r>
    <r>
      <rPr/>
      <t xml:space="preserve"> 106: 517-532.
9. Mitchell, C.J., &amp; Humphries, H.R. (2007). From notions of charity to social justice in service-learning: The complex experience of communities. </t>
    </r>
    <r>
      <rPr>
        <i/>
      </rPr>
      <t>Education as Change,</t>
    </r>
    <r>
      <rPr/>
      <t xml:space="preserve"> 11(3): 47-58. 
10. Mitchell, C.J., &amp; Rautenbach, S.C. (2005). Questioning service learning in South Africa: problematising partnerships in the South African context. A case study from the University of Natal. </t>
    </r>
    <r>
      <rPr>
        <i/>
      </rPr>
      <t>South African Journal of Higher Education</t>
    </r>
    <r>
      <rPr/>
      <t xml:space="preserve">, 19(1): 101-112. 
11. Mitchell, C.J., Trotter, K.A. &amp; Gelmon, S.B. (2005). A case study of a higher education institutional assessment on service learning. Acta Academica, (3): 156-182.
</t>
    </r>
  </si>
  <si>
    <t xml:space="preserve">Rochat, T., Mitchell, C. &amp; Richter, L. (2008) The Psychosocial and Development Needs of Babies and Young Children Living with HIV and AIDS and their Caregivers in South Africa. Department of Health, HSRC and UNICEF
</t>
  </si>
  <si>
    <t>Munyakazi, Justin B.</t>
  </si>
  <si>
    <r>
      <rPr/>
      <t xml:space="preserve">Justin B. Munyakazi, Kailash C. Patidar, Mbani T. Sayi, A fitted numerical method for parabolic turning point singularly perturbed problems with an interior layer, Numerical Methods for Partial Differential Equations, DOI:10.1002/num.22420. Accepted.
2. Nana A. Mbroh, Justin B. Munyakazi, A fitted operator finite difference method of lines for singularly perturbed parabolic convection-diffusion problems, Mathematics and Computers in Simulation (2019), https://doi.org/10.1016/j.matcom.2019.03.007
3. Bakulikira C. Iragi, Justin B. Munyakazi, A uniformly convergent numerical method for a singularly perturbed Volterra integro-differential equation, International Journal of Computer Mathematics (2019), DOI:10.1080/00207160.2019.1585828
4. Abdulaziz Y.A. Mukhtar, Justin B. Munyakazi, Rachid Ouifki, Assessing the role of climate factors on malaria transmission dynamics in South Sudan, Mathematical Biosciences 310 (2019) 13-23.
5. Justin B. Munyakazi, Kailash C. Patidar, Mbani T. Sayi, A robust fitted operator finite difference method for singularly perturbed problems whose solution has an interior layer, Mathematics and Computers in Simulation 160 (2019) 155-167.
6. Charles K. Mbayi, Justin B. Munyakazi, Kailash C. Patidar, A robust fitted numerical method for singularly perturbed turning point problems whose solution exhibits an interior layer, Quaestiones Mathematicae 2018. https://doi.org/10.2989/16073606.2018.1523811.
7. Abdulaziz Y.A. Mukhtar, Justin B. Munyakazi, Rachid Ouifki, Allan E. Clark, Modelling the effect of bednet coverage on malaria transmission in South Sudan, PLoS ONE 16(6) (2018): e0198280. https://doi.org/10.1371/journal.pone.0198280
8. Bakulikira C. Iragi, Justin B. Munyakazi, New parameter-uniform discretisations of singularly perturbed Volterra integro-differential equations, </t>
    </r>
    <r>
      <rPr>
        <i/>
      </rPr>
      <t>Applied Mathematics &amp; Information Science</t>
    </r>
    <r>
      <rPr/>
      <t xml:space="preserve">s, 12(3) (2018) 517-527.
9. George Buzuzi, Justin B. Munyakazi, Kailash C. Patidar, A fitted numerical method to investigate the effect of various parameters on an MHD flow over an inclined plate, Numerical Methods for Partial Differential Equations, 32(1) (2016) 106-120.
10. Rita Kizito, Justin B. Munyakazi, Clement B. Basuayi, Factors affecting student success in a first-year mathematics course: A South African experience, </t>
    </r>
    <r>
      <rPr>
        <i/>
      </rPr>
      <t>International Journal of Mathematical Education in Science and Technology,</t>
    </r>
    <r>
      <rPr/>
      <t xml:space="preserve"> 47(1) (2016) 100-119.
11. Justin B. Munyakazi, A robust finite difference method for two-parameter parabolic convection-diffusion problems, </t>
    </r>
    <r>
      <rPr>
        <i/>
      </rPr>
      <t>Applied Mathematics and Information Science</t>
    </r>
    <r>
      <rPr/>
      <t xml:space="preserve">, 9(6) (2015) 2877-2883.
12. Ronald E. Mickens, Justin B. Munyakazi, Talitha M. Washington, A note on the exact discretization for a Cauchy-Euler equation: Application to the Black-Scholes Equation, </t>
    </r>
    <r>
      <rPr>
        <i/>
      </rPr>
      <t>Journal of Difference Equations and Applications,</t>
    </r>
    <r>
      <rPr/>
      <t xml:space="preserve"> 21(7) (2015) 547-552.
13. Justin B. Munyakazi, A uniformly convergent nonstandard finite difference scheme for a system of convection-diffusion equations,</t>
    </r>
    <r>
      <rPr>
        <i/>
      </rPr>
      <t xml:space="preserve"> Computational and Applied Mathematics</t>
    </r>
    <r>
      <rPr/>
      <t xml:space="preserve">, 34 (2015) 1153-1165.
14. Justin B. Munyakazi, Kailash C. Patidar, A new fitted operator finite difference method to solve systems of evolutionary reaction-diffusion equations, Quaestiones Mathematicae 38(1) (2015) 121-138.
15. Justin B. Munyakazi, Kailash C. Patidar, Performance of Richardson extrapolation on some numerical methods for a singularly perturbed turning point problem whose solution has boundary layers, </t>
    </r>
    <r>
      <rPr>
        <i/>
      </rPr>
      <t>Journal of the Korean Mathematical Society</t>
    </r>
    <r>
      <rPr/>
      <t xml:space="preserve"> 51(4) (2014) 679-702.
16. Justin B. Munyakazi, Kailash C. Patidar, A fitted numerical method for singularly perturbed parabolic reaction-diffusion problems, </t>
    </r>
    <r>
      <rPr>
        <i/>
      </rPr>
      <t>Computational and Applied Mathematics</t>
    </r>
    <r>
      <rPr/>
      <t xml:space="preserve">, 32(3) (2013) 509-519.
17. Justin B. Munyakazi, Kailash C. Patidar, An efficient numerical method for a system of singularly perturbed reaction-diffusion equations, Neural, </t>
    </r>
    <r>
      <rPr>
        <i/>
      </rPr>
      <t>Parallel &amp; Scientific Computations</t>
    </r>
    <r>
      <rPr/>
      <t xml:space="preserve">, 20 (2012) 173-190.
18. Justin B. Munyakazi, Kailash C. Patidar, Novel fitted operator finite difference methods for singularly perturbed elliptic convection-diffusion problems in two dimensions, </t>
    </r>
    <r>
      <rPr>
        <i/>
      </rPr>
      <t>Journal of Difference Equations and Applications</t>
    </r>
    <r>
      <rPr/>
      <t xml:space="preserve">, 18(5) (2012) 799-813.
19. Justin B. Munyakazi, Kailash C. Patidar, Higher order numerical methods for singularly perturbed elliptic problems, </t>
    </r>
    <r>
      <rPr>
        <i/>
      </rPr>
      <t>Neural, Parallel &amp; Scientific</t>
    </r>
    <r>
      <rPr/>
      <t xml:space="preserve"> </t>
    </r>
    <r>
      <rPr>
        <i/>
      </rPr>
      <t>Computations</t>
    </r>
    <r>
      <rPr/>
      <t xml:space="preserve">, 18 (1) (2010) 75-88.
20. Justin B. Munyakazi, Kailash C. Patidar, Limitations of Richardson extrapolation for a high order fitted mesh method for self-adjoint singularly perturbed problems, </t>
    </r>
    <r>
      <rPr>
        <i/>
      </rPr>
      <t>Journal of Applied Mathematics and Computing</t>
    </r>
    <r>
      <rPr/>
      <t xml:space="preserve">, 32(1) (2010) 219-236.
21. Justin B. Munyakazi, Kailash C. Patidar, On Richardson extrapolation for fitted operator finite difference methods, </t>
    </r>
    <r>
      <rPr>
        <i/>
      </rPr>
      <t>Applied Mathematics and Computation</t>
    </r>
    <r>
      <rPr/>
      <t>. 201 (2008) 465-480.</t>
    </r>
  </si>
  <si>
    <t>Justin B. Munyakazi, Examining the role of youth in the Maï-Maï Yakutumba insurgency, Kujenga Amani, February 1st, 2018. [Digital forum of the African Peacebuilding Network (APN) of the Social Science Research Council (SSRC)].
https://kujenga-amani.ssrc.org/2018/02/01/examining-the-role-of-youth-in-the-mai-mai-yakutumba-insurgency/
2. Justin Munyakazi, The state of mathematics in Africa: An overview, Alliances No 5, African Studies Center, University of Michigan, Winter 2013, 8th page.
https://lsa.umich.edu/content/dam/asc-assets/asc-documents/asc-publications/ascNews2013.pdf</t>
  </si>
  <si>
    <t>Nieguitsila, Adelaide</t>
  </si>
  <si>
    <r>
      <rPr/>
      <t>1. Nieguitsila A, Deville M, Halos L, Taoufik J, Berthelemy M, Chermette R, Latouche S, Arné, P, Guillot Evaluation of fungal aerosols using temporal temperature gradient electrophoresis (TTGE) and comparison with culture.</t>
    </r>
    <r>
      <rPr>
        <i/>
      </rPr>
      <t xml:space="preserve"> Journal of Microbiological Methods</t>
    </r>
    <r>
      <rPr/>
      <t xml:space="preserve">, 2007 .                                                                                                                                                                                              2.  Krief S, Vermeulen B, Kasenene J, Nieguitsila A , Berthelemy M, L'Hostis M, Bain O, Guillot J. Nodular worm infection in wild chimpanzees in Western Uganda: a risk for human health? Oesophagostomum infection in wild chimpanzees. Public Library of Science </t>
    </r>
    <r>
      <rPr>
        <i/>
      </rPr>
      <t xml:space="preserve">(PloS) </t>
    </r>
    <r>
      <rPr/>
      <t xml:space="preserve">Neglected and Tropical Diseases, 2010 .                                                                                                                                                                 3.  Nieguitsila A, Goldenberg O, Deville M, Arné P, Benoît-Valiergue H, Chermette R, Latouche- Cottenot S, Pissard S, Guillot J. Molecular monotoring of fungal communities in air samples by denaturing high performance liquid chromatography (D-HPLC). </t>
    </r>
    <r>
      <rPr>
        <i/>
      </rPr>
      <t>Journal of Applied</t>
    </r>
    <r>
      <rPr/>
      <t xml:space="preserve"> </t>
    </r>
    <r>
      <rPr>
        <i/>
      </rPr>
      <t>Microbiology</t>
    </r>
    <r>
      <rPr/>
      <t xml:space="preserve">, 2010.                                                                                                                                                                                                               4.   Thierry S, Arné P, Alanio A, Deville M, De Bruin B, Nieguitsila A, Pourcel C, Laroucau K, Chermette R, Botterel F, Bretagne S, Guillot J. Multilocus variable-number tandem repeat analysis for molecular typing of Aspergillus fumigatus. </t>
    </r>
    <r>
      <rPr>
        <i/>
      </rPr>
      <t>BMC Microbiology</t>
    </r>
    <r>
      <rPr/>
      <t>, 2010.                                                                                                                                                                                           5.  Nieguitsila A, Arné P, Durand B, Haddad N, Deville M, Benoît-Valiergue H, Chermette R, Cottenot-Latouche S, Guillot J. Relative efficiencies of two air sampling methods and three culture conditions for the assessment of airborne culturable fungi in a poultry farmhouse in France. Environmental Research, 2011.                                                                                                                                                                                                    6.  Arné P, Thierry S, Wang D, Deville M, Le Loc'h G, Desoutter A, Féménia F, Nieguitsila A, Huang Wi, Chermette R, Guillot J. Aspergillus fumigatus in Poultry International</t>
    </r>
    <r>
      <rPr>
        <i/>
      </rPr>
      <t xml:space="preserve"> Journal of Microbiology,</t>
    </r>
    <r>
      <rPr/>
      <t xml:space="preserve"> 2011.   
7.  Bouchery T, Lefoulon E, Karadjian G, Nieguitsila A, Martin C. The symbiotic role of Wolbachia in Onchocercidae and its impact on filariasis. </t>
    </r>
    <r>
      <rPr>
        <i/>
      </rPr>
      <t>Clinical Microbiological Infection</t>
    </r>
    <r>
      <rPr/>
      <t xml:space="preserve">. 2013.                                                                                                                                                                                                                                                                                                                          8.  Nieguitsila A, Frutos R, Moulia C, Lhermitte-Vallarino N, Bain O, Gavotte L, Martin C. Fitness cost of Litomosoides sigmodontis filarial infection in mite vectors; implications of infected haematophagous arthropod excretory products in host-vector interactions </t>
    </r>
    <r>
      <rPr>
        <i/>
      </rPr>
      <t>Biomedical Res International</t>
    </r>
    <r>
      <rPr/>
      <t xml:space="preserve">. 2013.                                                                                                                                                                                                         9.  Pionnier N, Brotin E, Karadjian G, Hemon P, Gaudin-Nomé F, Vallarino-Lhermitte N, Nieguitsila A, Fercoq F, Aknin ML, Marin-Esteban V, Chollet-Martin S, Schlecht-Louf G, Bachelerie F, Martin C. Neutropenic Mice Povide Insight into the Role of SkinInfiltrating Neutrophils in the Host Protective Immunity against Filarial Infective Larvae Public Library of Science </t>
    </r>
    <r>
      <rPr>
        <i/>
      </rPr>
      <t xml:space="preserve">(PloS) </t>
    </r>
    <r>
      <rPr/>
      <t xml:space="preserve">Neglected and Tropical Diseases, 2016.                                                                                                                                                                                                                        10. Karadjian G, Fercoq F, Pionnier N, Vallarino-Lhermitte N, Lefoulon E, Nieguitsila A, Specht S, Carlin LM, Martin C. Migratory phase of Litomosoides sigmodontis filarial infective larvae is associated with pathology and transient increase of S100A9 expressing neutrophils in the lung, Public Library of Science </t>
    </r>
    <r>
      <rPr>
        <i/>
      </rPr>
      <t xml:space="preserve">(PloS) </t>
    </r>
    <r>
      <rPr/>
      <t xml:space="preserve">Neglected and Tropical Diseases, 2017. </t>
    </r>
  </si>
  <si>
    <r>
      <rPr/>
      <t xml:space="preserve">1. Nieguitsila A, Deville M, Halos L, Taoufik J, Berthelemy M, Chermette R, Latouche S, Arné, P, Guillot Evaluation of fungal aerosols using temporal temperature gradient electrophoresis (TTGE) and comparison with culture. </t>
    </r>
    <r>
      <rPr>
        <i/>
      </rPr>
      <t>Journal of Microbiological Methods</t>
    </r>
    <r>
      <rPr/>
      <t xml:space="preserve">, 2007 </t>
    </r>
    <r>
      <rPr>
        <color rgb="FFFF0000"/>
      </rPr>
      <t xml:space="preserve"> (moved to peer-review)   </t>
    </r>
    <r>
      <rPr/>
      <t xml:space="preserve">                                                                                                                                                                                            2.  Krief S, Vermeulen B, Kasenene J, Nieguitsila A , Berthelemy M, L'Hostis M, Bain O, Guillot J. Nodular worm infection in wild chimpanzees in Western Uganda: a risk for human health? Oesophagostomum infection in wild chimpanzees. Public Library of Science </t>
    </r>
    <r>
      <rPr>
        <i/>
      </rPr>
      <t>(PloS</t>
    </r>
    <r>
      <rPr/>
      <t xml:space="preserve">) Neglected and Tropical Diseases, 2010  </t>
    </r>
    <r>
      <rPr>
        <color rgb="FFFF0000"/>
      </rPr>
      <t xml:space="preserve">(moved to peer-reviewed)  </t>
    </r>
    <r>
      <rPr/>
      <t xml:space="preserve">                                                                                                                                         3.  Nieguitsila A, Goldenberg O, Deville M, Arné P, Benoît-Valiergue H, Chermette R, Latouche- Cottenot S, Pissard S, Guillot J. Molecular monotoring of fungal communities in air samples by denaturing high performance liquid chromatography (D-HPLC). </t>
    </r>
    <r>
      <rPr>
        <i/>
      </rPr>
      <t>Journal of Applied Microbiology</t>
    </r>
    <r>
      <rPr/>
      <t>, 2010.</t>
    </r>
    <r>
      <rPr>
        <color rgb="FFFF0000"/>
      </rPr>
      <t xml:space="preserve"> (moved to peer-reviewed) </t>
    </r>
    <r>
      <rPr/>
      <t xml:space="preserve">                                                                                                                                            4.   Thierry S, Arné P, Alanio A, Deville M, De Bruin B, Nieguitsila A, Pourcel C, Laroucau K, Chermette R, Botterel F, Bretagne S, Guillot J. Multilocus variable-number tandem repeat analysis for molecular typing of Aspergillus fumigatus. </t>
    </r>
    <r>
      <rPr>
        <i/>
      </rPr>
      <t>BMC Microbiology,</t>
    </r>
    <r>
      <rPr/>
      <t xml:space="preserve"> 2010. </t>
    </r>
    <r>
      <rPr>
        <color rgb="FFFF0000"/>
      </rPr>
      <t xml:space="preserve">(moved to peer-reviewed)    </t>
    </r>
    <r>
      <rPr/>
      <t xml:space="preserve">                                                                                                                                                                                        5.  Nieguitsila A, Arné P, Durand B, Haddad N, Deville M, Benoît-Valiergue H, Chermette R, Cottenot-Latouche S, Guillot J. Relative efficiencies of two air sampling methods and three culture conditions for the assessment of airborne culturable fungi in a poultry farmhouse in France. </t>
    </r>
    <r>
      <rPr>
        <i/>
      </rPr>
      <t>Environmental Research</t>
    </r>
    <r>
      <rPr/>
      <t xml:space="preserve">, 2011. </t>
    </r>
    <r>
      <rPr>
        <color rgb="FFFF0000"/>
      </rPr>
      <t xml:space="preserve">(moved to peer-reviewed)    </t>
    </r>
    <r>
      <rPr/>
      <t xml:space="preserve">                                                                                                                                                                                                 6.  Arné P, Thierry S, Wang D, Deville M, Le Loc'h G, Desoutter A, Féménia F, Nieguitsila A, Huang Wi, Chermette R, Guillot J. Aspergillus fumigatus in Poultry </t>
    </r>
    <r>
      <rPr>
        <i/>
      </rPr>
      <t>International Journal of Microbiology</t>
    </r>
    <r>
      <rPr/>
      <t>, 2011.</t>
    </r>
    <r>
      <rPr>
        <color rgb="FFFF0000"/>
      </rPr>
      <t xml:space="preserve"> (moved to peer-reviewed) </t>
    </r>
    <r>
      <rPr/>
      <t xml:space="preserve"> 
7.  Bouchery T, Lefoulon E, Karadjian G, Nieguitsila A, Martin C. The symbiotic role of Wolbachia in Onchocercidae and its impact on filariasis. </t>
    </r>
    <r>
      <rPr>
        <i/>
      </rPr>
      <t>Clinical Microbiological Infection</t>
    </r>
    <r>
      <rPr/>
      <t xml:space="preserve">. 2013. </t>
    </r>
    <r>
      <rPr>
        <color rgb="FFFF0000"/>
      </rPr>
      <t>(moved</t>
    </r>
    <r>
      <rPr/>
      <t xml:space="preserve"> </t>
    </r>
    <r>
      <rPr>
        <color rgb="FFFF0000"/>
      </rPr>
      <t xml:space="preserve">to peer-reviewed)  </t>
    </r>
    <r>
      <rPr/>
      <t xml:space="preserve">                                                                                                                                                                                                                                                                                                                8.  Nieguitsila A, Frutos R, Moulia C, Lhermitte-Vallarino N, Bain O, Gavotte L, Martin C. Fitness cost of Litomosoides sigmodontis filarial infection in mite vectors; implications of infected haematophagous arthropod excretory products in host-vector interactions Biomedical Res International. 2013. </t>
    </r>
    <r>
      <rPr>
        <color rgb="FFFF0000"/>
      </rPr>
      <t xml:space="preserve">(moved to peer-reviewed) </t>
    </r>
    <r>
      <rPr/>
      <t xml:space="preserve">                                                                                                                  9.  Pionnier N, Brotin E, Karadjian G, Hemon P, Gaudin-Nomé F, Vallarino-Lhermitte N, Nieguitsila A, Fercoq F, Aknin ML, Marin-Esteban V, Chollet-Martin S, Schlecht-Louf G, Bachelerie F, Martin C. Neutropenic Mice Povide Insight into the Role of SkinInfiltrating Neutrophils in the Host Protective Immunity against Filarial Infective Larvae Public Library of Science </t>
    </r>
    <r>
      <rPr>
        <i/>
      </rPr>
      <t>(PloS) Neglected and Tropical Diseases</t>
    </r>
    <r>
      <rPr/>
      <t>, 2016.</t>
    </r>
    <r>
      <rPr>
        <color rgb="FFFF0000"/>
      </rPr>
      <t xml:space="preserve"> (moved to peer-reviewed) </t>
    </r>
    <r>
      <rPr/>
      <t xml:space="preserve">                                                                                                                                                                                                                       10. Karadjian G, Fercoq F, Pionnier N, Vallarino-Lhermitte N, Lefoulon E, Nieguitsila A, Specht S, Carlin LM, Martin C. Migratory phase of Litomosoides sigmodontis filarial infective larvae is associated with pathology and transient increase of S100A9 expressing neutrophils in the lung, </t>
    </r>
    <r>
      <rPr>
        <i/>
      </rPr>
      <t>Public Library of Science (PloS) Neglected and Tropical Diseases</t>
    </r>
    <r>
      <rPr/>
      <t xml:space="preserve">, 2017. </t>
    </r>
    <r>
      <rPr>
        <color rgb="FFFF0000"/>
      </rPr>
      <t>(moved to peer-reviewed)</t>
    </r>
  </si>
  <si>
    <t>Nwafor, Okechukwu Charles</t>
  </si>
  <si>
    <t xml:space="preserve"> Nwafor, Okechukwu Aṣọ ẹbí: Fashion, Visual Culture and Urban Cosmopolitanism in West Africa. Ann Arbor: University of Michigan Press ((Forthcoming).  
2. Nwafor, Okechukwu (2012). Eclectic Dialogue: Critical Essays in art and the Humanities (Awka: Fab Anieh Nig. Ltd). 
3. Nwafor, Okechukwu and Ikwuemesi, Chu Krydz (2010). (eds). All Things Will Die: Poems and Drawings in honour of Peter Dubem Areh (Enugu: The Pan African Circle of Artists Press). 
4. Nwafor, Okechukwu and Mature Okoduwa (2010). (eds). Radical Rhythms, a collection of poems (Lagos: Mahogany books). 
5. Nwafor, Okechukwu and C. Krydz Ikwuemesi, (2006). (eds).Voices and Visions from Nigeria: selected essays on art and culture (Enugu: The Pan African Circle of Artists Press). 
6. Nwafor, Okechukwu and Mature Okoduwa (2005).(eds). Crucibles: Poems (Lagos: Mahogany Books). 
7. Nwafor, Okechukwu (2003). Tired Soldiers and Freedom Fighters: Poems and drawings (Awka: Pencils). 
8. Nwafor, Okechukwu (2001). Before Dawn: a Collection of Poems and Drawings (Awka: Pencils and Christon). 
 </t>
  </si>
  <si>
    <t xml:space="preserve"> Nwafor, Okechukwu (2015) “Ndidi Dike: Modernist Orthodoxy and the Challenge of a Surrogate History”. Gender Discourse in African Theatre, Literature and Visual Arts Edited by Tracie Chima Utoh-Ezeajugh and Barclays Foubiri Ayakoroma. Pp.440-451. 
47. Nwafor, Okechukwu (2014) “ Chijioke: Illuminating the dark path of pedagogy”. Akala Unyi Book Catalogue. Enugu: National Gallery of Art. Pp. 57-58. 
48. Nwafor, Okechukwu (2015). "Anya Fulu Ugo: Migration, exile and homecoming" in Anya Fulu Ugo, exhibition in honour of El Anatsui and Obiora Udechukwu (Nsukka: Faculty of Arts, University of Nigeria Nsukka). Pp.7-10. 
49. Nwafor, Okechukwu (2013). “Dele Jegede: On Flower Power and witty distortions of Nigeria‟s Power and System Failure” in Toyin Falola and Aderonke Adesanya, (eds.) Dele Jegede: Artist, Cartoonist and Scholar. (New Jersey: Africa World Press), pp. 113-228. 
50. Nwafor, Okechukwu (2013). “The Centre for Excellence in the Arts and Humanities‟ (CEAH) Children‟s Art Competition and the Need for Creative Awareness” in Centre for Excellence in the Arts and Humanities 1st Cultural Fiesta Publication. Pp.45-47. 
51. Nwafor, Okechukwu (2013). “Santu Mofokeng and Drum Magazine in the Making of an African Photographic Modernity” in The Dignity of a French Teacher: Celebrating Prof. Julie Agbasiere. Chioma Uzoho, Scholastica Ezeodili, Tina Okoye (Eds). Awka: Fab Educational Books. 
52. Nwafor, Okechukwu (2013) “Foreword” Blazes and Buzzes of the Muse by Ositadimma Amakaeze. Nimo: Rex Charles. 
53. Nwafor, Okechukwu (2012). "Black Biography." In Heidi Grunebaum and Emily Maurice. Uncontained, Opening the Community Arts Project Archive. Cape Town: Centre for Humanities Research, University of the Western Cape, South Africa, pp.98-102. </t>
  </si>
  <si>
    <r>
      <rPr/>
      <t>1. Nwafor, Okechukwu (2020) “Chike C. Aniakor: The community and a congregation of figural elements,” African Arts. (In view). 
2. Nwafor, Okechukwu (2019). "Beyond Borders: Global Africa"</t>
    </r>
    <r>
      <rPr>
        <i/>
      </rPr>
      <t xml:space="preserve"> African Arts</t>
    </r>
    <r>
      <rPr/>
      <t xml:space="preserve">, Volume 52 , No. 3.
3. Nwafor, Okechukwu (2018). "Decolonising the Modern: art and postcolonial Modernism in twentieth century Nigeria". </t>
    </r>
    <r>
      <rPr>
        <i/>
      </rPr>
      <t>Cultural Critique</t>
    </r>
    <r>
      <rPr/>
      <t xml:space="preserve">, Vol. 102 (Winter 2019), pp. 189-207. </t>
    </r>
    <r>
      <rPr>
        <color rgb="FF1155CC"/>
        <u/>
      </rPr>
      <t>https://www.jstor.org/stable/10.5749/culturalcritique.102.2019.0189?seq=1#page_scan_tab_contents</t>
    </r>
    <r>
      <rPr/>
      <t xml:space="preserve">.
4. Nwafor, Okechukwu (2018). "Osa Egonwa’s inaugural lecture: Matters Arising"  Mgbakoigba, Journal of </t>
    </r>
    <r>
      <rPr>
        <i/>
      </rPr>
      <t>African Studies</t>
    </r>
    <r>
      <rPr/>
      <t xml:space="preserve">. Vol.7, No.2. June 2018.                                                                                                                             5. Nwafor, Okechukwu (2018). "Theatricality as a strategy in Pieter Hugo’s Hyena and Other Men and Nollywood photographs". Igwebuike: an </t>
    </r>
    <r>
      <rPr>
        <i/>
      </rPr>
      <t>African journal of Arts and Humanities.</t>
    </r>
    <r>
      <rPr/>
      <t xml:space="preserve"> Vol.4, No.1 April, 2018.
6. Nwafor, Okechukwu (2015) "Four Perspectives to curating four exhibitions in South Africa" Mgbakoigba, </t>
    </r>
    <r>
      <rPr>
        <i/>
      </rPr>
      <t>Journal of African Studies</t>
    </r>
    <r>
      <rPr/>
      <t xml:space="preserve">. Vol.5 No.1. December 2015. http://www.ajol.info/index.php/mjas/article/view/129694. 
7. Nwafor, Okechukwu (2015): A Nomad‟s Harvest, Iziko South African National Gallery, Cape Town” </t>
    </r>
    <r>
      <rPr>
        <i/>
      </rPr>
      <t>African Arts</t>
    </r>
    <r>
      <rPr/>
      <t xml:space="preserve">, Volume 48, Number 2. Pp. 80-82 (Published by Massachusetts Institute of Technology (MIT) Press. Online Access: http://www.mitpressjournals.org/doi/abs/10.1162/AFAR_r_00223?journalCode=afar#.VXqyltKqq ko. 
8. Nwafor, Okechukwu (2015). “Photography: Daguerreotype and The African Experience.” </t>
    </r>
    <r>
      <rPr>
        <i/>
      </rPr>
      <t>Mgbakoigba: Journal of African Studies</t>
    </r>
    <r>
      <rPr/>
      <t xml:space="preserve">. Vol.4, pp.185-190. Online Access: http://www.ajol.info/index.php/mjas/article/view/118498. 
9.  Nwafor, Okechukwu (2013): “The Necessity of Public Sociology in South Africa.” </t>
    </r>
    <r>
      <rPr>
        <i/>
      </rPr>
      <t>Mgbakoigba: Journal of African Studies</t>
    </r>
    <r>
      <rPr/>
      <t xml:space="preserve">. Vol. 2. 2013, pp.221-229. Online Access: http://www.ajol.info/index.php/mjas/article/view/117892 
10. Nwafor, Okechukwu (2012). “Nelson Mandela and the politics of representation in Robben Island Museum.” </t>
    </r>
    <r>
      <rPr>
        <i/>
      </rPr>
      <t>AFREEV IJAH, an International Journal of Arts and Humanities</t>
    </r>
    <r>
      <rPr/>
      <t>. Vol. 1, No. 2. pp. 133-141.Online access: http://afrrevjo.net/journals/ijah/Vol_1_no_2_art_10_NwaforO.pdf. 
11. Nwafor, Okechukwu (2012). “Community Arts Project and the Making of Black Biography in South Africa.” Lwati</t>
    </r>
    <r>
      <rPr>
        <i/>
      </rPr>
      <t>, A Journal of Contemporary Research</t>
    </r>
    <r>
      <rPr/>
      <t xml:space="preserve"> pp.124-134. Online access: http://www.ajol.info/index.php/lwati/article/view/80883 
12.. Nwafor,  Okechukwu  (2012).  Between  the  Holocaust  museum  in  Washington  DC  and  Ghana‟s Cape Coast Exhibition: Contestations over memory and heritage, </t>
    </r>
    <r>
      <rPr>
        <i/>
      </rPr>
      <t>Mgbakoigba, Journal of African Studies</t>
    </r>
    <r>
      <rPr/>
      <t xml:space="preserve">, Vol. 2, pp.214-221. Online Access: http://www.ajol.info/index.php/mjas/article/view/117891 Curriculum Vitae of Okechukwu Nwafor, PhD. Page 7 of 24 
13. Nwafor, Okechukwu (2012). “Book Review: A Way To Die” in Mgbakoigba: </t>
    </r>
    <r>
      <rPr>
        <i/>
      </rPr>
      <t xml:space="preserve">Journal of African Studies. </t>
    </r>
    <r>
      <rPr/>
      <t xml:space="preserve">Vol.1. pp.185-190. Online Access: Http://Www.Ajol.Info/Index.Php/Mjas/Article/Viewfile/117192/106760. 
14.. Nwafor, Okechukwu (2010). “Inertia Versus  Hysteria:  A  Critical  Inquiry  into  Uche Edochie‟s Visual Concepts,” </t>
    </r>
    <r>
      <rPr>
        <i/>
      </rPr>
      <t>Unizik Journal of Arts and the Humanities</t>
    </r>
    <r>
      <rPr/>
      <t>, Vol. II. No. 2.Pp.134-161. https://naudigitallibrary.wordpress.com/2014/03/27/inertia-versus-hysteria-a-critical-inquiry-into- uche-edochies-visual-concepts/ 
15. Nwafor, Okechukwu (2015). “A critique of the heritage industry in Postcolonial Africa”</t>
    </r>
    <r>
      <rPr>
        <i/>
      </rPr>
      <t xml:space="preserve"> Environmental Review</t>
    </r>
    <r>
      <rPr/>
      <t xml:space="preserve">: A Multi disciplinary Journal of the Environmental Sciences. Volume 5, Number 1. 2015. Pp. 52-68. http://erjournal.net/index.php/erjournal/article/view/9. 
 </t>
    </r>
  </si>
  <si>
    <r>
      <rPr/>
      <t xml:space="preserve">1. Nwafor, Okechukwu (2020) “Chike C. Aniakor: The community and a congregation of figural elements,” African Arts. (In view). </t>
    </r>
    <r>
      <rPr>
        <color rgb="FFFF0000"/>
      </rPr>
      <t>(moved to peer-reviewed)</t>
    </r>
    <r>
      <rPr/>
      <t xml:space="preserve">
2. Nwafor, Okechukwu (2019). "Beyond Borders: Global Africa" African Arts, Volume 52 , No. 3  </t>
    </r>
    <r>
      <rPr>
        <color rgb="FFFF0000"/>
      </rPr>
      <t xml:space="preserve">(moved to peer-reviewed) </t>
    </r>
    <r>
      <rPr/>
      <t xml:space="preserve">
3. Nwafor, Okechukwu (2018). "Decolonising the Modern: art and postcolonial Modernism in twentieth century Nigeria". Cultural Critique, Vol. 102 (Winter 2019), pp. 189-207. https://www.jstor.org/stable/10.5749/culturalcritique.102.2019.0189?seq=1#page_scan_tab_contents</t>
    </r>
    <r>
      <rPr>
        <color rgb="FFFF0000"/>
      </rPr>
      <t xml:space="preserve"> (moved to peer-reviewed)</t>
    </r>
    <r>
      <rPr/>
      <t xml:space="preserve">
4. Nwafor, Okechukwu (2018). "Osa Egonwa’s inaugural lecture: Matters Arising"  Mgbakoigba, Journal of African Studies. Vol.7, No.2. June 2018.</t>
    </r>
    <r>
      <rPr>
        <color rgb="FFFF0000"/>
      </rPr>
      <t xml:space="preserve"> (moved to peer-reviewed)</t>
    </r>
    <r>
      <rPr/>
      <t xml:space="preserve">
5. Nwafor, Okechukwu (2018). "Theatricality as a strategy in Pieter Hugo’s Hyena and Other Men and Nollywood photographs". Igwebuike: an African journal of Arts and Humanities. Vol.4, No.1 April, 2018. </t>
    </r>
    <r>
      <rPr>
        <color rgb="FFFF0000"/>
      </rPr>
      <t>(moved to peer-reviewed)</t>
    </r>
    <r>
      <rPr/>
      <t xml:space="preserve">
6. Nwafor, Okechukwu (2015) "Four Perspectives to curating four exhibitions in South Africa" Mgbakoigba, Journal of African Studies. Vol.5 No.1. December 2015. </t>
    </r>
    <r>
      <rPr>
        <color rgb="FF1155CC"/>
        <u/>
      </rPr>
      <t>http://www.ajol.info/index.php/mjas/article/view/129694.</t>
    </r>
    <r>
      <rPr/>
      <t xml:space="preserve"> </t>
    </r>
    <r>
      <rPr>
        <color rgb="FFFF0000"/>
      </rPr>
      <t>(moved to peer-reviewed)</t>
    </r>
    <r>
      <rPr/>
      <t xml:space="preserve">
7. Nwafor, Okechukwu (2015): A Nomad‟s Harvest, Iziko South African National Gallery, Cape Town” African Arts, Volume 48, Number 2. Pp. 80-82 (Published by Massachusetts Institute of Technology (MIT) Press. Online Access: http://www.mitpressjournals.org/doi/abs/10.1162/AFAR_r_00223?journalCode=afar#.VXqyltKqq ko.</t>
    </r>
    <r>
      <rPr>
        <color rgb="FFFF0000"/>
      </rPr>
      <t xml:space="preserve"> (moved to peer-reviewed)</t>
    </r>
    <r>
      <rPr/>
      <t xml:space="preserve">
8. Nwafor, Okechukwu (2015). “Photography: Daguerreotype and The African Experience.” Mgbakoigba: Journal of African Studies. Vol.4, pp.185-190. Online Access: </t>
    </r>
    <r>
      <rPr>
        <color rgb="FF1155CC"/>
        <u/>
      </rPr>
      <t>http://www.ajol.info/index.php/mjas/article/view/118498.</t>
    </r>
    <r>
      <rPr>
        <color rgb="FFFF0000"/>
      </rPr>
      <t xml:space="preserve"> (moved to peer-reviewed)</t>
    </r>
    <r>
      <rPr/>
      <t xml:space="preserve">
9. Nwafor, Okechukwu (2013): “The Fabric of Friendship, Aso ebi and the Moral Economy of Amity in Nigeria” African Studies, (Published by Routledge), 72:1, 1-18. Online access: 
Curriculum Vitae of Okechukwu Nwafor, PhD. Page 6 of 24 http://www.tandfonline.com/doi/abs/10.1080/00020184.2013.776195  </t>
    </r>
    <r>
      <rPr>
        <color rgb="FFFF0000"/>
      </rPr>
      <t>(can't identify)</t>
    </r>
    <r>
      <rPr/>
      <t xml:space="preserve">
10. Nwafor, Okechukwu (2013): “The Necessity of Public Sociology in South Africa.” Mgbakoigba: Journal of African Studies. Vol. 2. 2013, pp.221-229. Online Access: http://www.ajol.info/index.php/mjas/article/view/117892 </t>
    </r>
    <r>
      <rPr>
        <color rgb="FFFF0000"/>
      </rPr>
      <t>(moved to peer-reviewed)</t>
    </r>
    <r>
      <rPr/>
      <t xml:space="preserve">
11. Nwafor, Okechukwu (2012): “Yoruba Uniforms: Aso ebi” World Encyclopedia of Fashion and Dress. Online Access: http://www.bergfashionlibrary.com/view/bewdf/BEWDF- v1/EDch1611.xml  </t>
    </r>
    <r>
      <rPr>
        <color rgb="FFFF0000"/>
      </rPr>
      <t>(encyclopedia)</t>
    </r>
    <r>
      <rPr/>
      <t xml:space="preserve">
12. Nwafor, Okechukwu (2012). “Snapshot: Asọ Ebì and Fashion Magazines in Nigeria.” World Encyclopedia of Fashion and Dress. Online Access: http://www.bergfashionlibrary.com/view/bewdf/BEWDF-v1/EDch1612.xml </t>
    </r>
    <r>
      <rPr>
        <color rgb="FFFF0000"/>
      </rPr>
      <t xml:space="preserve"> (encyclopedia)</t>
    </r>
    <r>
      <rPr/>
      <t xml:space="preserve">
13.. Nwafor, Okechukwu (2012). “From Asia to Africa, Tretchikoff, the People‟s Painter,” </t>
    </r>
    <r>
      <rPr>
        <i/>
      </rPr>
      <t>Nka: Journal of Contemporary African Art</t>
    </r>
    <r>
      <rPr/>
      <t xml:space="preserve">. (Published by Duke University Press, USA). Vol. 31, Fall 2012. pp. 157-161. Online access: </t>
    </r>
    <r>
      <rPr>
        <color rgb="FF1155CC"/>
        <u/>
      </rPr>
      <t>http://nka.dukejournals.org/content/2012/31/142.abstract.</t>
    </r>
    <r>
      <rPr>
        <color rgb="FFFF0000"/>
      </rPr>
      <t xml:space="preserve"> (can't identify)</t>
    </r>
    <r>
      <rPr/>
      <t xml:space="preserve">
14.  Nwafor, Okechukwu (2012). “Of mutuality and copying: fashioning aso ebi through Fashion Magazines in Lagos” in Fashion Theory, (Published by Rutledge, Taylor and Francis). Vol. 16, Issue 4. pp.493-520. Online access: http://connection.ebscohost.com/c/articles/83270636/mutuality-copying-fashioning-aso-ebi- through-fashion-magazines-lagos 23. Nwafor, Okechukwu. 2012. “Photography and the Spectacle of Aso Ebi in Lagos, 1960-2010.” PhD Research submitted to the University of the Western Cape, South Africa and published online by University of the Western Cape. </t>
    </r>
    <r>
      <rPr>
        <color rgb="FF1155CC"/>
        <u/>
      </rPr>
      <t>http://etd.uwc.ac.za/xmlui/handle/11394/3921.</t>
    </r>
    <r>
      <rPr>
        <color rgb="FFFF0000"/>
      </rPr>
      <t xml:space="preserve"> (can't identify)</t>
    </r>
    <r>
      <rPr/>
      <t xml:space="preserve">
15. Nwafor, Okechukwu (2012). “Nelson Mandela and the politics of representation in Robben Island Museum.” </t>
    </r>
    <r>
      <rPr>
        <i/>
      </rPr>
      <t>AFREEV IJAH, an International Journal of Arts and Humanities</t>
    </r>
    <r>
      <rPr/>
      <t xml:space="preserve">. Vol. 1, No. 2. pp. 133-141.Online access: </t>
    </r>
    <r>
      <rPr>
        <color rgb="FF1155CC"/>
        <u/>
      </rPr>
      <t>http://afrrevjo.net/journals/ijah/Vol_1_no_2_art_10_NwaforO.pdf.</t>
    </r>
    <r>
      <rPr/>
      <t xml:space="preserve"> </t>
    </r>
    <r>
      <rPr>
        <color rgb="FFFF0000"/>
      </rPr>
      <t>(moved to peer-reviewed)</t>
    </r>
    <r>
      <rPr/>
      <t xml:space="preserve">
16. Nwafor, Okechukwu (2012). “Community Arts Project and the Making of Black Biography in South Africa.” </t>
    </r>
    <r>
      <rPr>
        <i/>
      </rPr>
      <t>Lwati, A Journal of Contemporary Research</t>
    </r>
    <r>
      <rPr/>
      <t xml:space="preserve"> pp.124-134. Online access: http://www.ajol.info/index.php/lwati/article/view/80883</t>
    </r>
    <r>
      <rPr>
        <color rgb="FFFF0000"/>
      </rPr>
      <t xml:space="preserve"> (moved to peer-reviewed)</t>
    </r>
    <r>
      <rPr/>
      <t xml:space="preserve">
17. Nwafor, Okechukwu (2012). “Niche Tourism and the Challenges of Developing Medical Tourism in the Western Cape Province of South Africa.”</t>
    </r>
    <r>
      <rPr>
        <i/>
      </rPr>
      <t xml:space="preserve"> Journal of Emerging Trends in Educational Research and Policy Studies (JETERAPS) </t>
    </r>
    <r>
      <rPr/>
      <t xml:space="preserve">3(4): 600-604.Online access: http://jeteraps.scholarlinkresearch.org/abstractview.php?id=615  </t>
    </r>
    <r>
      <rPr>
        <color rgb="FFFF0000"/>
      </rPr>
      <t>(moved to peer-reviewed)</t>
    </r>
    <r>
      <rPr/>
      <t xml:space="preserve">
18.. Nwafor,  Okechukwu  (2012).  Between  the  Holocaust  museum  in  Washington  DC  and  Ghana‟s Cape Coast Exhibition: Contestations over memory and heritage, Mgbakoigba, Journal of African Studies, Vol. 2, pp.214-221. Online Access: http://www.ajol.info/index.php/mjas/article/view/117891 Curriculum Vitae of Okechukwu Nwafor, PhD. Page 7 of 24 </t>
    </r>
    <r>
      <rPr>
        <color rgb="FFFF0000"/>
      </rPr>
      <t>(moved to peer-reviewed)</t>
    </r>
    <r>
      <rPr/>
      <t xml:space="preserve">
19. Nwafor, Okechukwu (2012). “Book Review: A Way To Die” in </t>
    </r>
    <r>
      <rPr>
        <i/>
      </rPr>
      <t>Mgbakoigba: Journal of African Studies.</t>
    </r>
    <r>
      <rPr/>
      <t xml:space="preserve"> Vol.1. pp.185-190. Online Access: </t>
    </r>
    <r>
      <rPr>
        <color rgb="FF1155CC"/>
        <u/>
      </rPr>
      <t>Http://Www.Ajol.Info/Index.Php/Mjas/Article/Viewfile/117192/106760.</t>
    </r>
    <r>
      <rPr>
        <color rgb="FFFF0000"/>
      </rPr>
      <t xml:space="preserve"> (moved to peer-reviewed)</t>
    </r>
    <r>
      <rPr/>
      <t xml:space="preserve">
20. Nwafor, Okechukwu (2012) “Boniface Okafor: The Nigerian Surrealist Painter” </t>
    </r>
    <r>
      <rPr>
        <i/>
      </rPr>
      <t>OGIRISI: a New Journal of African Studies</t>
    </r>
    <r>
      <rPr/>
      <t>. Vol. 9. 2012. Pp. 163-178. Online Access: http://www.ajol.info/index.php/og/article/view/84684/74672</t>
    </r>
    <r>
      <rPr>
        <color rgb="FFFF0000"/>
      </rPr>
      <t xml:space="preserve"> (can't identify)</t>
    </r>
    <r>
      <rPr/>
      <t xml:space="preserve">
21. Nwafor, Okechukwu (2011). “Culture, Corruption, Politics, National Museum of Unity Enugu and the struggle for the survival of cultural institutions in Nigeria”,</t>
    </r>
    <r>
      <rPr>
        <i/>
      </rPr>
      <t xml:space="preserve"> Critical Interventions</t>
    </r>
    <r>
      <rPr/>
      <t>. Vol.7 Fall, pp.118-131. (Published by Routledge). Online access: http://www.tandfonline.com/doi/abs/10.1080/19301944.2010.10781391#.U9DSok2Sxs4 .</t>
    </r>
    <r>
      <rPr>
        <color rgb="FFFF0000"/>
      </rPr>
      <t xml:space="preserve"> (can't identify)</t>
    </r>
    <r>
      <rPr/>
      <t xml:space="preserve">
22.. Nwafor, Okechukwu (2011). “The Spectacle of Aso ebi in Lagos: 1990-2008,” in Postcolonial Studies (Published by Routledge).Vol.14. No.1 February 2011, pp.45-62.Online access: http://www.tandfonline.com/doi/abs/10.1080/13688790.2011.542114  </t>
    </r>
    <r>
      <rPr>
        <color rgb="FFFF0000"/>
      </rPr>
      <t>(can't identify)</t>
    </r>
    <r>
      <rPr/>
      <t xml:space="preserve">
23. Nwafor, Okechukwu (2011). “Reading Impulses” In </t>
    </r>
    <r>
      <rPr>
        <i/>
      </rPr>
      <t>Ogirisi, New Journal of African Studies</t>
    </r>
    <r>
      <rPr/>
      <t xml:space="preserve">, Vol. 8, pp.39-50. Online Access: http://www.ajol.info/index.php/og/article/viewFile/71759/60716 33. Nwafor, Okechukwu (2010). “From Pierneef to Gugulective, the final full stop,” in </t>
    </r>
    <r>
      <rPr>
        <i/>
      </rPr>
      <t>artsouthafrica online journal,</t>
    </r>
    <r>
      <rPr/>
      <t xml:space="preserve"> October, visit </t>
    </r>
    <r>
      <rPr>
        <color rgb="FF1155CC"/>
        <u/>
      </rPr>
      <t>http://www.artsouthafrica.com/?news=268.</t>
    </r>
    <r>
      <rPr>
        <color rgb="FFFF0000"/>
      </rPr>
      <t xml:space="preserve"> (can't identify)</t>
    </r>
    <r>
      <rPr/>
      <t xml:space="preserve">
 24.. Nwafor, Okechukwu (2010). “Inertia Versus  Hysteria:  A  Critical  Inquiry  into  Uche Edochie‟s Visual Concepts,” Unizik Journal of Arts and the Humanities, Vol. II. No. 2.Pp.134-161. https://naudigitallibrary.wordpress.com/2014/03/27/inertia-versus-hysteria-a-critical-inquiry-into- uche-edochies-visual-concepts/ </t>
    </r>
    <r>
      <rPr>
        <color rgb="FFFF0000"/>
      </rPr>
      <t>(moved to peer-reviewed)</t>
    </r>
    <r>
      <rPr/>
      <t xml:space="preserve">
25. Nwafor, Okechukwu (2015). “A critique of the heritage industry in Postcolonial Africa” Environmental Review: A Multi disciplinary </t>
    </r>
    <r>
      <rPr>
        <i/>
      </rPr>
      <t>Journal of the Environmental Sciences</t>
    </r>
    <r>
      <rPr/>
      <t xml:space="preserve">. Volume 5, Number 1. 2015. Pp. 52-68. </t>
    </r>
    <r>
      <rPr>
        <color rgb="FF1155CC"/>
        <u/>
      </rPr>
      <t>http://erjournal.net/index.php/erjournal/article/view/9.</t>
    </r>
    <r>
      <rPr/>
      <t xml:space="preserve"> </t>
    </r>
    <r>
      <rPr>
        <color rgb="FFFF0000"/>
      </rPr>
      <t>(moved to peer-reviewed)</t>
    </r>
    <r>
      <rPr/>
      <t xml:space="preserve">
26. Nwafor, Okechukwu (2013) “Things Fall Apart in Linear Narration.”</t>
    </r>
    <r>
      <rPr>
        <i/>
      </rPr>
      <t xml:space="preserve"> Kpakpando An International Journal of Igbo Studies </t>
    </r>
    <r>
      <rPr/>
      <t xml:space="preserve">January, 3013. p.182-194. </t>
    </r>
    <r>
      <rPr>
        <color rgb="FFFF0000"/>
      </rPr>
      <t xml:space="preserve"> (can't identify)</t>
    </r>
    <r>
      <rPr/>
      <t xml:space="preserve">
27. Nwafor, Okechukwu (2013). “100 Years of South African Art: From Pierneef to Gugulective.” </t>
    </r>
    <r>
      <rPr>
        <i/>
      </rPr>
      <t>AJELLS: Awka Journal of English and Literary Studies</t>
    </r>
    <r>
      <rPr/>
      <t xml:space="preserve">, Vol. 4, No. 1. Pp.86-108. </t>
    </r>
    <r>
      <rPr>
        <color rgb="FFFF0000"/>
      </rPr>
      <t>(moved to peer-reviewed)</t>
    </r>
    <r>
      <rPr/>
      <t xml:space="preserve">
28. Nwafor, Okechukwu (2012). “Conversation with Pieter Hugo in Cape Town” in J</t>
    </r>
    <r>
      <rPr>
        <i/>
      </rPr>
      <t>ournal of Fine and Applied Arts</t>
    </r>
    <r>
      <rPr/>
      <t xml:space="preserve">. Nnamdi Azikiwe University, Awka. Vol. 2. Curriculum Vitae of Okechukwu Nwafor, PhD. Page 8 of 24 </t>
    </r>
    <r>
      <rPr>
        <color rgb="FFFF0000"/>
      </rPr>
      <t>(moved to peer-reviewed)</t>
    </r>
    <r>
      <rPr/>
      <t xml:space="preserve">
29. Nwafor, Okechukwu (2009). “Religion and the Excess of Zeal in Things Fall Apart,”</t>
    </r>
    <r>
      <rPr>
        <i/>
      </rPr>
      <t xml:space="preserve"> Ikhogho: A Multi-disciplinary Journal,</t>
    </r>
    <r>
      <rPr/>
      <t xml:space="preserve"> Vol. 6, No.1. pp.1-6. </t>
    </r>
    <r>
      <rPr>
        <color rgb="FFFF0000"/>
      </rPr>
      <t>(moved to peer-reviewed)</t>
    </r>
    <r>
      <rPr/>
      <t xml:space="preserve">
30. Nwafor, Okechukwu (2008). “Symbols and Motifs: A study of their applications in Art and Life” in A</t>
    </r>
    <r>
      <rPr>
        <i/>
      </rPr>
      <t>wka Journal of English and Literary Studies (AJELLS)</t>
    </r>
    <r>
      <rPr/>
      <t>, Vol.2, pp. 120-129.</t>
    </r>
    <r>
      <rPr>
        <color rgb="FFFF0000"/>
      </rPr>
      <t xml:space="preserve">(moved to peer-reviewed) </t>
    </r>
    <r>
      <rPr/>
      <t xml:space="preserve">
31. Nwafor, Okechukwu (2008). “The Challenge of Reality in Pieter Hugo‟s Photography”, (eds), Tracie Chima Utoh-Ezeajugh, Clementina Abone, Alex Asigbo, The Creative Artist: A </t>
    </r>
    <r>
      <rPr>
        <i/>
      </rPr>
      <t>Journal of Theatre and Media Studies</t>
    </r>
    <r>
      <rPr/>
      <t>, Vol.2, No.1, pp.254-289. https://scholar.google.com/scholar?q=%E2%80%9CThe+Challenge+of+Reality+in+Pieter+Hugo %E2%80%9Fs+Photography%E2%80%9D%2C&amp;btnG=&amp;hl=en&amp;as_sdt=0%2C5</t>
    </r>
    <r>
      <rPr>
        <color rgb="FFFF0000"/>
      </rPr>
      <t xml:space="preserve"> (moved to peer-reviewed)</t>
    </r>
    <r>
      <rPr/>
      <t xml:space="preserve">
32. Nwafor, Okechukwu (2007). “Under Younger Eyes: Re-reading the works of Obiora Udechukwu,” in Globalization and African Development. Lagos: Essence, Interdisciplinary Journal of Philosophy. Vol. 4. pp. 76-90. https://scholar.google.com/scholar?q=Under+Younger+Eyes%3A+Re- reading+the+works+of+Obiora+Udechukwu&amp;btnG=&amp;hl=en&amp;as_sdt=0%2C5 43. Nwafor, Okechukwu (2004). “Postmodern Tendencies in Nigerian Art: Breaking the Chains of Myopia,” in Ogirisi: A New </t>
    </r>
    <r>
      <rPr>
        <i/>
      </rPr>
      <t>Journal of African Studies,</t>
    </r>
    <r>
      <rPr/>
      <t xml:space="preserve"> Vol. 2, No.1. pp.124-131. 44. Nwafor, Okechukwu (2004).“Resolving Intercontinental Differences; Art &amp; its Practice in Africa”, </t>
    </r>
    <r>
      <rPr>
        <i/>
      </rPr>
      <t>UNIZIK Journal of the Humanities</t>
    </r>
    <r>
      <rPr/>
      <t xml:space="preserve">. </t>
    </r>
    <r>
      <rPr>
        <color rgb="FFFF0000"/>
      </rPr>
      <t>(moved to peer-reviewed)</t>
    </r>
    <r>
      <rPr/>
      <t xml:space="preserve">
33. Nwafor, Okechukwu (2004). “Painting and Sculpture Experiments: A critical survey,” in </t>
    </r>
    <r>
      <rPr>
        <i/>
      </rPr>
      <t>Awka Journal of Research in Music and the Arts (AJRMA)</t>
    </r>
    <r>
      <rPr/>
      <t xml:space="preserve"> Vol. 2, pp.182-190. </t>
    </r>
    <r>
      <rPr>
        <color rgb="FFFF0000"/>
      </rPr>
      <t>(moved to peer-reviewed)</t>
    </r>
    <r>
      <rPr/>
      <t xml:space="preserve">
 </t>
    </r>
  </si>
  <si>
    <t>Nyante, Gifty Gyamah</t>
  </si>
  <si>
    <t xml:space="preserve">1.	Hughton, A., &amp; Nyante, G.G. (2014). Physiotherapy in women’s health–Contributions of Allied Health Sciences to health care delivery in Ghana. Digibooks Ghana Ltd, 151– 15
</t>
  </si>
  <si>
    <r>
      <rPr/>
      <t>1.        Nyante, G.G., Carpenter, C. (2019). The experience of carers of children with cerebral palsy living in rural areas of Ghana who have received no rehabilitation services: A qualitative study. Child:</t>
    </r>
    <r>
      <rPr>
        <i/>
      </rPr>
      <t xml:space="preserve"> care,</t>
    </r>
    <r>
      <rPr/>
      <t xml:space="preserve"> </t>
    </r>
    <r>
      <rPr>
        <i/>
      </rPr>
      <t>health and development</t>
    </r>
    <r>
      <rPr/>
      <t xml:space="preserve">. Doi.org/10.1111/cch.12706.                                                                                                                                                                                                                                                                                                                          2.        Nyante, G. G., Oppong, C., Bonney, E. (2019). Sex differences in physical activity among Ghanaian patients with sickle cell diseases. </t>
    </r>
    <r>
      <rPr>
        <i/>
      </rPr>
      <t>Pan African Medical Journal</t>
    </r>
    <r>
      <rPr/>
      <t>, 32. 
3.        Zuurmond, M., Nyante, G., Baltussen, M., Seeley, J., Abanga, J., Shakespeare, T., ... &amp; Bernays, S. (2019). A support programme for caregivers of children with disabilities in Ghana: Understanding the impact on the wellbeing of caregivers. Child:</t>
    </r>
    <r>
      <rPr>
        <i/>
      </rPr>
      <t xml:space="preserve"> care, health and development,</t>
    </r>
    <r>
      <rPr/>
      <t xml:space="preserve"> 45(1), 45-53. 
4.        Donkor, C.M., Lee, J., Lelijveld, N., Adams, M., Baltussen, M.M., Nyante, G.G., Kerac, M., Polack, S. and Zuurmond, M. (2018). Improving nutritional status of children with Cerebral palsy: a qualitative study of caregiver experiences and community‐based training in Ghana. </t>
    </r>
    <r>
      <rPr>
        <i/>
      </rPr>
      <t>Food Science &amp; Nutrition</t>
    </r>
    <r>
      <rPr/>
      <t xml:space="preserve">, 15;7(1), 35-43.
5.        Zuurmond, M., O’Banion, D., Gladstone, M., Carsamar, S., Kerac, M., Baltussen, M., Tann, C.J., Nyante, G.G. and Polack, S. (2018). Evaluating the impact of a community-based parent-training programme for children with cerebral palsy in Ghana. </t>
    </r>
    <r>
      <rPr>
        <i/>
      </rPr>
      <t xml:space="preserve">PloS one, </t>
    </r>
    <r>
      <rPr/>
      <t xml:space="preserve">13(9).
6.        Nyante, G. G., Igo, S., Carpenter, C. (2016). Conceptualization of cerebral palsy:  experiences of caregivers of children with cerebral palsy in rural communities, Ghana. NUMID </t>
    </r>
    <r>
      <rPr>
        <i/>
      </rPr>
      <t>Horazon International Journal for Nursing and Midwifery</t>
    </r>
    <r>
      <rPr/>
      <t xml:space="preserve">, 1(1), 19-28.
7.        Amosun, S. L., Nyante, G. G., &amp; Wiredu, E. K. (2013). Perceived and experienced restrictions in participation and autonomy among adult survivors of stroke in Ghana. </t>
    </r>
    <r>
      <rPr>
        <i/>
      </rPr>
      <t>African Health Sciences,</t>
    </r>
    <r>
      <rPr/>
      <t xml:space="preserve"> 13(1), 24-31. 
8.        Kelemen, B. W., Haig, A. J., Goodnight, S., &amp; Nyante, G. G (2013). The nature and prevalence of disability in a ghanaian community as measured by the language independent functional evaluation. </t>
    </r>
    <r>
      <rPr>
        <i/>
      </rPr>
      <t>Pan African Medical Journal</t>
    </r>
    <r>
      <rPr/>
      <t xml:space="preserve">, 14(1). 
9.        Olaogun, M. O. B., Nyante, G. G., &amp; Bello, A. I. (2009). Overcoming the Barriers for Participation by the Disabled: An appraisal and global view of community-based rehabilitation in community development. </t>
    </r>
    <r>
      <rPr>
        <i/>
      </rPr>
      <t>African Journal of Physiotherapy and Rehabilitation Sciences</t>
    </r>
    <r>
      <rPr/>
      <t xml:space="preserve">, 1(1), 24-29. 
</t>
    </r>
  </si>
  <si>
    <r>
      <rPr/>
      <t xml:space="preserve">1.        Nyante, G.G., Carpenter, C. (2019). The experience of carers of children with cerebral palsy living in rural areas of Ghana who have received no rehabilitation services: A qualitative study. </t>
    </r>
    <r>
      <rPr>
        <i/>
      </rPr>
      <t>Child: care, health and development.</t>
    </r>
    <r>
      <rPr/>
      <t xml:space="preserve"> </t>
    </r>
    <r>
      <rPr>
        <color rgb="FF1155CC"/>
        <u/>
      </rPr>
      <t>Doi.org/10.1111/cch.12706.</t>
    </r>
    <r>
      <rPr/>
      <t xml:space="preserve"> </t>
    </r>
    <r>
      <rPr>
        <color rgb="FFFF0000"/>
      </rPr>
      <t>(moved to peer-reviewed)</t>
    </r>
    <r>
      <rPr/>
      <t xml:space="preserve">
2.        Nyante, G. G., Oppong, C., Bonney, E. (2019). Sex differences in physical activity among Ghanaian patients with sickle cell diseases. </t>
    </r>
    <r>
      <rPr>
        <i/>
      </rPr>
      <t>Pan African Medical Journal</t>
    </r>
    <r>
      <rPr/>
      <t xml:space="preserve">, 32. </t>
    </r>
    <r>
      <rPr>
        <color rgb="FFFF0000"/>
      </rPr>
      <t>(moved to peer-reviewed)</t>
    </r>
    <r>
      <rPr/>
      <t xml:space="preserve">
3.        Zuurmond, M., Nyante, G., Baltussen, M., Seeley, J., Abanga, J., Shakespeare, T., ... &amp; Bernays, S. (2019). A support programme for caregivers of children with disabilities in Ghana: Understanding the impact on the wellbeing of caregivers. </t>
    </r>
    <r>
      <rPr>
        <i/>
      </rPr>
      <t>Child: care, health and development</t>
    </r>
    <r>
      <rPr/>
      <t>, 45(1), 45-53.</t>
    </r>
    <r>
      <rPr>
        <color rgb="FFFF0000"/>
      </rPr>
      <t xml:space="preserve"> (moved to peer-reviewed)</t>
    </r>
    <r>
      <rPr/>
      <t xml:space="preserve">
4.        Donkor, C.M., Lee, J., Lelijveld, N., Adams, M., Baltussen, M.M., Nyante, G.G., Kerac, M., Polack, S. and Zuurmond, M. (2018). Improving nutritional status of children with Cerebral palsy: a qualitative study of caregiver experiences and community‐based training in Ghana.</t>
    </r>
    <r>
      <rPr>
        <i/>
      </rPr>
      <t xml:space="preserve"> Food Science &amp; Nutrition</t>
    </r>
    <r>
      <rPr/>
      <t>, 15;7(1), 35-43.</t>
    </r>
    <r>
      <rPr>
        <color rgb="FFFF0000"/>
      </rPr>
      <t>(moved to peer-reviewed)</t>
    </r>
    <r>
      <rPr/>
      <t xml:space="preserve">
5.        Zuurmond, M., O’Banion, D., Gladstone, M., Carsamar, S., Kerac, M., Baltussen, M., Tann, C.J., Nyante, G.G. and Polack, S. (2018). Evaluating the impact of a community-based parent-training programme for children with cerebral palsy in Ghana. </t>
    </r>
    <r>
      <rPr>
        <i/>
      </rPr>
      <t>PloS one</t>
    </r>
    <r>
      <rPr/>
      <t xml:space="preserve">, 13(9). </t>
    </r>
    <r>
      <rPr>
        <color rgb="FFFF0000"/>
      </rPr>
      <t>(moved to peer-reviewed)</t>
    </r>
    <r>
      <rPr/>
      <t xml:space="preserve">
6.        Nyante, G. G., Igo, S., Carpenter, C. (2016). Conceptualization of cerebral palsy:  experiences of caregivers of children with cerebral palsy in rural communities, Ghana. </t>
    </r>
    <r>
      <rPr>
        <i/>
      </rPr>
      <t>NUMID Horazon International Journal for Nursing and Midwifery,</t>
    </r>
    <r>
      <rPr/>
      <t xml:space="preserve"> 1(1), 19-28. </t>
    </r>
    <r>
      <rPr>
        <color rgb="FFFF0000"/>
      </rPr>
      <t>(moved to peer-reviewed)</t>
    </r>
    <r>
      <rPr/>
      <t xml:space="preserve">
7.        Amosun, S. L., Nyante, G. G., &amp; Wiredu, E. K. (2013). Perceived and experienced restrictions in participation and autonomy among adult survivors of stroke in Ghana. </t>
    </r>
    <r>
      <rPr>
        <i/>
      </rPr>
      <t>African Health Sciences</t>
    </r>
    <r>
      <rPr/>
      <t xml:space="preserve">, 13(1), 24-31. </t>
    </r>
    <r>
      <rPr>
        <color rgb="FFFF0000"/>
      </rPr>
      <t>(moved to peer-reviewed)</t>
    </r>
    <r>
      <rPr/>
      <t xml:space="preserve">
8.        Kelemen, B. W., Haig, A. J., Goodnight, S., &amp; Nyante, G. G (2013). The nature and prevalence of disability in a ghanaian community as measured by the language independent functional evaluation. </t>
    </r>
    <r>
      <rPr>
        <i/>
      </rPr>
      <t xml:space="preserve">Pan African Medical Journal, </t>
    </r>
    <r>
      <rPr/>
      <t xml:space="preserve">14(1). </t>
    </r>
    <r>
      <rPr>
        <color rgb="FFFF0000"/>
      </rPr>
      <t>(moved to peer-reviewed)</t>
    </r>
    <r>
      <rPr/>
      <t xml:space="preserve">
9.        Olaogun, M. O. B., Nyante, G. G., &amp; Bello, A. I. (2009). Overcoming the Barriers for Participation by the Disabled: An appraisal and global view of community-based rehabilitation in community development. </t>
    </r>
    <r>
      <rPr>
        <i/>
      </rPr>
      <t>African Journal of Physiotherapy and Rehabilitation Sciences</t>
    </r>
    <r>
      <rPr/>
      <t>, 1(1), 24-29.</t>
    </r>
    <r>
      <rPr>
        <color rgb="FFFF0000"/>
      </rPr>
      <t xml:space="preserve"> (moved to peer-reviewed)</t>
    </r>
    <r>
      <rPr/>
      <t xml:space="preserve">
</t>
    </r>
  </si>
  <si>
    <t>Christian Obirikorang</t>
  </si>
  <si>
    <r>
      <rPr/>
      <t xml:space="preserve"> 1. Owiredu WKBA, Ofori PN, Turpin CA, Obirikorang C, Acheampong E, Anto EO, Owiredu E-W, Adu EA: Weight management merits attention in women with infertility: a cross-sectional study on the association of anthropometric indices with hormonal imbalance in a Ghanaian population. </t>
    </r>
    <r>
      <rPr>
        <i/>
      </rPr>
      <t>BMC Research Notes</t>
    </r>
    <r>
      <rPr/>
      <t xml:space="preserve"> 2019, 12(1):545.
2. Obirikorang C, Owiredu WKBA, Adu-Afram S, Acheampong E, Asamoah EA, Antwi-Boasiakoh EK, Owiredu E-W: Assessing the variability and predictability of adipokines (adiponectin, leptin, resistin and their ratios) in non-obese and obese women with anovulatory polycystic ovary syndrome. </t>
    </r>
    <r>
      <rPr>
        <i/>
      </rPr>
      <t xml:space="preserve">BMC Research Notes </t>
    </r>
    <r>
      <rPr/>
      <t xml:space="preserve">2019, 12(1):513. 
3. Obirikorang, C, Opoku, S, Obirikorang, Y, Acheampong, E, Yorke, J, Donkoh, E, Chidera, C, Sarpong, D, Anto, E, Issahaku, R, Appeaning, M, Nelson, C, Batu, E, Amakwah, B, Asamoah, E, Amoah, B, Afraine, B (2019) Awareness and occupational exposures to needlestick injuries among healthcare workers: A quantitative assessment in a Ghanaian Metropolis. </t>
    </r>
    <r>
      <rPr>
        <i/>
      </rPr>
      <t>Global Journal on Quality and Safety in Healthcare</t>
    </r>
    <r>
      <rPr/>
      <t xml:space="preserve"> 2(3): 70-77. 
4. Anto, E.O.; Obirikorang, C.; Annani-Akollor, M.E.; Adua, E.; Donkor, S.; Acheampong, E.; Asamoah, E.A. (2019) Evaluation of Dyslipidaemia Using an Algorithm of Lipid Profile Measures among Newly Diagnosed Type II Diabetes Mellitus Patients: A Cross-Sectional Study at Dormaa Presbyterian Hospital, </t>
    </r>
    <r>
      <rPr>
        <i/>
      </rPr>
      <t>Ghana</t>
    </r>
    <r>
      <rPr/>
      <t xml:space="preserve">. Medicina , 55, 392. 
5. Adu, E.A, Obirikorang, C. Acheampong, E. Kwakye, A.S, Fokuoh, F. Obirikorang, Y. Anto, E.O. Batu, E.N, Amoah, B.Y,  Ansong, P.N Lipid accumulation product (LAP) index as a potential risk assessment for cardiovascular risk stratification among type II diabetes mellitus in a Ghanaian population: A cross-sectional study, Cogent Medicine (2019), 6: 1639880. 
6. Aboagye, E. Agyemang-Yeboah, F. Duduyemi, B.D, Obirikorang, C. (2019) “Human Papillomavirus Detection in Head and Neck Squamous Cell Carcinomas at a Tertiary Hospital in Sub-Saharan Africa,” The Scientific World Journal, vol. 2019, Article ID 2561530, 6 pages, 2019. https://doi.org/10.1155/2019/2561530. Christian Obirikorang, PhD.November 6, 2019 Department of Molecular Medicine, School of Medical Sciences, Kwame Nkrumah University of Science and Technology. Email: cobirikorang.chs@knust.edu.gh. Tel: +233 244 512 452.
                                                                                                                                                                                                                                                                                                                                                                                                      7. Obirikorang, K.A., Agbo, N.W., Obirikorang, C. Adjei-Boateng, D., Ahiaye, S.E., Skov, P.V, (2019) Effects of water flow rates on growth and welfare of Nile tilapia (Oreochromis niloticus) reared in a recirculating aquaculture system Aquacult Int  27: 449. https://doi.org/10.1007/s10499-019-00342-0 8. Osei-Yeboah J, Owiredu W, Norgbe G, Obirikorang C, Lokpo S, Ashigbi E, Johnson B, Ussher F, Deku J, Asiamah E, Avorkliyah R, Boakye E, Ntoni T, Nyamadi P. (2019) Physical Activity Pattern and Its Association with Glycaemic and Blood Pressure Control among People Living with Diabetes (PLWD) In The Ho Municipality, Ghana. Ethiop J Health Sci. 2019 Jan;29(1):819830. doi: 10.4314/ejhs.v29i1.3. PubMed PMID: 30700949; PubMed Central PMCID: PMC6341429. 
8. Agyemang-Yeboah F, Yorke J, Obirikorang C, Nsenbah Batu E, Acheampong E, Amankwaa Frimpong E, Anto E. O, Amankwaa B,. (2018) Colorectal cancer survival rates in Ghana: A retrospective hospital-based study. PLoS ONE 13(12): e0209307. https://doi.org/10.1371/journal.pone.0209307. 
9. Odame Anto E, Owiredu WKBA, Sakyi SA, Turpin CA, Ephraim RKD, Fondjo LA, Obirikorang C, Adua E, Acheampong E (2018) Adverse pregnancy outcomes and imbalance in angiogenic growth mediators and oxidative stress biomarkers is associated with advanced maternal age births: A prospective cohort study in Ghana. </t>
    </r>
    <r>
      <rPr>
        <i/>
      </rPr>
      <t xml:space="preserve">PLoS ONE </t>
    </r>
    <r>
      <rPr/>
      <t xml:space="preserve">13(7): e0200581. https://doi.org/10.1371/journal.pone.0200581. 
10. Owusu- Ansah A., Berko Panyin A., Obirikorang C., Agyare C., Acheampong E., Kwofie S., Odame Anto E. and Nsenbah Batu E. (2018) Metabolic Syndrome among Schizophrenic Patients: A Comparative Cross-Sectional Study in the Middle Belt of Ghana. Schizophrenia Research and Treatment 2018, 9.  
11. Obirikorang Y., Obirikorang C., Acheampong E., Odame Anto E., Gyamfi D., Philip Segbefia S., Opoku Boateng M., Pascal Dapilla D., Brenya P.K., Amankwaa B., Adu E.A., Nsenbah Batu E., Gyimah Akwasi A. and Amoah B. (2018) Predictors of Noncompliance to Antihypertensive Therapy among Hypertensive Patients Ghana: Application of Health Belief Model. International Journal of Hypertension 2018, 9. 
12. Amoah, B.Y., Asare, G.A., Yeboah, F.A., Obirikorang, C., Asiedu, B., Mohammed, A.O. (2018) Biomarkers of renal dysfunction among Ghanaian patients with type 2 diabetes mellitus- a crosssectional study. Int J Diabetes Dev Ctries (2018). https://doi.org/10.1007/s13410-018-0615-4 .                                                                                                                                                         13. Obirikorang, Y. , Obirikorang, C. , Acheampong, E. , Anto, E. , Amoah, B. , Fosu, E. , Amehere, J., Batu, E. , Brenya, P. , Amankwaa, B. , Adu, E. , Akwasi, A. and Asiwu, R. (2018) Adherence to Lifestyle Modification among Hypertensive Clients: A Descriptive Cross-Sectional Study. </t>
    </r>
    <r>
      <rPr>
        <i/>
      </rPr>
      <t>Open Access Library Journal</t>
    </r>
    <r>
      <rPr/>
      <t xml:space="preserve">, 5, 1-13. doi: 10.4236/oalib.1104375. 
13. Obirikorang C., Obirikorang Y., Acheampong E., Anto E.O., Toboh E., Asamoah E.A., Amakwaa B., Batu E.N. and Brenya P. (2018) Association of Wrist Circumference and Waist-to-Height Ratio with Cardiometabolic Risk Factors among Type II Diabetics in a Ghanaian Population. Journal of Diabetes Research 2018, 11. Christian Obirikorang, PhD.   November 6, 2019 Department of Molecular Medicine, School of Medical Sciences, Kwame Nkrumah University of Science and Technology. Email: cobirikorang.chs@knust.edu.gh Tel: +233 244 512 452. 
14. Anto E.O., Obirikorang C., Acheampong E., Amankwaa B., Afranie B.O., Donkor S., Hope I., Jommo J. and Osaah E. (2018) Evaluation of Individual and Combined Markers of Urine Dipstick Parameters and Total Lymphocyte Count as a Substitute for CD4 Count in Low-Resource Communities in Ghana. </t>
    </r>
    <r>
      <rPr>
        <i/>
      </rPr>
      <t>Disease Markers</t>
    </r>
    <r>
      <rPr/>
      <t xml:space="preserve"> 2018, 7.
15. Bortey-Sam N., Ikenaka Y., Akoto O., Nakayama S.M.M., Asante K.A., Baidoo E., Obirikorang C., Mizukawa H. and Ishizuka M. (2018) Association between human exposure to heavy metals/metalloid and occurrences of respiratory diseases, lipid peroxidation and DNA damage in Kumasi, Ghana. </t>
    </r>
    <r>
      <rPr>
        <i/>
      </rPr>
      <t>Environ Pollut</t>
    </r>
    <r>
      <rPr/>
      <t xml:space="preserve"> 235, 163-170. 
16. Obirikorang Y., Obirikorang C., Anto E.O., Acheampong E., Batu E.N., Macaulary F., Paavire C.K. and Amankwaa B. (2017) Knowledge of bloodless medicine among nurses at the Medical/Surgical Directorate of Komfo Anokye Teaching Hospital, Ghana; a descriptive cross sectional study. </t>
    </r>
    <r>
      <rPr>
        <i/>
      </rPr>
      <t>BMC Research Notes</t>
    </r>
    <r>
      <rPr/>
      <t xml:space="preserve"> 10, 747. 
17. Alidu H., Owiredu W.K.B.A., Amidu N., Gyasi-Sarpong C.K., Dapare P.P.M., Bawah A.T., Obirikorang C. and Luuse A.T. (2017) Hypertension and obesity comorbidities increases coronary risk, affects domains of sexual function and sexual quality of life. International Journal of Impotence Research. doi:10.1038/s41443-017-0003-5. 
18. Obirikorang, C., Acheampong, E.,  Amoah, S., Gyamfi, D., Toboh, E., Odame, E., Amankwaa, B., Batu, EN., (2017). Serum Gamma-Glutamyl Transferase as a risk biomarker in predicting cardiovascular disease among diabetics: A cross-sectional descriptive study in Ghana. </t>
    </r>
    <r>
      <rPr>
        <i/>
      </rPr>
      <t>Diabetes Management</t>
    </r>
    <r>
      <rPr/>
      <t xml:space="preserve"> (2017) Volume 7, Issue 6 .                                                                                                                                     20. Osei-Yeboah J., Owiredu W.K.B.A., Norgbe G.K., Lokpo S.Y., Obirikorang C., Alote Allotey E., Gameli Deku J., Akomanin Asiamah E., Manaphraim N.Y.B., Senyo Kwasi Nyamadi P., Yiadom Boakye E., Ntoni T., Avorkliyah R., Asumbasiya Aduko R., Tetteh Quarshie S. and Jenkins Gbemu M. (2017) Quality of Life of People Living with HIV/AIDS in the Ho Municipality, Ghana: A Cross-Sectional Study. AIDS Research and Treatment  https://doi.org/10.1155/2017/6806951. 
19. Agyemang-Yeboah,  F., Yorke, J., Obirikorang, C.,  Frempong, E.A., Batu, E.N., Acheampong, E.,  Anto, E.O., Amankwaa, B.,  Patterns and Presentations of Colorectal Cancer at Komfo-Anokye Teaching Hospital Kumasi, Ghana, Pan-African Medical Journal, 2017;28:121. doi:10.11604/pamj.2017.28.121.12927.  
20. Owiredu, W., Alidu H, Amidu N, Obirikorang C, Gyasi-Sarpong CK, Bawah AT, Dapare PPM and Luuse AT (2017). "Sexual dysfunction among diabetics and its impact on the SQoL of their partners."   Int J Impot Res. doi:10.1038/ijir.2017.32  Christian Obirikorang, PhD.   November 6, 2019 Department of Molecular Medicine, School of Medical Sciences, Kwame Nkrumah University of Science and Technology. Email: cobirikorang.chs@knust.edu.ghTel: +233 244 512 452. 
21. Bortey-Sam N., Ikenaka Y., Akoto O., Nakayama S.M.M., Asante K.A., Baidoo E., Obirikorang C., Saengtienchai A., Isoda N., Nimako C., Mizukawa H. and Ishizuka M. Oxidative stress and respiratory symptoms due to human exposure to polycyclic aromatic hydrocarbons (PAHs) in Kumasi, Ghana. </t>
    </r>
    <r>
      <rPr>
        <i/>
      </rPr>
      <t xml:space="preserve">Environ Pollut </t>
    </r>
    <r>
      <rPr/>
      <t xml:space="preserve">2017:228, 311-320.
22. Alidu, H, Owiredu, W. K. B. A., Amidu, N, Dapare, P.P.M, Bawah, T.J, Gyasi-Sarpong, C.K, Obirikorang, C ,. The Metabolic Syndrome and Sexual Dysfunction in a State of Inflammation, Advances in Sexual Medicine 2017:7, 82-85.
23. Lokpo, S,Y, Owiredu, W. K. B. A , Osei-Yeboah, Obirikorang, C,  Agyei-Frempong, M.T Association between Anthropometry, Dyslipidaemia and the Ten-Year Relative Risk of Cardiovascular   Disease in Ghanaians with Type 2 Diabetes and Hypertension at the Battor Catholic Hospital. </t>
    </r>
    <r>
      <rPr>
        <i/>
      </rPr>
      <t>Open Access Library Journal.</t>
    </r>
    <r>
      <rPr/>
      <t xml:space="preserve"> 2017:4, 1-14.  
24. Obirikorang, C.  Anto, E.O.  Addai, P. Obirikorang, Y.  Acheampong, E. Prevalence and risks factors of overweight/obesity among Undergraduate students: An institutional based cross-sectional study, </t>
    </r>
    <r>
      <rPr>
        <i/>
      </rPr>
      <t xml:space="preserve">Ghana Journal of Medical and Biomedical Sciences </t>
    </r>
    <r>
      <rPr/>
      <t xml:space="preserve">(2017) 6(1), 24-34 .
24. Obirikorang, Y. Obirikorang, C.  . Anto, E.O. Acheampong, E. Tuboseiyefah, P Miriam, A.A.  N.B. Batu, E.B Prevalence and risk factors of obesity among practicing nurses at three selected hospitals in Kumasi Metropolis, Ghana. </t>
    </r>
    <r>
      <rPr>
        <i/>
      </rPr>
      <t>Journal of Medical and Biomedical Sciences</t>
    </r>
    <r>
      <rPr/>
      <t xml:space="preserve"> (2016) 5(3), 45-55. 
25. Obirikorang, Y, Obirikorang, C, Anto, EO, Acheampong, E, Batu, EN, Stella, AD, Constance, O, Brenya, PK Knowledge of complications of diabetes mellitus among patients visiting the diabetes clinic at Sampa Government Hospital, Ghana: a descriptive study. 2016, BMC Public Health 16(1): 637. 
26. Obirikorang, Y Obirikorang, C Anto, Odame E  Acheampong, E  Dzah, N  Akosah, CN and  Nsenbah, EB “Knowledge and Lifestyle-Associated Prevalence of Obesity among Newly Diagnosed Type II Diabetes Mellitus Patients Attending Diabetic Clinic at Komfo Anokye Teaching Hospital, Kumasi, Ghana: A Hospital-Based Cross-Sectional Study,” Journal of Diabetes Research, vol. 2016, Article ID 9759241, 2016. doi:10.1155/2016/9759241.
27. Obirikorang C, Quaye L, Osei-Yeboah J, Odame E, Asare I: Prevalence of metabolic syndrome among HIV-infected patients in Ghana: A cross-sectional study, </t>
    </r>
    <r>
      <rPr>
        <i/>
      </rPr>
      <t xml:space="preserve">Niger Med J </t>
    </r>
    <r>
      <rPr/>
      <t xml:space="preserve">2016;57:86-90 . 
28. Obirikorang C, Issahaku RG, Osakunor DNM, Osei-Yeboah J: Anaemia and Iron Homeostasis in a Cohort of HIV-Infected Patients: A Cross-Sectional Study in Ghana. AIDS Research and Treatment 2016, 2016:8. 
29. Obirikorang Y, Obirikorang C, Odame Anto E, Acheampong E, Dzah N, Akosah CN, Nsenbah EB: Knowledge and Lifestyle-Associated Prevalence of Obesity among Newly Diagnosed Type II Diabetes Mellitus Patients Attending Diabetic Clinic at Komfo Anokye Teaching Hospital, Kumasi, Ghana: A Hospital-Based Cross-Sectional Study. Journal of Diabetes Research 2016, 2016:1.Christian Obirikorang, PhD. November 6, 2019 Department of Molecular Medicine, School of Medical Sciences, Kwame Nkrumah University of Science and Technology. Email: cobirikorang.chs@knust.edu.gh Tel: +233 244 512 452.  
30. Agboli E, Tay S.C.K., Obirikorang C., Aidoo E.Y. Malaria and intestinal parasites in pregnant and non- pregnant women: a comparative study at the University Hospital, Kumasi, Ghana Journal of Medical and Biomedical Sciences (2015) 4(3), 31-35. 
31. Osakunor DNM, Obirikorang C, Fianu V, Asare I, Dakorah M. Hepatic Enzyme Alterations in HIV Patients on Antiretroviral Therapy: A Case-Control Study in a Hospital Setting in Ghana. Ceccherini- Silberstein F, ed. PLoS ONE. 2015;10(8):e0134449. doi:10.1371/journal.pone.0134449.
32. Obirikorang C, Anto E. O, Ngala R. A, Gyamfi E. (2015) The Prevalence Of Childhood Obesity and Lifestyle-Associated Risk Factors using Anthropometric Measurements among Primary Schools in the Kumasi Metropolis, </t>
    </r>
    <r>
      <rPr>
        <i/>
      </rPr>
      <t xml:space="preserve">Ghana International Journal of Innovative Medicine and Health Science, </t>
    </r>
    <r>
      <rPr/>
      <t xml:space="preserve">Vol. 4, 13-23. 
33. Obirikorang C, Osakunor DNM, Anto EO, Amponsah SO, Adarkwa OK (2015) Obesity and Cardio- Metabolic Risk Factors in an Urban and Rural Population in the Ashanti Region-Ghana: A Comparative Cross-Sectional Study. PLoS ONE 10(6): e0129494. doi:10.1371/journal.pone.0129494. 
34. Obirikorang C, Fondjo LA, Adomako S, Bio FY, Acheampong I (2015) Iron Deficiency among Pregnant Women Attending Antenatal Clinic at the KNUST Hospital, Kumasi, Ghana. </t>
    </r>
    <r>
      <rPr>
        <i/>
      </rPr>
      <t>British Journal of Medicine &amp; Medical Research</t>
    </r>
    <r>
      <rPr/>
      <t xml:space="preserve"> 6(8): 823-832, DOI:10.9734/BJMMR/2015/14786.
35. Ansong D, Tawfik D, Williams EA, Benson S, Nyanor I, Boakye I, Obirikorang C, Sallah L, Arhin   B, Boaheng JM, Amuzu E, Asibey O, Dickerson T (2014) Suboptimal vaccination rates in rural Ghana despite positive caregiver attitudes towards vaccination. </t>
    </r>
    <r>
      <rPr>
        <i/>
      </rPr>
      <t xml:space="preserve">J Vaccines Immun </t>
    </r>
    <r>
      <rPr/>
      <t>2:715. doi:10.14312/2053- 1273.2014-2. 
36. Obirikorang C., Osakunor D.N., Ntaadu B. and Adarkwa O.K. Renal function in Ghanaian HIVinfected patients on highly active antiretroviral therapy: a case-control study.</t>
    </r>
    <r>
      <rPr>
        <i/>
      </rPr>
      <t xml:space="preserve"> PLoS One </t>
    </r>
    <r>
      <rPr/>
      <t xml:space="preserve">9, e99469. 
37. OBIRIKORANG, C., QUAYE, L. &amp; ACHEAMPONG, I. (2012) Total lymphocyte count as a surrogate marker for CD4 count in resource-limited settings. </t>
    </r>
    <r>
      <rPr>
        <i/>
      </rPr>
      <t>BMC Infectious Diseases</t>
    </r>
    <r>
      <rPr/>
      <t xml:space="preserve">, 12, 128. 
38. Sakyi SA, Ephraim RKD, Antoh EO, Obirikorang C, Berchie GO, (2012.) Lipid Peroxidation and Catalase Levels among Children Presenting with Severe Falciparum Malaria in the Sefwi Christian Obirikorang, PhD. November 6, 2019  Department of Molecular Medicine, School of Medical Sciences, Kwame Nkrumah University of Science and Technology. Email: cobirikorang.chs@knust.edu.gh  Tel: +233 244 512 452 Wiawso Municipality, </t>
    </r>
    <r>
      <rPr>
        <i/>
      </rPr>
      <t>Ghana. Journal of Medical Sciences</t>
    </r>
    <r>
      <rPr/>
      <t xml:space="preserve">, 12: 141-147.                                                                                                                                                                                                                                                                  
39. Amidu N., Alhassan A., Obirikorang C., Feglo P., Majeed S.F., Timmy-Donkoh E and Afful D. (2012) Sero-prevalence of hepatitis B surface (HBsAg) antigen in three densely populated communities in Kumasi, </t>
    </r>
    <r>
      <rPr>
        <i/>
      </rPr>
      <t>Ghana Journal of Medical and Biomedical Sciences</t>
    </r>
    <r>
      <rPr/>
      <t xml:space="preserve"> 1(2): 59-65.  
40. Obirikorang C., Quaye L., Bio F.Y., Amidu N., Acheampong, I., and Addo K., (2012) Asymptomatic Bacteriuria among Pregnant Women Attending Antenatal Clinic at the University Hospital, Kumasi, </t>
    </r>
    <r>
      <rPr>
        <i/>
      </rPr>
      <t xml:space="preserve">Ghana Journal of Medical and Biomedical Sciences </t>
    </r>
    <r>
      <rPr/>
      <t>1(1): 38-44. 
41. Obirikorang, C, and Yeboah, FA (2009) Blood haemoglobin measurement as a predictive indicator for the progression of HIV/AIDS in resource-limited setting.</t>
    </r>
    <r>
      <rPr>
        <i/>
      </rPr>
      <t xml:space="preserve"> J Biomed Sci</t>
    </r>
    <r>
      <rPr/>
      <t xml:space="preserve"> 16(1): 102 </t>
    </r>
  </si>
  <si>
    <r>
      <rPr/>
      <t xml:space="preserve"> 1. Owiredu WKBA, Ofori PN, Turpin CA, Obirikorang C, Acheampong E, Anto EO, Owiredu E-W, Adu EA: Weight management merits attention in women with infertility: a cross-sectional study on the association of anthropometric indices with hormonal imbalance in a Ghanaian population. </t>
    </r>
    <r>
      <rPr>
        <i/>
      </rPr>
      <t>BMC Research Notes</t>
    </r>
    <r>
      <rPr/>
      <t xml:space="preserve"> 2019, 12(1):545. </t>
    </r>
    <r>
      <rPr>
        <color rgb="FFFF0000"/>
      </rPr>
      <t>(moved to peer-reviewed)</t>
    </r>
    <r>
      <rPr/>
      <t xml:space="preserve">
2. Obirikorang C, Owiredu WKBA, Adu-Afram S, Acheampong E, Asamoah EA, Antwi-Boasiakoh EK, Owiredu E-W: Assessing the variability and predictability of adipokines (adiponectin, leptin, resistin and their ratios) in non-obese and obese women with anovulatory polycystic ovary syndrome. </t>
    </r>
    <r>
      <rPr>
        <i/>
      </rPr>
      <t xml:space="preserve">BMC Research Notes </t>
    </r>
    <r>
      <rPr/>
      <t xml:space="preserve">2019, 12(1):513. </t>
    </r>
    <r>
      <rPr>
        <color rgb="FFFF0000"/>
      </rPr>
      <t>(moved to peer-reviewed)</t>
    </r>
    <r>
      <rPr/>
      <t xml:space="preserve">
3. Obirikorang, C, Opoku, S, Obirikorang, Y, Acheampong, E, Yorke, J, Donkoh, E, Chidera, C, Sarpong, D, Anto, E, Issahaku, R, Appeaning, M, Nelson, C, Batu, E, Amakwah, B, Asamoah, E, Amoah, B, Afraine, B (2019) Awareness and occupational exposures to needlestick injuries among healthcare workers: A quantitative assessment in a Ghanaian Metropolis.</t>
    </r>
    <r>
      <rPr>
        <i/>
      </rPr>
      <t xml:space="preserve"> Global Journal on Quality and Safety in Healthcare </t>
    </r>
    <r>
      <rPr/>
      <t xml:space="preserve">2(3): 70-77. </t>
    </r>
    <r>
      <rPr>
        <color rgb="FFFF0000"/>
      </rPr>
      <t>(moved to peer-reviewed)</t>
    </r>
    <r>
      <rPr/>
      <t xml:space="preserve">
4. Anto, E.O.; Obirikorang, C.; Annani-Akollor, M.E.; Adua, E.; Donkor, S.; Acheampong, E.; Asamoah, E.A. (2019) Evaluation of Dyslipidaemia Using an Algorithm of Lipid Profile Measures among Newly Diagnosed Type II Diabetes Mellitus Patients: A Cross-Sectional Study at Dormaa Presbyterian Hospital, Ghana. </t>
    </r>
    <r>
      <rPr>
        <i/>
      </rPr>
      <t xml:space="preserve">Medicina </t>
    </r>
    <r>
      <rPr/>
      <t xml:space="preserve">, 55, 392. </t>
    </r>
    <r>
      <rPr>
        <color rgb="FFFF0000"/>
      </rPr>
      <t>(moved to peer-reviewed)</t>
    </r>
    <r>
      <rPr/>
      <t xml:space="preserve">
5. Adu, E.A, Obirikorang, C. Acheampong, E. Kwakye, A.S, Fokuoh, F. Obirikorang, Y. Anto, E.O. Batu, E.N, Amoah, B.Y,  Ansong, P.N Lipid accumulation product (LAP) index as a potential risk assessment for cardiovascular risk stratification among type II diabetes mellitus in a Ghanaian population: A cross-sectional study,</t>
    </r>
    <r>
      <rPr>
        <i/>
      </rPr>
      <t xml:space="preserve"> Cogent Medicine</t>
    </r>
    <r>
      <rPr/>
      <t xml:space="preserve"> (2019), 6: 1639880. </t>
    </r>
    <r>
      <rPr>
        <color rgb="FFFF0000"/>
      </rPr>
      <t xml:space="preserve">(moved to peer-reviewed) </t>
    </r>
    <r>
      <rPr/>
      <t xml:space="preserve">
6. Aboagye, E. Agyemang-Yeboah, F. Duduyemi, B.D, Obirikorang, C. (2019) “Human Papillomavirus Detection in Head and Neck Squamous Cell Carcinomas at a Tertiary Hospital in Sub-Saharan Africa,”</t>
    </r>
    <r>
      <rPr>
        <i/>
      </rPr>
      <t xml:space="preserve"> The Scientific World Journal</t>
    </r>
    <r>
      <rPr/>
      <t xml:space="preserve">, vol. 2019, Article ID 2561530, 6 pages, 2019. </t>
    </r>
    <r>
      <rPr>
        <color rgb="FF1155CC"/>
        <u/>
      </rPr>
      <t>https://doi.org/10.1155/2019/2561530.</t>
    </r>
    <r>
      <rPr/>
      <t xml:space="preserve"> Christian Obirikorang, PhD.November 6, 2019 Department of Molecular Medicine, School of Medical Sciences, Kwame Nkrumah University of Science and Technology. Email: cobirikorang.chs@knust.edu.gh. Tel: +233 244 512 452 . </t>
    </r>
    <r>
      <rPr>
        <color rgb="FFFF0000"/>
      </rPr>
      <t>(moved to peer-reviewed)</t>
    </r>
    <r>
      <rPr/>
      <t xml:space="preserve">
                                                                                                                                                                                                                                                                                                                                    7. Obirikorang, K.A., Agbo, N.W., Obirikorang, C. Adjei-Boateng, D., Ahiaye, S.E., Skov, P.V, (2019) Effects of water flow rates on growth and welfare of Nile tilapia (Oreochromis niloticus) reared in a recirculating aquaculture system Aquacult Int  27: 449. https://doi.org/10.1007/s10499-019-00342-0                                                                                                             8. Osei-Yeboah J, Owiredu W, Norgbe G, Obirikorang C, Lokpo S, Ashigbi E, Johnson B, Ussher F, Deku J, Asiamah E, Avorkliyah R, Boakye E, Ntoni T, Nyamadi P. (2019) Physical Activity Pattern and Its Association with Glycaemic and Blood Pressure Control among People Living with Diabetes (PLWD) In The Ho Municipality, Ghana. </t>
    </r>
    <r>
      <rPr>
        <i/>
      </rPr>
      <t>Ethiop J Health Sci</t>
    </r>
    <r>
      <rPr/>
      <t xml:space="preserve">. 2019 Jan;29(1):819830. doi: 10.4314/ejhs.v29i1.3. </t>
    </r>
    <r>
      <rPr>
        <i/>
      </rPr>
      <t xml:space="preserve">PubMed </t>
    </r>
    <r>
      <rPr/>
      <t>PMID: 30700949; PubMed Central PMCID: PMC6341429.</t>
    </r>
    <r>
      <rPr>
        <color rgb="FFFF0000"/>
      </rPr>
      <t xml:space="preserve"> (moved to peer-reviewed)</t>
    </r>
    <r>
      <rPr/>
      <t xml:space="preserve">
9. Agyemang-Yeboah F, Yorke J, Obirikorang C, Nsenbah Batu E, Acheampong E, Amankwaa Frimpong E, Anto E. O, Amankwaa B,. (2018) Colorectal cancer survival rates in Ghana: A retrospective hospital-based study. </t>
    </r>
    <r>
      <rPr>
        <i/>
      </rPr>
      <t>PLoS ONE</t>
    </r>
    <r>
      <rPr/>
      <t xml:space="preserve"> 13(12): e0209307. </t>
    </r>
    <r>
      <rPr>
        <color rgb="FF1155CC"/>
        <u/>
      </rPr>
      <t>https://doi.org/10.1371/journal.pone.0209307.</t>
    </r>
    <r>
      <rPr/>
      <t xml:space="preserve"> </t>
    </r>
    <r>
      <rPr>
        <color rgb="FFFF0000"/>
      </rPr>
      <t>(moved to peer-reviewed)</t>
    </r>
    <r>
      <rPr/>
      <t xml:space="preserve">
10. Odame Anto E, Owiredu WKBA, Sakyi SA, Turpin CA, Ephraim RKD, Fondjo LA, Obirikorang C, Adua E, Acheampong E (2018) Adverse pregnancy outcomes and imbalance in angiogenic growth mediators and oxidative stress biomarkers is associated with advanced maternal age births: A prospective cohort study in Ghana. </t>
    </r>
    <r>
      <rPr>
        <i/>
      </rPr>
      <t>PLoS ONE</t>
    </r>
    <r>
      <rPr/>
      <t xml:space="preserve"> 13(7): e0200581. </t>
    </r>
    <r>
      <rPr>
        <color rgb="FF1155CC"/>
        <u/>
      </rPr>
      <t>https://doi.org/10.1371/journal.pone.0200581.</t>
    </r>
    <r>
      <rPr>
        <color rgb="FFFF0000"/>
      </rPr>
      <t xml:space="preserve"> (moved to peer-reviewed)</t>
    </r>
    <r>
      <rPr/>
      <t xml:space="preserve">
11. Owusu- Ansah A., Berko Panyin A., Obirikorang C., Agyare C., Acheampong E., Kwofie S., Odame Anto E. and Nsenbah Batu E. (2018) Metabolic Syndrome among Schizophrenic Patients: A Comparative Cross-Sectional Study in the Middle Belt of Ghana. Schizophrenia Research and Treatment 2018, 9.  </t>
    </r>
    <r>
      <rPr>
        <color rgb="FFFF0000"/>
      </rPr>
      <t>(moved to peer-reviewed)</t>
    </r>
    <r>
      <rPr/>
      <t xml:space="preserve">
12. Obirikorang Y., Obirikorang C., Acheampong E., Odame Anto E., Gyamfi D., Philip Segbefia S., Opoku Boateng M., Pascal Dapilla D., Brenya P.K., Amankwaa B., Adu E.A., Nsenbah Batu E., Gyimah Akwasi A. and Amoah B. (2018) Predictors of Noncompliance to Antihypertensive Therapy among Hypertensive Patients Ghana: Application of Health Belief Model. </t>
    </r>
    <r>
      <rPr>
        <i/>
      </rPr>
      <t>International Journal of Hypertension</t>
    </r>
    <r>
      <rPr/>
      <t xml:space="preserve"> 2018, 9</t>
    </r>
    <r>
      <rPr>
        <color rgb="FFFF0000"/>
      </rPr>
      <t>. (moved to peer-reviewed)</t>
    </r>
    <r>
      <rPr/>
      <t xml:space="preserve">
13. Amoah, B.Y., Asare, G.A., Yeboah, F.A., Obirikorang, C., Asiedu, B., Mohammed, A.O. (2018) Biomarkers of renal dysfunction among Ghanaian patients with type 2 diabetes mellitus- a crosssectional study.</t>
    </r>
    <r>
      <rPr>
        <i/>
      </rPr>
      <t xml:space="preserve"> Int J Diabetes Dev Ctries</t>
    </r>
    <r>
      <rPr/>
      <t xml:space="preserve"> (2018). https://doi.org/10.1007/s13410-018-0615-4 .</t>
    </r>
    <r>
      <rPr>
        <color rgb="FFFF0000"/>
      </rPr>
      <t xml:space="preserve"> (moved to peer-reviewed)</t>
    </r>
    <r>
      <rPr/>
      <t xml:space="preserve">                                                                                                                          14. Obirikorang, Y. , Obirikorang, C. , Acheampong, E. , Anto, E. , Amoah, B. , Fosu, E. , Amehere, J., Batu, E. , Brenya, P. , Amankwaa, B. , Adu, E. , Akwasi, A. and Asiwu, R. (2018) Adherence to Lifestyle Modification among Hypertensive Clients: A Descriptive Cross-Sectional Study. </t>
    </r>
    <r>
      <rPr>
        <i/>
      </rPr>
      <t>Open Access Library Journal</t>
    </r>
    <r>
      <rPr/>
      <t xml:space="preserve">, 5, 1-13. doi: 10.4236/oalib.1104375. </t>
    </r>
    <r>
      <rPr>
        <color rgb="FFFF0000"/>
      </rPr>
      <t>(moved to</t>
    </r>
    <r>
      <rPr/>
      <t xml:space="preserve"> </t>
    </r>
    <r>
      <rPr>
        <color rgb="FFFF0000"/>
      </rPr>
      <t>peer-reviewed)</t>
    </r>
    <r>
      <rPr/>
      <t xml:space="preserve">
15. Obirikorang C., Obirikorang Y., Acheampong E., Anto E.O., Toboh E., Asamoah E.A., Amakwaa B., Batu E.N. and Brenya P. (2018) Association of Wrist Circumference and Waist-to-Height Ratio with Cardiometabolic Risk Factors among Type II Diabetics in a Ghanaian Population. </t>
    </r>
    <r>
      <rPr>
        <i/>
      </rPr>
      <t>Journal of Diabetes Research</t>
    </r>
    <r>
      <rPr/>
      <t xml:space="preserve"> 2018, 11. Christian Obirikorang, PhD.   November 6, 2019 Department of Molecular Medicine, School of Medical Sciences, Kwame Nkrumah University of Science and Technology. Email: cobirikorang.chs@knust.edu.gh Tel: +233 244 512 452. </t>
    </r>
    <r>
      <rPr>
        <color rgb="FFFF0000"/>
      </rPr>
      <t>(moved to peer-reviewed)</t>
    </r>
    <r>
      <rPr/>
      <t xml:space="preserve">
16. Anto E.O., Obirikorang C., Acheampong E., Amankwaa B., Afranie B.O., Donkor S., Hope I., Jommo J. and Osaah E. (2018) Evaluation of Individual and Combined Markers of Urine Dipstick Parameters and Total Lymphocyte Count as a Substitute for CD4 Count in Low-Resource Communities in Ghana. </t>
    </r>
    <r>
      <rPr>
        <i/>
      </rPr>
      <t>Disease Markers</t>
    </r>
    <r>
      <rPr/>
      <t xml:space="preserve"> 2018, 7.</t>
    </r>
    <r>
      <rPr>
        <color rgb="FFFF0000"/>
      </rPr>
      <t xml:space="preserve"> (moved to peer-reviewed)</t>
    </r>
    <r>
      <rPr/>
      <t xml:space="preserve">
17. Bortey-Sam N., Ikenaka Y., Akoto O., Nakayama S.M.M., Asante K.A., Baidoo E., Obirikorang C., Mizukawa H. and Ishizuka M. (2018) Association between human exposure to heavy metals/metalloid and occurrences of respiratory diseases, lipid peroxidation and DNA damage in Kumasi, Ghana. </t>
    </r>
    <r>
      <rPr>
        <i/>
      </rPr>
      <t>Environ Pollut</t>
    </r>
    <r>
      <rPr/>
      <t xml:space="preserve"> 235, 163-170.</t>
    </r>
    <r>
      <rPr>
        <color rgb="FFFF0000"/>
      </rPr>
      <t xml:space="preserve"> (moved to peer-reviewed)</t>
    </r>
    <r>
      <rPr/>
      <t xml:space="preserve">
18. Obirikorang Y., Obirikorang C., Anto E.O., Acheampong E., Batu E.N., Macaulary F., Paavire C.K. and Amankwaa B. (2017) Knowledge of bloodless medicine among nurses at the Medical/Surgical Directorate of Komfo Anokye Teaching Hospital, Ghana; a descriptive cross sectional study. </t>
    </r>
    <r>
      <rPr>
        <i/>
      </rPr>
      <t>BMC Research Notes</t>
    </r>
    <r>
      <rPr/>
      <t xml:space="preserve"> 10, 747.</t>
    </r>
    <r>
      <rPr>
        <color rgb="FFFF0000"/>
      </rPr>
      <t xml:space="preserve"> (moved to peer-reviewed) </t>
    </r>
    <r>
      <rPr/>
      <t xml:space="preserve">
19. Alidu H., Owiredu W.K.B.A., Amidu N., Gyasi-Sarpong C.K., Dapare P.P.M., Bawah A.T., Obirikorang C. and Luuse A.T. (2017) Hypertension and obesity comorbidities increases coronary risk, affects domains of sexual function and sexual quality of life.</t>
    </r>
    <r>
      <rPr>
        <i/>
      </rPr>
      <t xml:space="preserve"> International Journal of Impotence Research.</t>
    </r>
    <r>
      <rPr/>
      <t xml:space="preserve"> doi:10.1038/s41443-017-0003-5. </t>
    </r>
    <r>
      <rPr>
        <color rgb="FFFF0000"/>
      </rPr>
      <t xml:space="preserve">(moved to peer-reviewed) </t>
    </r>
    <r>
      <rPr/>
      <t xml:space="preserve">
20. Obirikorang, C., Acheampong, E.,  Amoah, S., Gyamfi, D., Toboh, E., Odame, E., Amankwaa, B., Batu, EN., (2017). Serum Gamma-Glutamyl Transferase as a risk biomarker in predicting cardiovascular disease among diabetics: A cross-sectional descriptive study in Ghana. </t>
    </r>
    <r>
      <rPr>
        <i/>
      </rPr>
      <t>Diabetes Management</t>
    </r>
    <r>
      <rPr/>
      <t xml:space="preserve"> (2017) Volume 7, Issue 6 .</t>
    </r>
    <r>
      <rPr>
        <color rgb="FFFF0000"/>
      </rPr>
      <t xml:space="preserve"> (moved to peer-reviewed) </t>
    </r>
    <r>
      <rPr/>
      <t xml:space="preserve">                                                                                    21. Osei-Yeboah J., Owiredu W.K.B.A., Norgbe G.K., Lokpo S.Y., Obirikorang C., Alote Allotey E., Gameli Deku J., Akomanin Asiamah E., Manaphraim N.Y.B., Senyo Kwasi Nyamadi P., Yiadom Boakye E., Ntoni T., Avorkliyah R., Asumbasiya Aduko R., Tetteh Quarshie S. and Jenkins Gbemu M. (2017) Quality of Life of People Living with HIV/AIDS in the Ho Municipality, Ghana: A Cross-Sectional Study. </t>
    </r>
    <r>
      <rPr>
        <i/>
      </rPr>
      <t xml:space="preserve">AIDS Research and Treatment </t>
    </r>
    <r>
      <rPr/>
      <t xml:space="preserve"> </t>
    </r>
    <r>
      <rPr>
        <color rgb="FF1155CC"/>
        <u/>
      </rPr>
      <t>https://doi.org/10.1155/2017/6806951.</t>
    </r>
    <r>
      <rPr/>
      <t xml:space="preserve"> </t>
    </r>
    <r>
      <rPr>
        <color rgb="FFFF0000"/>
      </rPr>
      <t>(moved to peer-reviewed)</t>
    </r>
    <r>
      <rPr/>
      <t xml:space="preserve">
22. Agyemang-Yeboah,  F., Yorke, J., Obirikorang, C.,  Frempong, E.A., Batu, E.N., Acheampong, E.,  Anto, E.O., Amankwaa, B.,  Patterns and Presentations of Colorectal Cancer at Komfo-Anokye Teaching Hospital Kumasi, Ghana, </t>
    </r>
    <r>
      <rPr>
        <i/>
      </rPr>
      <t>Pan-African Medical Journal,</t>
    </r>
    <r>
      <rPr/>
      <t xml:space="preserve"> 2017;28:121. doi:10.11604/pamj.2017.28.121.12927.</t>
    </r>
    <r>
      <rPr>
        <color rgb="FFFF0000"/>
      </rPr>
      <t xml:space="preserve"> (moved to peer-reviewed) </t>
    </r>
    <r>
      <rPr/>
      <t xml:space="preserve">
23. Owiredu, W., Alidu H, Amidu N, Obirikorang C, Gyasi-Sarpong CK, Bawah AT, Dapare PPM and Luuse AT (2017). "Sexual dysfunction among diabetics and its impact on the SQoL of their partners."   Int J Impot Res. doi:10.1038/ijir.2017.32  Christian Obirikorang, PhD.   November 6, 2019 Department of Molecular Medicine, School of Medical Sciences, Kwame Nkrumah University of Science and Technology. Email: cobirikorang.chs@knust.edu.ghTel: +233 244 512 452. </t>
    </r>
    <r>
      <rPr>
        <color rgb="FFFF0000"/>
      </rPr>
      <t>(moved to peer-reviewed)</t>
    </r>
    <r>
      <rPr/>
      <t xml:space="preserve">
24. Bortey-Sam N., Ikenaka Y., Akoto O., Nakayama S.M.M., Asante K.A., Baidoo E., Obirikorang C., Saengtienchai A., Isoda N., Nimako C., Mizukawa H. and Ishizuka M. Oxidative stress and respiratory symptoms due to human exposure to polycyclic aromatic hydrocarbons (PAHs) in Kumasi, Ghana. Environ Pollut 2017:228, 311-320. </t>
    </r>
    <r>
      <rPr>
        <color rgb="FFFF0000"/>
      </rPr>
      <t>(moved to peer-reviewed)</t>
    </r>
    <r>
      <rPr/>
      <t xml:space="preserve">
25. Alidu, H, Owiredu, W. K. B. A., Amidu, N, Dapare, P.P.M, Bawah, T.J, Gyasi-Sarpong, C.K, Obirikorang, C ,. The Metabolic Syndrome and Sexual Dysfunction in a State of Inflammation, </t>
    </r>
    <r>
      <rPr>
        <i/>
      </rPr>
      <t>Advances in Sexual Medicine</t>
    </r>
    <r>
      <rPr/>
      <t xml:space="preserve"> 2017:7, 82-85 . </t>
    </r>
    <r>
      <rPr>
        <color rgb="FFFF0000"/>
      </rPr>
      <t>(moved to peer-reviewed)</t>
    </r>
    <r>
      <rPr/>
      <t xml:space="preserve">
26. Lokpo, S,Y, Owiredu, W. K. B. A , Osei-Yeboah, Obirikorang, C,  Agyei-Frempong, M.T Association between Anthropometry, Dyslipidaemia and the Ten-Year Relative Risk of Cardiovascular   Disease in Ghanaians with Type 2 Diabetes and Hypertension at the Battor Catholic Hospital. </t>
    </r>
    <r>
      <rPr>
        <i/>
      </rPr>
      <t>Open Access Library Journal.</t>
    </r>
    <r>
      <rPr/>
      <t xml:space="preserve"> 2017:4, 1-14. </t>
    </r>
    <r>
      <rPr>
        <color rgb="FFFF0000"/>
      </rPr>
      <t>(moved to peer-reviewed)</t>
    </r>
    <r>
      <rPr/>
      <t xml:space="preserve"> 
27. Obirikorang, C.  Anto, E.O.  Addai, P. Obirikorang, Y.  Acheampong, E. Prevalence and risks factors of overweight/obesity among Undergraduate students: An institutional based cross-sectional study, </t>
    </r>
    <r>
      <rPr>
        <i/>
      </rPr>
      <t>Ghana Journal of Medical and Biomedical Sciences</t>
    </r>
    <r>
      <rPr/>
      <t xml:space="preserve"> (2017) 6(1), 24-34 .</t>
    </r>
    <r>
      <rPr>
        <color rgb="FFFF0000"/>
      </rPr>
      <t xml:space="preserve"> (moved to peer-reviewed)</t>
    </r>
    <r>
      <rPr/>
      <t xml:space="preserve">
28. Obirikorang, Y. Obirikorang, C.  . Anto, E.O. Acheampong, E. Tuboseiyefah, P Miriam, A.A.  N.B. Batu, E.B Prevalence and risk factors of obesity among practicing nurses at three selected hospitals in Kumasi Metropolis, Ghana. </t>
    </r>
    <r>
      <rPr>
        <i/>
      </rPr>
      <t>Journal of Medical and Biomedical Sciences</t>
    </r>
    <r>
      <rPr/>
      <t xml:space="preserve"> (2016) 5(3), 45-55.  </t>
    </r>
    <r>
      <rPr>
        <color rgb="FFFF0000"/>
      </rPr>
      <t>(moved to peer-reviewed)</t>
    </r>
    <r>
      <rPr/>
      <t xml:space="preserve">
29. Obirikorang, Y, Obirikorang, C, Anto, EO, Acheampong, E, Batu, EN, Stella, AD, Constance, O, Brenya, PK Knowledge of complications of diabetes mellitus among patients visiting the diabetes clinic at Sampa Government Hospital, Ghana: a descriptive study. 2016, </t>
    </r>
    <r>
      <rPr>
        <i/>
      </rPr>
      <t>BMC Public Health</t>
    </r>
    <r>
      <rPr/>
      <t xml:space="preserve"> 16(1): 637.</t>
    </r>
    <r>
      <rPr>
        <color rgb="FFFF0000"/>
      </rPr>
      <t xml:space="preserve"> (moved to peer-reviewed)</t>
    </r>
    <r>
      <rPr/>
      <t xml:space="preserve">
30. Obirikorang, Y Obirikorang, C Anto, Odame E  Acheampong, E  Dzah, N  Akosah, CN and  Nsenbah, EB “Knowledge and Lifestyle-Associated Prevalence of Obesity among Newly Diagnosed Type II Diabetes Mellitus Patients Attending Diabetic Clinic at Komfo Anokye Teaching Hospital, Kumasi, Ghana: A Hospital-Based Cross-Sectional Study,”</t>
    </r>
    <r>
      <rPr>
        <i/>
      </rPr>
      <t xml:space="preserve"> Journal of Diabetes Research</t>
    </r>
    <r>
      <rPr/>
      <t>, vol. 2016, Article ID 9759241, 2016. doi:10.1155/2016/9759241.</t>
    </r>
    <r>
      <rPr>
        <color rgb="FFFF0000"/>
      </rPr>
      <t xml:space="preserve"> (moved to peer-review)</t>
    </r>
    <r>
      <rPr/>
      <t xml:space="preserve">
31. Obirikorang C, Quaye L, Osei-Yeboah J, Odame E, Asare I: Prevalence of metabolic syndrome among HIV-infected patients in Ghana: A cross-sectional study, </t>
    </r>
    <r>
      <rPr>
        <i/>
      </rPr>
      <t xml:space="preserve">Niger Med J </t>
    </r>
    <r>
      <rPr/>
      <t xml:space="preserve">2016;57:86-90. </t>
    </r>
    <r>
      <rPr>
        <color rgb="FFFF0000"/>
      </rPr>
      <t>(moved to peer-review)</t>
    </r>
    <r>
      <rPr/>
      <t xml:space="preserve">
32. Obirikorang C, Issahaku RG, Osakunor DNM, Osei-Yeboah J: Anaemia and Iron Homeostasis in a Cohort of HIV-Infected Patients: A Cross-Sectional Study in Ghana. AIDS Research and Treatment 2016, 2016:8.</t>
    </r>
    <r>
      <rPr>
        <color rgb="FFFF0000"/>
      </rPr>
      <t xml:space="preserve"> (moved to peer-reviewed) </t>
    </r>
    <r>
      <rPr/>
      <t xml:space="preserve">
33. Obirikorang Y, Obirikorang C, Odame Anto E, Acheampong E, Dzah N, Akosah CN, Nsenbah EB: Knowledge and Lifestyle-Associated Prevalence of Obesity among Newly Diagnosed Type II Diabetes Mellitus Patients Attending Diabetic Clinic at Komfo Anokye Teaching Hospital, Kumasi, Ghana: A Hospital-Based Cross-Sectional Study. </t>
    </r>
    <r>
      <rPr>
        <i/>
      </rPr>
      <t>Journal of Diabetes Research</t>
    </r>
    <r>
      <rPr/>
      <t xml:space="preserve"> 2016, 2016:1.Christian Obirikorang, PhD. November 6, 2019 Department of Molecular Medicine, School of Medical Sciences, Kwame Nkrumah University of Science and Technology. Email: cobirikorang.chs@knust.edu.gh Tel: +233 244 512 452. </t>
    </r>
    <r>
      <rPr>
        <color rgb="FFFF0000"/>
      </rPr>
      <t xml:space="preserve"> (moved to peer-reviewed) </t>
    </r>
    <r>
      <rPr/>
      <t xml:space="preserve">
34. Agboli E, Tay S.C.K., Obirikorang C., Aidoo E.Y. Malaria and intestinal parasites in pregnant and non- pregnant women: a comparative study at the University Hospital, Kumasi, </t>
    </r>
    <r>
      <rPr>
        <i/>
      </rPr>
      <t>Ghana Journal of Medical and Biomedical Sciences</t>
    </r>
    <r>
      <rPr/>
      <t xml:space="preserve"> (2015) 4(3), 31-35</t>
    </r>
    <r>
      <rPr>
        <color rgb="FFFF0000"/>
      </rPr>
      <t>. (moved to peer-review)</t>
    </r>
    <r>
      <rPr/>
      <t xml:space="preserve">
35. Osakunor DNM, Obirikorang C, Fianu V, Asare I, Dakorah M. Hepatic Enzyme Alterations in HIV Patients on Antiretroviral Therapy: A Case-Control Study in a Hospital Setting in Ghana. Ceccherini- Silberstein F, ed.</t>
    </r>
    <r>
      <rPr>
        <i/>
      </rPr>
      <t xml:space="preserve"> PLoS ONE</t>
    </r>
    <r>
      <rPr/>
      <t xml:space="preserve">. 2015;10(8):e0134449. doi:10.1371/journal.pone.0134449. </t>
    </r>
    <r>
      <rPr>
        <color rgb="FFFF0000"/>
      </rPr>
      <t>(moved to peer-reviewed)</t>
    </r>
    <r>
      <rPr/>
      <t xml:space="preserve">
36. Obirikorang C, Anto E. O, Ngala R. A, Gyamfi E. (2015) The Prevalence Of Childhood Obesity and Lifestyle-Associated Risk Factors using Anthropometric Measurements among Primary Schools in the Kumasi Metropolis, </t>
    </r>
    <r>
      <rPr>
        <i/>
      </rPr>
      <t>Ghana International Journal of Innovative Medicine and Health Science</t>
    </r>
    <r>
      <rPr/>
      <t xml:space="preserve">, Vol. 4, 13-23. </t>
    </r>
    <r>
      <rPr>
        <color rgb="FFFF0000"/>
      </rPr>
      <t>(moved to peer-reviewed)</t>
    </r>
    <r>
      <rPr/>
      <t xml:space="preserve">
37. Sarpong, A.K, Sarpong, S.A, Obirikorang, C,  Nsowah-Nuamah, N. N. N. (2015) Immediate Risk Factor Associated with Child Malnutrition in Ghana; A Critical Analysis of the Ashiedu Keteke Submetro Area in Accra Food and Public Health 5(5): 174-183 doi:10.5923/j.fph.20150505.04 </t>
    </r>
    <r>
      <rPr>
        <color rgb="FFFF0000"/>
      </rPr>
      <t>(can't identify)</t>
    </r>
    <r>
      <rPr/>
      <t xml:space="preserve">
38. Obirikorang C, Osakunor DNM, Anto EO, Amponsah SO, Adarkwa OK (2015) Obesity and Cardio- Metabolic Risk Factors in an Urban and Rural Population in the Ashanti Region-Ghana: A Comparative Cross-Sectional Study. </t>
    </r>
    <r>
      <rPr>
        <i/>
      </rPr>
      <t xml:space="preserve">PLoS ONE </t>
    </r>
    <r>
      <rPr/>
      <t>10(6): e0129494. doi:10.1371/journal.pone.0129494.</t>
    </r>
    <r>
      <rPr>
        <color rgb="FFFF0000"/>
      </rPr>
      <t xml:space="preserve"> (moved to peer-reviewed)</t>
    </r>
    <r>
      <rPr/>
      <t xml:space="preserve">
39. Obirikorang C, Fondjo LA, Adomako S, Bio FY, Acheampong I (2015) Iron Deficiency among Pregnant Women Attending Antenatal Clinic at the KNUST Hospital, Kumasi, Ghana. </t>
    </r>
    <r>
      <rPr>
        <i/>
      </rPr>
      <t>British Journal of Medicine &amp; Medical Research</t>
    </r>
    <r>
      <rPr/>
      <t xml:space="preserve"> 6(8): 823-832, DOI:10.9734/BJMMR/2015/14786. </t>
    </r>
    <r>
      <rPr>
        <color rgb="FFFF0000"/>
      </rPr>
      <t>(moved to peer-reviewed)</t>
    </r>
    <r>
      <rPr/>
      <t xml:space="preserve">
40. Ansong D, Tawfik D, Williams EA, Benson S, Nyanor I, Boakye I, Obirikorang C, Sallah L, Arhin   B, Boaheng JM, Amuzu E, Asibey O, Dickerson T (2014) Suboptimal vaccination rates in rural Ghana despite positive caregiver attitudes towards vaccination. </t>
    </r>
    <r>
      <rPr>
        <i/>
      </rPr>
      <t>J Vaccines Immun</t>
    </r>
    <r>
      <rPr/>
      <t xml:space="preserve"> 2:715. doi:10.14312/2053- 1273.2014-2. </t>
    </r>
    <r>
      <rPr>
        <color rgb="FFFF0000"/>
      </rPr>
      <t>(moved to peer-reviewed)</t>
    </r>
    <r>
      <rPr/>
      <t xml:space="preserve">
41. Obirikorang C., Osakunor D.N., Ntaadu B. and Adarkwa O.K. Renal function in Ghanaian HIVinfected patients on highly active antiretroviral therapy: a case-control study. </t>
    </r>
    <r>
      <rPr>
        <i/>
      </rPr>
      <t>PLoS One</t>
    </r>
    <r>
      <rPr/>
      <t xml:space="preserve"> 9, e99469.</t>
    </r>
    <r>
      <rPr>
        <color rgb="FFFF0000"/>
      </rPr>
      <t xml:space="preserve"> (moved to peer-reviewed)</t>
    </r>
    <r>
      <rPr/>
      <t xml:space="preserve">
42. Obirikorang C., Selleh P.K., Abledu J.K. and Fofie C.O. (2013) Predictors of Adherence to Antiretroviral Therapy among HIV/AIDS Patients in the Upper West Region of Ghana. ISRN    AIDS 2013, 873939.</t>
    </r>
    <r>
      <rPr>
        <color rgb="FFFF0000"/>
      </rPr>
      <t xml:space="preserve"> (can't identify)</t>
    </r>
    <r>
      <rPr/>
      <t xml:space="preserve">
43. OBIRIKORANG, C., QUAYE, L. &amp; ACHEAMPONG, I. (2012) Total lymphocyte count as a surrogate marker for CD4 count in resource-limited settings. </t>
    </r>
    <r>
      <rPr>
        <i/>
      </rPr>
      <t>BMC Infectious Diseases</t>
    </r>
    <r>
      <rPr/>
      <t xml:space="preserve">, 12, 128. </t>
    </r>
    <r>
      <rPr>
        <color rgb="FFFF0000"/>
      </rPr>
      <t>(moved to peer-reviewed)</t>
    </r>
    <r>
      <rPr/>
      <t xml:space="preserve">
44. Sakyi SA, Ephraim RKD, Antoh EO, Obirikorang C, Berchie GO, (2012.) Lipid Peroxidation and Catalase Levels among Children Presenting with Severe Falciparum Malaria in the Sefwi Christian Obirikorang, PhD. November 6, 2019  Department of Molecular Medicine, School of Medical Sciences, Kwame Nkrumah University of Science and Technology. Email: cobirikorang.chs@knust.edu.gh  Tel: +233 244 512 452 Wiawso Municipality,</t>
    </r>
    <r>
      <rPr>
        <i/>
      </rPr>
      <t xml:space="preserve"> Ghana. Journal of Medical Sciences</t>
    </r>
    <r>
      <rPr/>
      <t xml:space="preserve">, 12: 141-147.  </t>
    </r>
    <r>
      <rPr>
        <color rgb="FFFF0000"/>
      </rPr>
      <t xml:space="preserve"> (moved to peer-reviewed)  </t>
    </r>
    <r>
      <rPr/>
      <t xml:space="preserve">                                                                                                                                                                                                                                                               
45. Amidu N., Alhassan A., Obirikorang C., Feglo P., Majeed S.F., Timmy-Donkoh E and Afful D. (2012) Sero-prevalence of hepatitis B surface (HBsAg) antigen in three densely populated communities in Kumasi, </t>
    </r>
    <r>
      <rPr>
        <i/>
      </rPr>
      <t xml:space="preserve">Ghana Journal of Medical and Biomedical Sciences </t>
    </r>
    <r>
      <rPr/>
      <t>1(2): 59-65.</t>
    </r>
    <r>
      <rPr>
        <color rgb="FFFF0000"/>
      </rPr>
      <t xml:space="preserve"> (moved to peer-reviewed) </t>
    </r>
    <r>
      <rPr/>
      <t xml:space="preserve">
46. Obirikorang C., Quaye L., Bio F.Y., Amidu N., Acheampong, I., and Addo K., (2012) Asymptomatic Bacteriuria among Pregnant Women Attending Antenatal Clinic at the University Hospital, Kumasi, </t>
    </r>
    <r>
      <rPr>
        <i/>
      </rPr>
      <t>Ghana Journal of Medical and Biomedical Sciences</t>
    </r>
    <r>
      <rPr/>
      <t xml:space="preserve"> 1(1): 38-44.</t>
    </r>
    <r>
      <rPr>
        <color rgb="FFFF0000"/>
      </rPr>
      <t xml:space="preserve"> (moved to peer-reviewed) </t>
    </r>
    <r>
      <rPr/>
      <t xml:space="preserve">
47. Koffuor G.A., Woode E., Obirikorang C. and Asiamah E. (2011) Toxicity Evaluation of a Polyherbal Antihypertensive Mixture in </t>
    </r>
    <r>
      <rPr>
        <i/>
      </rPr>
      <t>Ghana Journal of Pharmacy and Allied Health Sciences</t>
    </r>
    <r>
      <rPr/>
      <t xml:space="preserve"> 1, 34-48.</t>
    </r>
    <r>
      <rPr>
        <color rgb="FFFF0000"/>
      </rPr>
      <t xml:space="preserve"> (can't identify)</t>
    </r>
    <r>
      <rPr/>
      <t xml:space="preserve">
48. Obirikorang, C, and Yeboah, FA (2009) Blood haemoglobin measurement as a predictive indicator for the progression of HIV/AIDS in resource-limited setting. J Biomed Sci 16(1): 102</t>
    </r>
    <r>
      <rPr>
        <color rgb="FFFF0000"/>
      </rPr>
      <t xml:space="preserve"> (moved to peer-reviewed)</t>
    </r>
    <r>
      <rPr/>
      <t xml:space="preserve">
</t>
    </r>
  </si>
  <si>
    <t xml:space="preserve">    </t>
  </si>
  <si>
    <t>Annet Oguttu</t>
  </si>
  <si>
    <t>“Tax treaty disputes in Uganda” in Eduardo Baistrocchi A Global Analysis of Tax Treaty Disputes Vol 1 Part IV (2017) Cambridge University Press</t>
  </si>
  <si>
    <t>"Offshore Trusts and Income Tax Avoidance: Ideals and Pitfalls From A South African Perspective" in Sylvia Mercado Kierkegaard (ed) Law Across Nations: Governance, Policy &amp; Statues (2011, International Association of IT Lawyers) pages 694 - 708. ISBN: 978-87-991385-9-3.</t>
  </si>
  <si>
    <r>
      <rPr/>
      <t xml:space="preserve">Oguttu 1. “Does the issue of shares by a subsidiary company to a foreign holding company amount to taxable income in the hands of the issuing company? Vodafone India Services Pvt Ltd v Union of India” (2017).  Journal for Contemporary Roman Dutch Law Vol 80 Issue  3, pages  412-432 .  Oguttu 2.  “Resolving treaty disputes: The challenges of mutual agreement procedure with a special focus on issues for developing countries in Africa” Issue No. 12 (2016) Bulletin for International Taxation. Also published in (2015) vol 40 South African Yearbook of International Law (Published in 2017) 160 -201. Oguttu  3. BEPS in Africa Part 2: A Critical analysis of some priority OECD BEPS Action points from an African perspective – Addressing Excessive Interest Deductions, Treaty Abuse and Avoidance of Permanent Establishment Status (2016) (Volume 70), No 6 Bulletin for International Taxation. See also “Tax Base Erosion And Profit Shifting - Part 2: A Critique of Some Priority OECD Action Points from an African Perspective - Preventing Excessive Interest Deductions And Tax Treaty Abuse” (2016) vol 49 Issue 1The Comparative and International Law Journal of Southern Africa 130-163 Oguttu 4. “OECD’s Action Plan on Tax Base Erosion and Profit Shifting: Part 1 - What Should Be Africa’s Response?” (2015) (Volume 69), No 11 Bulletin for International Taxation. Also published in XLVIII No 3 The Comparative and International Law Journal of Southern Africa (2015) 516-553. Oguttu 5.  “Curbing Income Tax Avoidance that Results from Cross-border Leasing: A Comparative Overview with Specific Reference to South Africa” (2014) 26 SA Merc LJ 338-386 Oguttu 6. “The Role of International Cooperation in Preventing Tax Evasion: A Critique on Assistance in the Collection of Taxes – A South African Perspective” 2014 (Volume 68), No 9 Bulletin for International Taxation. Oguttu 7. “A Critique on the Effectiveness of ‘Exchange of Information on Tax Matters’ in Preventing Tax Avoidance and Evasion: A South African Perspective” (2014) Vol 68 Issue No 1 Bulletin for International Taxation. Oguttu 8.“Curbing Thin Capitalisation: A Comparative Overview With Specific Reference To South Africa’s Approach - Challenges Posed By The Amended Section 31 of The Income Tax Act” (2013) Vol 67 Issue No 6 Bulletin for International Taxation 311-326. Oguttu 9.“Challenges In Taxing Derivative Financial Instruments: International Views And South Africa’s Approach” (2012) 24 South African Mercantile law Journal 385-416. Oguttu 10. “Developing South Africa As A Gateway For Foreign Investment In Africa: A Critique Of South Africa’s Headquarter Company Regime” (2011) 36 South African Year Book of International Law 61-93. Oguttu 11. "Offshore Trusts and Income Tax Avoidance: The lures and Pitfalls from A South African Perspective" (2012) Vol 5 No 4 Int. J. Private Law 406-438. Oguttu 12. “Exposing and Curtailing Secret Offshore Tax Shelters: The Tools and the Enablers. A Call for Vigilance in South Africa” (2011) Vol XLIV No. 1 The Comparative and International Law Journal of Southern Africa 30-58. Oguttu 13. Also in (2010) 3 Issue 1 Global Studies Journal 153-170. “The Role of Tax Havens in the Global Financial Crisis: A Critique of International Initiatives and Measures to Curtail Resultant Fiscal Challenges in South Africa” (2011) Vol 65 Issue No 6 Bulletin for International Taxation available at http://online.ibfd.org/kbase </t>
    </r>
    <r>
      <rPr>
        <b/>
      </rPr>
      <t>Oguttu</t>
    </r>
    <r>
      <rPr/>
      <t xml:space="preserve"> 14. “Curbing Tax Avoidance - Invests in Offshore “Protected Cell Companies and Cell Trusts”: The US and UK Approach – What’s South Africa’s View?” (2011) 23 Vol 1 South African Mercantile law Journal 16-44. </t>
    </r>
    <r>
      <rPr>
        <b/>
      </rPr>
      <t>Oguttu</t>
    </r>
    <r>
      <rPr/>
      <t xml:space="preserve"> 15.“The Challenges of Tax Sparing: A Call to Reconsider the Policy in South Africa” Bulletin for International Taxation (2011) (Vol 65) No 1, also available at http://online.ibfd.org/kbase/. This article was the gist of Prof Oguttu’s Inaugural lecture on the 21 October 2010 at UNISA.  </t>
    </r>
    <r>
      <rPr>
        <b/>
      </rPr>
      <t>Oguttu</t>
    </r>
    <r>
      <rPr/>
      <t xml:space="preserve"> 16.  “The Challenges of Taxing Profits Attributed To Permanent Establishments: A South African Perspective” Bulletin for International Taxation (2010) Vol 64 No.3 165-175. </t>
    </r>
    <r>
      <rPr>
        <b/>
      </rPr>
      <t>Oguttu</t>
    </r>
    <r>
      <rPr/>
      <t xml:space="preserve"> 17.“A Critique on the OECD Campaign against Tax Havens: Has it been Successful? A South African Perspective” (2010) 21 No 1 Stellenbosch Law Review 172 -200. </t>
    </r>
    <r>
      <rPr>
        <b/>
      </rPr>
      <t>Oguttu</t>
    </r>
    <r>
      <rPr/>
      <t xml:space="preserve"> 18 “Resolving The Conflict Between ‘Controlled Foreign Company’ Legislation and Tax Treaties: A South African Perspective” XLII (2009) No 1 The Comparative and International Law Journal of Southern Africa 73-114. </t>
    </r>
    <r>
      <rPr>
        <b/>
      </rPr>
      <t>Oguttu</t>
    </r>
    <r>
      <rPr/>
      <t xml:space="preserve"> 19 “E-commerce: A Critique on The Determination of a ‘Permanent Establishment’ for Income Tax Purposes From a South African Perspective (2009) 20 No 1 Stellenbosch Law Review 74-96; see also “The Challenges E-Commerce Poses to the Determination of a Taxable Presence: The “Permanent Establishment” Concept Analyzed from a South African Perspective” The Journal of International Commercial Law and Technology Vol 4 No 3 (2009); </t>
    </r>
    <r>
      <rPr>
        <b/>
      </rPr>
      <t>Oguttu</t>
    </r>
    <r>
      <rPr/>
      <t xml:space="preserve"> 20. “The Challenges of Taxing Investments in Offshore Hybrid Entities: A South African Perspective” (2009) 21 No 1 SA Mercantile Law Journal 51-73. 21.  </t>
    </r>
  </si>
  <si>
    <r>
      <rPr>
        <b/>
      </rPr>
      <t>Oguttu</t>
    </r>
    <r>
      <rPr/>
      <t xml:space="preserve">, “Resolving The Conflict Between ‘Controlled Foreign Company’ Legislation and Tax Treaties: A South African Perspective” XLII (2009) No 1 The Comparative and International Law Journal of Southern Africa 73-114. </t>
    </r>
    <r>
      <rPr>
        <b/>
      </rPr>
      <t>Oguttu</t>
    </r>
    <r>
      <rPr/>
      <t xml:space="preserve"> “E-commerce: A Critique on The Determination of a ‘Permanent Establishment’ for Income Tax Purposes From a South African Perspective (2009) 20 No 1 Stellenbosch Law Review 74-96; see also “The Challenges E-Commerce Poses to the Determination of a Taxable Presence: The “Permanent Establishment” Concept Analyzed from a South African Perspective” The Journal of International Commercial Law and Technology Vol 4 No 3 (2009), </t>
    </r>
    <r>
      <rPr>
        <b/>
      </rPr>
      <t>Oguttu</t>
    </r>
    <r>
      <rPr/>
      <t xml:space="preserve"> “The Challenges of Taxing Investments in Offshore Hybrid Entities: A South African Perspective” (2009) 21 No 1 SA Mercantile Law Journal 51-73. 21. </t>
    </r>
  </si>
  <si>
    <r>
      <rPr>
        <rFont val="&quot;Times New Roman&quot;,serif"/>
        <i/>
        <color rgb="FFFF0000"/>
      </rPr>
      <t>Addressing BEPS: Origins, standards and Responses – South Africa (2017) pg 629 -720 fiscal international (International Fiscal Association)</t>
    </r>
    <r>
      <rPr>
        <rFont val="&quot;Times New Roman&quot;,serif"/>
        <i/>
      </rPr>
      <t xml:space="preserve"> </t>
    </r>
  </si>
  <si>
    <t>“South Africa: GAARS – An Emerging Trend in the Tax landscape” In Lang, Rust, Schuch, Staringer; Owens and Pistone GAARs - A Key Element of Tax Systems in the Post-BEPS World, Chapter 31 (pg 611 - 632)IBFD</t>
  </si>
  <si>
    <t>“Ensuring a right balance in applying the residence and source bases of taxation in order to protect South Africa’s tax base” in J Hattingh, J Roeleveld, C West Income Tax in South Africa: The First 100 Years (1914 - 2014) in Part 5, pg 245-275.JUTA &amp; Co</t>
  </si>
  <si>
    <t>International Tax Law: Offshore Tax Avoidance in South Africa</t>
  </si>
  <si>
    <t>"Tax Law: An Introdution" Contributed: Chapter 3 Jurisdiction (p 25-62) Chapter 5 Exempt Income (pp. 121 - 128) Chapter 10 Taxable Persons pp. 361-392) Chapter 14: International Tax Aspects pp. 511-600</t>
  </si>
  <si>
    <t>“The Challenges of Tax Sparing: A Call To Reconsider The Policy in South Africa” in Private Law: Rights, Duties &amp; Conflicts Sylvia Mercado Kierkegaard (Eds) pages 589-604 (2010 International Association of IT Lawyers, ISBN 978-87-991385-8-6).</t>
  </si>
  <si>
    <t>“E-commerce: A Critique on The Determination of a ‘Permanent Establishment’ for Income Tax Purposes From a South African Perspective” in Synergies and Conflicts in Cyberlaw Sylvia Mercado Kierkegaard (Eds) pages 221-235 (2008) International Association of IT Lawyers, ISBN 87-991385-5-7).</t>
  </si>
  <si>
    <t xml:space="preserve">Osei-Asare, Christina </t>
  </si>
  <si>
    <r>
      <rPr/>
      <t xml:space="preserve">Osei-Asare, C., Kipo, S. L., Ofori-Kwakye, K., &amp; El Boakye-Gyasi, M. (2015). Comparative in vitro dissolution of commercially available sustained release nifedipine tablet brands in the Kumasi Metropolis, Ghana. </t>
    </r>
    <r>
      <rPr>
        <i/>
      </rPr>
      <t xml:space="preserve">Journal of Applied Pharmaceutical Science </t>
    </r>
    <r>
      <rPr/>
      <t>Vol, 5(08), 054-060.
Osei-Asare C, Kipo S et al., 2015. Physician and patient preferences for sustained-release antihypertensive preparations in the Kumasi metropolis, Ghana”. West Africa Journal of Pharmacy (WAJP).
Oppong, E. E., Asare, C. O., &amp; Klu, M. W. (2016). Evaluation of the suspending properties of shea tree gum. International Journal of Pharmacy and Pharmaceutical Sciences, 8(7).
Oppong, E. E., Osei-Asare, C., &amp; Klu, M. W. (2016). Evaluation of the emulsifying potential of shea tree gum. International Journal of Pharmacy and Pharmaceutical Sciences, 5(6), 75-83.
Apenteng J. A et al., 2016. In - vitro anti-infective and antioxidant activity of Plumbago zeylanica Linn. International Journal of Current Research in Bioscience and Plant Biology, Vol 3 (8). Page 131-137.
Apenteng J. A et al., 2016. In vitro anti-infective and antioxidant activity of Xylopia aethiopica [Dun.]. A. Rich: A comparison of the fruits and leaves extracts. Journal of Medicinal Plants Studies. Vol. 4 (5), Page 24-29.
Apenteng, J.A., Quaye, G. And Osei-Asare, E.E.O.C., 2016. The risk of pulmonary disease and other health hazards among small scale stone quarry workers: a study at miotso in the Ningo-Prampram district of Ghana, International Journal of Development Research, Vol. 06, Issue, 10, pp.9739-9747.Apenteng, J.A., Osei-Asare, C., Oppong, E.E., Amihere, I. and Hafiz, M.Y., 2017. Antibiotic sensitivity patterns of microbial isolates from fish ponds: A study in the Greater Accra Region of Ghana. African Journal of Pharmacy and Pharmacology, 11(28), pp.314-320.
Adi-Dako, O., Ofori-Kwakye, K., Kukuia, K.K., Asiedu-Larbi, J., Nyarko, A., Kumadoh, D. and Osei-Asare, C., 2018. Subchronic toxicity studies of cocoa pod husk pectin intended as a pharmaceutical excipient in Sprague Dawley rats, Journal of Pharmaceutics, Volume 2018, Article ID 1459849, 1-10
Osei-Asare, C., Oppong, E.E., Apenteng, J.A., Adi-Dako, O., Kumadoh, D., Akosua, A.A. and Ohemeng, K.A., 2020. Managing Vibrio cholerae with a local beverage: preparation of an affordable ethanol based hand sanitizer. Heliyon, 6(1), p.e03105.</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</si>
</sst>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13">
    <font>
      <sz val="11.0"/>
      <color rgb="FF000000"/>
      <name val="Calibri"/>
    </font>
    <font>
      <sz val="12.0"/>
      <color rgb="FFFF0000"/>
      <name val="Calibri"/>
    </font>
    <font>
      <sz val="12.0"/>
      <color rgb="FF000000"/>
      <name val="Calibri"/>
    </font>
    <font>
      <sz val="12.0"/>
      <name val="Calibri"/>
    </font>
    <font>
      <sz val="12.0"/>
      <color rgb="FF0000FF"/>
      <name val="Calibri"/>
    </font>
    <font>
      <u/>
      <sz val="12.0"/>
      <color rgb="FFFF0000"/>
      <name val="Calibri"/>
    </font>
    <font>
      <u/>
      <sz val="12.0"/>
      <color rgb="FF000000"/>
      <name val="Calibri"/>
    </font>
    <font>
      <u/>
      <sz val="12.0"/>
      <color rgb="FF000000"/>
      <name val="Calibri"/>
    </font>
    <font>
      <u/>
      <sz val="12.0"/>
      <name val="Calibri"/>
    </font>
    <font>
      <u/>
      <sz val="12.0"/>
      <color rgb="FF000000"/>
      <name val="Calibri"/>
    </font>
    <font>
      <u/>
      <sz val="12.0"/>
      <color rgb="FF000000"/>
      <name val="Calibri"/>
    </font>
    <font>
      <u/>
      <sz val="12.0"/>
      <color rgb="FF000000"/>
      <name val="Calibri"/>
    </font>
    <font>
      <i/>
      <sz val="12.0"/>
      <color rgb="FF000000"/>
      <name val="Calibri"/>
    </font>
    <font>
      <u/>
      <sz val="12.0"/>
      <color rgb="FF000000"/>
      <name val="Calibri"/>
    </font>
    <font>
      <sz val="12.0"/>
      <color rgb="FF222222"/>
      <name val="Calibri"/>
    </font>
    <font>
      <strike/>
      <sz val="12.0"/>
      <color rgb="FF000000"/>
      <name val="Calibri"/>
    </font>
    <font>
      <strike/>
      <sz val="12.0"/>
      <name val="Calibri"/>
    </font>
    <font>
      <u/>
      <sz val="12.0"/>
      <color rgb="FF000000"/>
      <name val="Calibri"/>
    </font>
    <font>
      <u/>
      <sz val="12.0"/>
      <color rgb="FF000000"/>
      <name val="Calibri"/>
    </font>
    <font>
      <u/>
      <sz val="12.0"/>
      <color rgb="FF000000"/>
      <name val="Calibri"/>
    </font>
    <font>
      <sz val="12.0"/>
      <color rgb="FF333333"/>
      <name val="Calibri"/>
    </font>
    <font>
      <u/>
      <sz val="12.0"/>
      <name val="Calibri"/>
    </font>
    <font>
      <u/>
      <sz val="12.0"/>
      <color rgb="FF000000"/>
      <name val="Calibri"/>
    </font>
    <font>
      <u/>
      <sz val="12.0"/>
      <color rgb="FF000000"/>
      <name val="Calibri"/>
    </font>
    <font>
      <sz val="12.0"/>
      <color rgb="FF1F1F1F"/>
      <name val="Calibri"/>
    </font>
    <font/>
    <font>
      <strike/>
    </font>
    <font>
      <b/>
    </font>
    <font>
      <b/>
      <strike/>
    </font>
    <font>
      <b/>
      <sz val="12.0"/>
      <color rgb="FFFF0000"/>
      <name val="Calibri"/>
    </font>
    <font>
      <b/>
      <sz val="12.0"/>
      <color rgb="FF000000"/>
      <name val="Calibri"/>
    </font>
    <font>
      <name val="Calibri"/>
    </font>
    <font>
      <sz val="11.0"/>
      <name val="Calibri"/>
    </font>
    <font>
      <name val="Arial"/>
    </font>
    <font>
      <sz val="11.0"/>
      <name val="Arial"/>
    </font>
    <font>
      <color rgb="FF222222"/>
      <name val="Calibri"/>
    </font>
    <font>
      <sz val="11.0"/>
      <name val="Verdana"/>
    </font>
    <font>
      <b/>
      <sz val="12.0"/>
      <color rgb="FF000000"/>
      <name val="Cambria"/>
    </font>
    <font>
      <b/>
      <sz val="12.0"/>
      <color rgb="FFFF0000"/>
      <name val="Cambria"/>
    </font>
    <font>
      <b/>
      <sz val="11.0"/>
      <color rgb="FFFF0000"/>
      <name val="Calibri"/>
    </font>
    <font>
      <sz val="11.0"/>
      <color rgb="FF222222"/>
      <name val="Calibri"/>
    </font>
    <font>
      <b/>
      <sz val="12.0"/>
      <name val="Cambria"/>
    </font>
    <font>
      <color rgb="FFFF0000"/>
    </font>
    <font>
      <i/>
      <sz val="12.0"/>
      <name val="&quot;Times New Roman&quot;"/>
    </font>
    <font>
      <b/>
      <color rgb="FFFF0000"/>
    </font>
    <font>
      <color rgb="FF222222"/>
      <name val="Arial"/>
    </font>
    <font>
      <sz val="11.0"/>
      <color rgb="FF222222"/>
      <name val="Arial"/>
    </font>
    <font>
      <b/>
      <sz val="12.0"/>
      <name val="Calibri"/>
    </font>
    <font>
      <sz val="12.0"/>
    </font>
    <font>
      <sz val="11.0"/>
      <color rgb="FF000000"/>
      <name val="Arial"/>
    </font>
    <font>
      <color rgb="FF000000"/>
      <name val="Roboto"/>
    </font>
    <font>
      <b/>
      <sz val="11.0"/>
      <color rgb="FFFF0000"/>
      <name val="Arial"/>
    </font>
    <font>
      <b/>
      <sz val="11.0"/>
      <color rgb="FF000000"/>
      <name val="Arial"/>
    </font>
    <font>
      <u/>
      <sz val="11.0"/>
      <color rgb="FF0000FF"/>
      <name val="Arial"/>
    </font>
    <font>
      <u/>
      <sz val="11.0"/>
      <color rgb="FF000000"/>
      <name val="Arial"/>
    </font>
    <font>
      <u/>
      <sz val="11.0"/>
      <color rgb="FF0000FF"/>
      <name val="Arial"/>
    </font>
    <font>
      <sz val="11.0"/>
      <color rgb="FF333333"/>
      <name val="Arial"/>
    </font>
    <font>
      <b/>
      <sz val="12.0"/>
      <color rgb="FF0000FF"/>
      <name val="Calibri"/>
    </font>
    <font>
      <strike/>
      <sz val="12.0"/>
      <color rgb="FF0000FF"/>
      <name val="Calibri"/>
    </font>
    <font>
      <u/>
      <sz val="12.0"/>
      <color rgb="FFFF0000"/>
      <name val="Calibri"/>
    </font>
    <font>
      <u/>
      <sz val="12.0"/>
      <color rgb="FF0000FF"/>
      <name val="Calibri"/>
    </font>
    <font>
      <u/>
      <sz val="12.0"/>
      <color rgb="FF0000FF"/>
      <name val="Calibri"/>
    </font>
    <font>
      <u/>
      <sz val="12.0"/>
      <color rgb="FF000000"/>
      <name val="Calibri"/>
    </font>
    <font>
      <u/>
      <sz val="12.0"/>
      <color rgb="FF000000"/>
      <name val="Calibri"/>
    </font>
    <font>
      <b/>
      <strike/>
      <sz val="12.0"/>
      <color rgb="FFFF0000"/>
      <name val="Calibri"/>
    </font>
    <font>
      <b/>
      <sz val="11.0"/>
      <color rgb="FF000000"/>
      <name val="Calibri"/>
    </font>
    <font>
      <b/>
      <strike/>
      <sz val="11.0"/>
      <color rgb="FFFF0000"/>
      <name val="Arial"/>
    </font>
    <font>
      <strike/>
      <sz val="11.0"/>
      <color rgb="FF000000"/>
      <name val="Arial"/>
    </font>
    <font>
      <strike/>
      <sz val="11.0"/>
      <color rgb="FF0000FF"/>
      <name val="Arial"/>
    </font>
    <font>
      <u/>
      <sz val="11.0"/>
      <name val="Arial"/>
    </font>
    <font>
      <sz val="11.0"/>
      <color rgb="FFFF0000"/>
      <name val="Arial"/>
    </font>
    <font>
      <sz val="11.0"/>
      <color rgb="FF000000"/>
      <name val="Cambria"/>
    </font>
    <font>
      <u/>
      <sz val="12.0"/>
      <color rgb="FF0000FF"/>
      <name val="Calibri"/>
    </font>
    <font>
      <u/>
      <sz val="12.0"/>
      <color rgb="FF0000FF"/>
      <name val="Calibri"/>
    </font>
    <font>
      <b/>
      <sz val="11.0"/>
      <color rgb="FF000000"/>
      <name val="Cambria"/>
    </font>
    <font>
      <u/>
      <sz val="12.0"/>
      <color rgb="FF0000FF"/>
      <name val="Calibri"/>
    </font>
    <font>
      <u/>
      <sz val="11.0"/>
      <color rgb="FF0000FF"/>
      <name val="Calibri"/>
    </font>
    <font>
      <u/>
      <sz val="11.0"/>
      <color rgb="FF0000FF"/>
      <name val="Calibri"/>
    </font>
    <font>
      <u/>
      <sz val="11.0"/>
      <color rgb="FF000000"/>
      <name val="Calibri"/>
    </font>
    <font>
      <u/>
      <sz val="11.0"/>
      <color rgb="FF0000FF"/>
      <name val="Calibri"/>
    </font>
    <font>
      <u/>
      <sz val="12.0"/>
      <color rgb="FF1155CC"/>
      <name val="Calibri"/>
    </font>
    <font>
      <sz val="22.0"/>
      <color rgb="FF000000"/>
      <name val="Calibri"/>
    </font>
    <font>
      <u/>
      <sz val="12.0"/>
      <color rgb="FF0000FF"/>
      <name val="Calibri"/>
    </font>
    <font>
      <b/>
      <strike/>
      <sz val="12.0"/>
      <color rgb="FF000000"/>
      <name val="Calibri"/>
    </font>
    <font>
      <strike/>
      <sz val="22.0"/>
      <color rgb="FF000000"/>
      <name val="Calibri"/>
    </font>
    <font>
      <u/>
      <sz val="12.0"/>
      <color rgb="FF0000FF"/>
      <name val="Calibri"/>
    </font>
    <font>
      <u/>
      <sz val="12.0"/>
      <color rgb="FF0000FF"/>
      <name val="Calibri"/>
    </font>
    <font>
      <sz val="18.0"/>
      <color rgb="FF000000"/>
      <name val="Calibri"/>
    </font>
    <font>
      <sz val="22.0"/>
      <color rgb="FFA5A5A5"/>
      <name val="Calibri"/>
    </font>
    <font>
      <u/>
      <sz val="12.0"/>
      <color rgb="FF1155CC"/>
      <name val="Calibri"/>
    </font>
    <font>
      <u/>
      <sz val="12.0"/>
      <color rgb="FF000000"/>
      <name val="Calibri"/>
    </font>
    <font>
      <u/>
      <sz val="12.0"/>
      <color rgb="FF000000"/>
      <name val="Calibri"/>
    </font>
    <font>
      <u/>
      <sz val="12.0"/>
      <color rgb="FF0000FF"/>
      <name val="Calibri"/>
    </font>
    <font>
      <sz val="18.0"/>
      <color rgb="FFA5A5A5"/>
      <name val="Calibri"/>
    </font>
    <font>
      <b/>
      <name val="Calibri"/>
    </font>
    <font>
      <color rgb="FF000000"/>
      <name val="Calibri"/>
    </font>
    <font>
      <sz val="10.0"/>
      <color rgb="FF000000"/>
      <name val="Cambria"/>
    </font>
    <font>
      <sz val="10.0"/>
      <name val="Calibri"/>
    </font>
    <font>
      <b/>
      <sz val="11.0"/>
      <name val="Calibri"/>
    </font>
    <font>
      <b/>
      <name val="Arial"/>
    </font>
    <font>
      <b/>
      <sz val="22.0"/>
      <color rgb="FF000000"/>
      <name val="Calibri"/>
    </font>
    <font>
      <b/>
      <i/>
    </font>
    <font>
      <u/>
      <color rgb="FF0000FF"/>
    </font>
    <font>
      <u/>
      <sz val="11.0"/>
      <color rgb="FF000000"/>
      <name val="Docs-Calibri"/>
    </font>
    <font>
      <u/>
      <color rgb="FF0000FF"/>
    </font>
    <font>
      <u/>
      <color rgb="FF0000FF"/>
    </font>
    <font>
      <sz val="11.0"/>
      <color rgb="FF000000"/>
      <name val="Roboto"/>
    </font>
    <font>
      <u/>
      <color rgb="FF0000FF"/>
    </font>
    <font>
      <i/>
      <u/>
      <sz val="11.0"/>
      <name val="Calibri"/>
    </font>
    <font>
      <i/>
      <u/>
      <sz val="12.0"/>
      <name val="&quot;Times New Roman&quot;"/>
    </font>
    <font>
      <i/>
      <name val="&quot;Times New Roman&quot;"/>
    </font>
    <font>
      <i/>
      <color rgb="FFFF0000"/>
      <name val="&quot;Times New Roman&quot;"/>
    </font>
    <font>
      <i/>
      <color rgb="FFFF0000"/>
    </font>
  </fonts>
  <fills count="21">
    <fill>
      <patternFill patternType="none"/>
    </fill>
    <fill>
      <patternFill patternType="lightGray"/>
    </fill>
    <fill>
      <patternFill patternType="solid">
        <fgColor rgb="FF9C6500"/>
        <bgColor rgb="FF9C6500"/>
      </patternFill>
    </fill>
    <fill>
      <patternFill patternType="solid">
        <fgColor rgb="FFFFEB9C"/>
        <bgColor rgb="FFFFEB9C"/>
      </patternFill>
    </fill>
    <fill>
      <patternFill patternType="solid">
        <fgColor rgb="FFB7B7B7"/>
        <bgColor rgb="FFB7B7B7"/>
      </patternFill>
    </fill>
    <fill>
      <patternFill patternType="solid">
        <fgColor rgb="FFFFFFFF"/>
        <bgColor rgb="FFFFFFFF"/>
      </patternFill>
    </fill>
    <fill>
      <patternFill patternType="solid">
        <fgColor rgb="FFC6D9F0"/>
        <bgColor rgb="FFC6D9F0"/>
      </patternFill>
    </fill>
    <fill>
      <patternFill patternType="solid">
        <fgColor rgb="FFF8F2EB"/>
        <bgColor rgb="FFF8F2EB"/>
      </patternFill>
    </fill>
    <fill>
      <patternFill patternType="solid">
        <fgColor rgb="FF93C47D"/>
        <bgColor rgb="FF93C47D"/>
      </patternFill>
    </fill>
    <fill>
      <patternFill patternType="solid">
        <fgColor rgb="FFFFE599"/>
        <bgColor rgb="FFFFE599"/>
      </patternFill>
    </fill>
    <fill>
      <patternFill patternType="solid">
        <fgColor rgb="FFB6D7A8"/>
        <bgColor rgb="FFB6D7A8"/>
      </patternFill>
    </fill>
    <fill>
      <patternFill patternType="solid">
        <fgColor rgb="FFF7CAAC"/>
        <bgColor rgb="FFF7CAAC"/>
      </patternFill>
    </fill>
    <fill>
      <patternFill patternType="solid">
        <fgColor rgb="FFFFE598"/>
        <bgColor rgb="FFFFE598"/>
      </patternFill>
    </fill>
    <fill>
      <patternFill patternType="solid">
        <fgColor rgb="FFADB9CA"/>
        <bgColor rgb="FFADB9CA"/>
      </patternFill>
    </fill>
    <fill>
      <patternFill patternType="solid">
        <fgColor rgb="FFC5E0B3"/>
        <bgColor rgb="FFC5E0B3"/>
      </patternFill>
    </fill>
    <fill>
      <patternFill patternType="solid">
        <fgColor rgb="FFB4C6E7"/>
        <bgColor rgb="FFB4C6E7"/>
      </patternFill>
    </fill>
    <fill>
      <patternFill patternType="solid">
        <fgColor rgb="FFD8D8D8"/>
        <bgColor rgb="FFD8D8D8"/>
      </patternFill>
    </fill>
    <fill>
      <patternFill patternType="solid">
        <fgColor rgb="FFFBE4D5"/>
        <bgColor rgb="FFFBE4D5"/>
      </patternFill>
    </fill>
    <fill>
      <patternFill patternType="solid">
        <fgColor rgb="FFE2EFD9"/>
        <bgColor rgb="FFE2EFD9"/>
      </patternFill>
    </fill>
    <fill>
      <patternFill patternType="solid">
        <fgColor rgb="FFFFFF00"/>
        <bgColor rgb="FFFFFF00"/>
      </patternFill>
    </fill>
    <fill>
      <patternFill patternType="solid">
        <fgColor rgb="FFFF0000"/>
        <bgColor rgb="FFFF0000"/>
      </patternFill>
    </fill>
  </fills>
  <borders count="9">
    <border/>
    <border>
      <left style="thin">
        <color rgb="FF9C6500"/>
      </left>
      <right style="thin">
        <color rgb="FF9C6500"/>
      </right>
      <top style="thin">
        <color rgb="FF9C6500"/>
      </top>
      <bottom style="thin">
        <color rgb="FF9C65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top style="thin">
        <color rgb="FF000000"/>
      </top>
      <bottom style="thin">
        <color rgb="FF000000"/>
      </bottom>
    </border>
    <border>
      <right style="thin">
        <color rgb="FF000000"/>
      </right>
    </border>
  </borders>
  <cellStyleXfs count="1">
    <xf borderId="0" fillId="0" fontId="0" numFmtId="0" applyAlignment="1" applyFont="1"/>
  </cellStyleXfs>
  <cellXfs count="56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2" numFmtId="0" xfId="0" applyAlignment="1" applyBorder="1" applyFont="1">
      <alignment horizontal="left" readingOrder="0" shrinkToFit="0" vertical="top" wrapText="1"/>
    </xf>
    <xf borderId="1" fillId="2" fontId="2" numFmtId="0" xfId="0" applyAlignment="1" applyBorder="1" applyFont="1">
      <alignment horizontal="left" shrinkToFit="0" vertical="top" wrapText="1"/>
    </xf>
    <xf borderId="1" fillId="2" fontId="3" numFmtId="0" xfId="0" applyAlignment="1" applyBorder="1" applyFont="1">
      <alignment horizontal="left" shrinkToFit="0" vertical="top" wrapText="1"/>
    </xf>
    <xf borderId="1" fillId="3" fontId="4" numFmtId="0" xfId="0" applyAlignment="1" applyBorder="1" applyFill="1" applyFont="1">
      <alignment horizontal="left" readingOrder="0" shrinkToFit="0" vertical="top" wrapText="1"/>
    </xf>
    <xf borderId="1" fillId="3" fontId="4" numFmtId="0" xfId="0" applyAlignment="1" applyBorder="1" applyFont="1">
      <alignment horizontal="left" shrinkToFit="0" vertical="top" wrapText="1"/>
    </xf>
    <xf borderId="1" fillId="3" fontId="4" numFmtId="0" xfId="0" applyAlignment="1" applyBorder="1" applyFont="1">
      <alignment horizontal="left" shrinkToFit="0" vertical="top" wrapText="1"/>
    </xf>
    <xf borderId="1" fillId="4" fontId="5" numFmtId="0" xfId="0" applyAlignment="1" applyBorder="1" applyFill="1" applyFont="1">
      <alignment horizontal="left" shrinkToFit="0" vertical="top" wrapText="1"/>
    </xf>
    <xf borderId="1" fillId="4" fontId="6" numFmtId="0" xfId="0" applyAlignment="1" applyBorder="1" applyFont="1">
      <alignment horizontal="left" readingOrder="0" shrinkToFit="0" vertical="top" wrapText="1"/>
    </xf>
    <xf borderId="1" fillId="4" fontId="7" numFmtId="0" xfId="0" applyAlignment="1" applyBorder="1" applyFont="1">
      <alignment horizontal="left" shrinkToFit="0" vertical="top" wrapText="1"/>
    </xf>
    <xf borderId="1" fillId="4" fontId="2" numFmtId="0" xfId="0" applyAlignment="1" applyBorder="1" applyFont="1">
      <alignment horizontal="left" readingOrder="0" shrinkToFit="0" vertical="top" wrapText="1"/>
    </xf>
    <xf borderId="1" fillId="4" fontId="8" numFmtId="0" xfId="0" applyAlignment="1" applyBorder="1" applyFont="1">
      <alignment horizontal="left" shrinkToFit="0" vertical="top" wrapText="1"/>
    </xf>
    <xf borderId="1" fillId="0" fontId="1" numFmtId="0" xfId="0" applyAlignment="1" applyBorder="1" applyFont="1">
      <alignment horizontal="left" readingOrder="0" shrinkToFit="0" vertical="top"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5" fontId="2" numFmtId="0" xfId="0" applyAlignment="1" applyBorder="1" applyFill="1" applyFont="1">
      <alignment horizontal="left" shrinkToFit="0" vertical="top" wrapText="1"/>
    </xf>
    <xf borderId="1" fillId="0" fontId="9" numFmtId="0" xfId="0" applyAlignment="1" applyBorder="1" applyFont="1">
      <alignment horizontal="left" readingOrder="0" shrinkToFit="0" vertical="top" wrapText="1"/>
    </xf>
    <xf borderId="1" fillId="0" fontId="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 fillId="0" fontId="10" numFmtId="0" xfId="0" applyAlignment="1" applyBorder="1" applyFont="1">
      <alignment horizontal="left" shrinkToFit="0" vertical="top" wrapText="1"/>
    </xf>
    <xf borderId="1" fillId="5" fontId="2" numFmtId="0" xfId="0" applyAlignment="1" applyBorder="1" applyFont="1">
      <alignment horizontal="left" readingOrder="0" shrinkToFit="0" vertical="top" wrapText="1"/>
    </xf>
    <xf borderId="1" fillId="6" fontId="1" numFmtId="0" xfId="0" applyAlignment="1" applyBorder="1" applyFill="1" applyFont="1">
      <alignment horizontal="left" readingOrder="0" shrinkToFit="0" vertical="top" wrapText="1"/>
    </xf>
    <xf borderId="1" fillId="6" fontId="2" numFmtId="0" xfId="0" applyAlignment="1" applyBorder="1" applyFont="1">
      <alignment horizontal="left" shrinkToFit="0" vertical="top" wrapText="1"/>
    </xf>
    <xf borderId="1" fillId="6" fontId="2" numFmtId="0" xfId="0" applyAlignment="1" applyBorder="1" applyFont="1">
      <alignment horizontal="left" readingOrder="0" shrinkToFit="0" vertical="top" wrapText="1"/>
    </xf>
    <xf borderId="1" fillId="6" fontId="11" numFmtId="0" xfId="0" applyAlignment="1" applyBorder="1" applyFont="1">
      <alignment horizontal="left" readingOrder="0" shrinkToFit="0" vertical="top" wrapText="1"/>
    </xf>
    <xf borderId="1" fillId="6" fontId="3" numFmtId="0" xfId="0" applyAlignment="1" applyBorder="1" applyFont="1">
      <alignment horizontal="left" shrinkToFit="0" vertical="top" wrapText="1"/>
    </xf>
    <xf borderId="1" fillId="6" fontId="12" numFmtId="0" xfId="0" applyAlignment="1" applyBorder="1" applyFont="1">
      <alignment horizontal="left" readingOrder="0" shrinkToFit="0" vertical="top" wrapText="1"/>
    </xf>
    <xf borderId="1" fillId="6" fontId="1" numFmtId="49" xfId="0" applyAlignment="1" applyBorder="1" applyFont="1" applyNumberFormat="1">
      <alignment horizontal="left" readingOrder="0" shrinkToFit="0" vertical="top" wrapText="1"/>
    </xf>
    <xf borderId="1" fillId="3" fontId="1" numFmtId="49" xfId="0" applyAlignment="1" applyBorder="1" applyFont="1" applyNumberFormat="1">
      <alignment horizontal="left" readingOrder="0" shrinkToFit="0" vertical="top" wrapText="1"/>
    </xf>
    <xf borderId="1" fillId="3" fontId="2" numFmtId="0" xfId="0" applyAlignment="1" applyBorder="1" applyFont="1">
      <alignment horizontal="left" shrinkToFit="0" vertical="top" wrapText="1"/>
    </xf>
    <xf borderId="1" fillId="3" fontId="2" numFmtId="0" xfId="0" applyAlignment="1" applyBorder="1" applyFont="1">
      <alignment horizontal="left" readingOrder="0" shrinkToFit="0" vertical="top" wrapText="1"/>
    </xf>
    <xf borderId="1" fillId="3" fontId="13" numFmtId="0" xfId="0" applyAlignment="1" applyBorder="1" applyFont="1">
      <alignment horizontal="left" readingOrder="0" shrinkToFit="0" vertical="top" wrapText="1"/>
    </xf>
    <xf borderId="1" fillId="3" fontId="3" numFmtId="0" xfId="0" applyAlignment="1" applyBorder="1" applyFont="1">
      <alignment horizontal="left" shrinkToFit="0" vertical="top" wrapText="1"/>
    </xf>
    <xf borderId="1" fillId="3" fontId="14" numFmtId="0" xfId="0" applyAlignment="1" applyBorder="1" applyFont="1">
      <alignment horizontal="left" shrinkToFit="0" vertical="top" wrapText="1"/>
    </xf>
    <xf borderId="1" fillId="3" fontId="3" numFmtId="0" xfId="0" applyAlignment="1" applyBorder="1" applyFont="1">
      <alignment horizontal="left" shrinkToFit="0" vertical="top" wrapText="1"/>
    </xf>
    <xf borderId="1" fillId="0" fontId="1" numFmtId="49" xfId="0" applyAlignment="1" applyBorder="1" applyFont="1" applyNumberFormat="1">
      <alignment horizontal="left" readingOrder="0" shrinkToFit="0" vertical="top" wrapText="1"/>
    </xf>
    <xf borderId="1" fillId="4" fontId="15" numFmtId="0" xfId="0" applyAlignment="1" applyBorder="1" applyFont="1">
      <alignment horizontal="left" shrinkToFit="0" vertical="top" wrapText="1"/>
    </xf>
    <xf borderId="1" fillId="4" fontId="15" numFmtId="0" xfId="0" applyAlignment="1" applyBorder="1" applyFont="1">
      <alignment horizontal="left" readingOrder="0" shrinkToFit="0" vertical="top" wrapText="1"/>
    </xf>
    <xf borderId="1" fillId="4" fontId="2" numFmtId="0" xfId="0" applyAlignment="1" applyBorder="1" applyFont="1">
      <alignment horizontal="left" readingOrder="0" shrinkToFit="0" vertical="top" wrapText="1"/>
    </xf>
    <xf borderId="1" fillId="4" fontId="16" numFmtId="0" xfId="0" applyAlignment="1" applyBorder="1" applyFont="1">
      <alignment horizontal="left" shrinkToFit="0" vertical="top" wrapText="1"/>
    </xf>
    <xf borderId="1" fillId="4" fontId="2" numFmtId="0" xfId="0" applyAlignment="1" applyBorder="1" applyFont="1">
      <alignment horizontal="left" shrinkToFit="0" vertical="top" wrapText="1"/>
    </xf>
    <xf borderId="1" fillId="4" fontId="17" numFmtId="0" xfId="0" applyAlignment="1" applyBorder="1" applyFont="1">
      <alignment horizontal="left" shrinkToFit="0" vertical="top" wrapText="1"/>
    </xf>
    <xf borderId="1" fillId="4" fontId="3" numFmtId="0" xfId="0" applyAlignment="1" applyBorder="1" applyFont="1">
      <alignment horizontal="left" shrinkToFit="0" vertical="top" wrapText="1"/>
    </xf>
    <xf borderId="1" fillId="3" fontId="2" numFmtId="1" xfId="0" applyAlignment="1" applyBorder="1" applyFont="1" applyNumberFormat="1">
      <alignment horizontal="left" shrinkToFit="0" vertical="top" wrapText="1"/>
    </xf>
    <xf borderId="1" fillId="3" fontId="3" numFmtId="0" xfId="0" applyAlignment="1" applyBorder="1" applyFont="1">
      <alignment horizontal="left" readingOrder="0" shrinkToFit="0" vertical="top" wrapText="1"/>
    </xf>
    <xf borderId="1" fillId="3" fontId="2" numFmtId="1" xfId="0" applyAlignment="1" applyBorder="1" applyFont="1" applyNumberFormat="1">
      <alignment horizontal="left" readingOrder="0" shrinkToFit="0" vertical="top" wrapText="1"/>
    </xf>
    <xf borderId="1" fillId="5" fontId="3"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6" fontId="18" numFmtId="0" xfId="0" applyAlignment="1" applyBorder="1" applyFont="1">
      <alignment horizontal="left" shrinkToFit="0" vertical="top" wrapText="1"/>
    </xf>
    <xf borderId="1" fillId="6" fontId="2" numFmtId="0" xfId="0" applyAlignment="1" applyBorder="1" applyFont="1">
      <alignment horizontal="left" shrinkToFit="0" vertical="top" wrapText="1"/>
    </xf>
    <xf borderId="1" fillId="6" fontId="19" numFmtId="0" xfId="0" applyAlignment="1" applyBorder="1" applyFont="1">
      <alignment horizontal="left" shrinkToFit="0" vertical="top" wrapText="1"/>
    </xf>
    <xf borderId="1" fillId="6" fontId="3" numFmtId="0" xfId="0" applyAlignment="1" applyBorder="1" applyFont="1">
      <alignment horizontal="left" readingOrder="0" shrinkToFit="0" vertical="top" wrapText="1"/>
    </xf>
    <xf borderId="1" fillId="6" fontId="3" numFmtId="0" xfId="0" applyAlignment="1" applyBorder="1" applyFont="1">
      <alignment horizontal="left" shrinkToFit="0" vertical="top" wrapText="1"/>
    </xf>
    <xf borderId="1" fillId="3" fontId="20"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21" numFmtId="0" xfId="0" applyAlignment="1" applyBorder="1" applyFont="1">
      <alignment horizontal="left" readingOrder="0" shrinkToFit="0" vertical="top" wrapText="1"/>
    </xf>
    <xf borderId="1" fillId="0" fontId="4"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5" fontId="22" numFmtId="0" xfId="0" applyAlignment="1" applyBorder="1" applyFont="1">
      <alignment horizontal="left" readingOrder="0" shrinkToFit="0" vertical="top" wrapText="1"/>
    </xf>
    <xf borderId="1" fillId="5" fontId="23" numFmtId="0" xfId="0" applyAlignment="1" applyBorder="1" applyFont="1">
      <alignment horizontal="left" shrinkToFit="0" vertical="top" wrapText="1"/>
    </xf>
    <xf borderId="1" fillId="5" fontId="2" numFmtId="0" xfId="0" applyAlignment="1" applyBorder="1" applyFont="1">
      <alignment horizontal="left" shrinkToFit="0" vertical="top" wrapText="1"/>
    </xf>
    <xf borderId="1" fillId="6" fontId="2" numFmtId="49" xfId="0" applyAlignment="1" applyBorder="1" applyFont="1" applyNumberFormat="1">
      <alignment horizontal="left" readingOrder="0" shrinkToFit="0" vertical="top" wrapText="1"/>
    </xf>
    <xf borderId="1" fillId="6" fontId="3" numFmtId="0" xfId="0" applyAlignment="1" applyBorder="1" applyFont="1">
      <alignment horizontal="left" shrinkToFit="0" vertical="top" wrapText="1"/>
    </xf>
    <xf borderId="1" fillId="6" fontId="3" numFmtId="49" xfId="0" applyAlignment="1" applyBorder="1" applyFont="1" applyNumberFormat="1">
      <alignment horizontal="left" shrinkToFit="0" vertical="top" wrapText="1"/>
    </xf>
    <xf borderId="1" fillId="6"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6" fontId="14" numFmtId="0" xfId="0" applyAlignment="1" applyBorder="1" applyFont="1">
      <alignment horizontal="left" readingOrder="0" shrinkToFit="0" vertical="top" wrapText="1"/>
    </xf>
    <xf borderId="1" fillId="5" fontId="3" numFmtId="0" xfId="0" applyAlignment="1" applyBorder="1" applyFont="1">
      <alignment horizontal="left" shrinkToFit="0" vertical="top" wrapText="1"/>
    </xf>
    <xf borderId="1" fillId="5" fontId="24" numFmtId="0" xfId="0" applyAlignment="1" applyBorder="1" applyFont="1">
      <alignment horizontal="left" shrinkToFit="0" vertical="top" wrapText="1"/>
    </xf>
    <xf borderId="1" fillId="6" fontId="3" numFmtId="164" xfId="0" applyAlignment="1" applyBorder="1" applyFont="1" applyNumberFormat="1">
      <alignment horizontal="left" shrinkToFit="0" vertical="top" wrapText="1"/>
    </xf>
    <xf borderId="1" fillId="3" fontId="3" numFmtId="164" xfId="0" applyAlignment="1" applyBorder="1" applyFont="1" applyNumberFormat="1">
      <alignment horizontal="left" shrinkToFit="0" vertical="top" wrapText="1"/>
    </xf>
    <xf borderId="1" fillId="5" fontId="3" numFmtId="0" xfId="0" applyAlignment="1" applyBorder="1" applyFont="1">
      <alignment horizontal="left" shrinkToFit="0" vertical="top" wrapText="1"/>
    </xf>
    <xf borderId="1" fillId="5" fontId="3" numFmtId="0" xfId="0" applyAlignment="1" applyBorder="1" applyFont="1">
      <alignment horizontal="left" shrinkToFit="0" vertical="top" wrapText="1"/>
    </xf>
    <xf borderId="1" fillId="7" fontId="3" numFmtId="0" xfId="0" applyAlignment="1" applyBorder="1" applyFill="1" applyFont="1">
      <alignment horizontal="left" shrinkToFit="0" vertical="top" wrapText="1"/>
    </xf>
    <xf borderId="1" fillId="7" fontId="3" numFmtId="0" xfId="0" applyAlignment="1" applyBorder="1" applyFont="1">
      <alignment horizontal="left" shrinkToFit="0" vertical="top" wrapText="1"/>
    </xf>
    <xf borderId="0" fillId="8" fontId="25" numFmtId="0" xfId="0" applyAlignment="1" applyFill="1" applyFont="1">
      <alignment readingOrder="0"/>
    </xf>
    <xf borderId="0" fillId="8" fontId="25" numFmtId="0" xfId="0" applyFont="1"/>
    <xf borderId="0" fillId="0" fontId="26" numFmtId="0" xfId="0" applyFont="1"/>
    <xf borderId="0" fillId="0" fontId="26" numFmtId="0" xfId="0" applyAlignment="1" applyFont="1">
      <alignment readingOrder="0"/>
    </xf>
    <xf borderId="0" fillId="0" fontId="25" numFmtId="0" xfId="0" applyAlignment="1" applyFont="1">
      <alignment readingOrder="0"/>
    </xf>
    <xf borderId="0" fillId="0" fontId="26" numFmtId="1" xfId="0" applyFont="1" applyNumberFormat="1"/>
    <xf borderId="0" fillId="0" fontId="25" numFmtId="1" xfId="0" applyFont="1" applyNumberFormat="1"/>
    <xf borderId="0" fillId="9" fontId="26" numFmtId="0" xfId="0" applyFill="1" applyFont="1"/>
    <xf borderId="0" fillId="9" fontId="26" numFmtId="1" xfId="0" applyFont="1" applyNumberFormat="1"/>
    <xf borderId="0" fillId="9" fontId="25" numFmtId="0" xfId="0" applyFont="1"/>
    <xf borderId="0" fillId="9" fontId="25" numFmtId="1" xfId="0" applyFont="1" applyNumberFormat="1"/>
    <xf borderId="0" fillId="9" fontId="25" numFmtId="0" xfId="0" applyAlignment="1" applyFont="1">
      <alignment readingOrder="0"/>
    </xf>
    <xf borderId="0" fillId="9" fontId="26" numFmtId="0" xfId="0" applyAlignment="1" applyFont="1">
      <alignment readingOrder="0"/>
    </xf>
    <xf borderId="0" fillId="0" fontId="27" numFmtId="0" xfId="0" applyAlignment="1" applyFont="1">
      <alignment readingOrder="0"/>
    </xf>
    <xf borderId="0" fillId="0" fontId="27" numFmtId="0" xfId="0" applyFont="1"/>
    <xf borderId="0" fillId="0" fontId="28" numFmtId="0" xfId="0" applyAlignment="1" applyFont="1">
      <alignment readingOrder="0"/>
    </xf>
    <xf borderId="0" fillId="0" fontId="28" numFmtId="0" xfId="0" applyFont="1"/>
    <xf borderId="0" fillId="0" fontId="26" numFmtId="9" xfId="0" applyFont="1" applyNumberFormat="1"/>
    <xf borderId="0" fillId="0" fontId="25" numFmtId="9" xfId="0" applyAlignment="1" applyFont="1" applyNumberFormat="1">
      <alignment readingOrder="0"/>
    </xf>
    <xf borderId="0" fillId="0" fontId="25" numFmtId="9" xfId="0" applyFont="1" applyNumberFormat="1"/>
    <xf borderId="0" fillId="0" fontId="29" numFmtId="0" xfId="0" applyAlignment="1" applyFont="1">
      <alignment horizontal="center" shrinkToFit="0" vertical="top" wrapText="1"/>
    </xf>
    <xf borderId="0" fillId="0" fontId="30" numFmtId="0" xfId="0" applyAlignment="1" applyFont="1">
      <alignment shrinkToFit="0" vertical="top" wrapText="1"/>
    </xf>
    <xf borderId="0" fillId="0" fontId="30" numFmtId="0" xfId="0" applyAlignment="1" applyFont="1">
      <alignment shrinkToFit="0" vertical="top" wrapText="0"/>
    </xf>
    <xf borderId="0" fillId="0" fontId="30" numFmtId="0" xfId="0" applyAlignment="1" applyFont="1">
      <alignment horizontal="left" shrinkToFit="0" vertical="top" wrapText="1"/>
    </xf>
    <xf borderId="0" fillId="0" fontId="25" numFmtId="0" xfId="0" applyAlignment="1" applyFont="1">
      <alignment vertical="top"/>
    </xf>
    <xf borderId="0" fillId="0" fontId="29" numFmtId="0" xfId="0" applyAlignment="1" applyFont="1">
      <alignment horizontal="center" readingOrder="0" shrinkToFit="0" vertical="top" wrapText="0"/>
    </xf>
    <xf borderId="2" fillId="5" fontId="31" numFmtId="0" xfId="0" applyAlignment="1" applyBorder="1" applyFont="1">
      <alignment readingOrder="0" shrinkToFit="0" vertical="top" wrapText="1"/>
    </xf>
    <xf borderId="2" fillId="5" fontId="31" numFmtId="0" xfId="0" applyAlignment="1" applyBorder="1" applyFont="1">
      <alignment shrinkToFit="0" vertical="top" wrapText="1"/>
    </xf>
    <xf borderId="2" fillId="5" fontId="31" numFmtId="0" xfId="0" applyAlignment="1" applyBorder="1" applyFont="1">
      <alignment shrinkToFit="0" vertical="top" wrapText="1"/>
    </xf>
    <xf borderId="2" fillId="5" fontId="31" numFmtId="0" xfId="0" applyAlignment="1" applyBorder="1" applyFont="1">
      <alignment horizontal="center" shrinkToFit="0" vertical="top" wrapText="1"/>
    </xf>
    <xf borderId="3" fillId="5" fontId="32" numFmtId="0" xfId="0" applyAlignment="1" applyBorder="1" applyFont="1">
      <alignment shrinkToFit="0" vertical="top" wrapText="1"/>
    </xf>
    <xf borderId="3" fillId="5" fontId="32" numFmtId="0" xfId="0" applyAlignment="1" applyBorder="1" applyFont="1">
      <alignment shrinkToFit="0" vertical="top" wrapText="1"/>
    </xf>
    <xf borderId="2" fillId="5" fontId="33" numFmtId="0" xfId="0" applyAlignment="1" applyBorder="1" applyFont="1">
      <alignment vertical="top"/>
    </xf>
    <xf borderId="2" fillId="0" fontId="33" numFmtId="0" xfId="0" applyAlignment="1" applyBorder="1" applyFont="1">
      <alignment vertical="top"/>
    </xf>
    <xf borderId="0" fillId="0" fontId="33" numFmtId="0" xfId="0" applyAlignment="1" applyFont="1">
      <alignment vertical="top"/>
    </xf>
    <xf borderId="0" fillId="0" fontId="33" numFmtId="0" xfId="0" applyAlignment="1" applyFont="1">
      <alignment vertical="top"/>
    </xf>
    <xf borderId="4" fillId="5" fontId="31" numFmtId="0" xfId="0" applyAlignment="1" applyBorder="1" applyFont="1">
      <alignment readingOrder="0" shrinkToFit="0" vertical="top" wrapText="1"/>
    </xf>
    <xf borderId="4" fillId="5" fontId="31" numFmtId="0" xfId="0" applyAlignment="1" applyBorder="1" applyFont="1">
      <alignment shrinkToFit="0" vertical="top" wrapText="1"/>
    </xf>
    <xf borderId="4" fillId="5" fontId="31" numFmtId="0" xfId="0" applyAlignment="1" applyBorder="1" applyFont="1">
      <alignment shrinkToFit="0" vertical="top" wrapText="1"/>
    </xf>
    <xf borderId="4" fillId="0" fontId="31" numFmtId="0" xfId="0" applyAlignment="1" applyBorder="1" applyFont="1">
      <alignment horizontal="center" shrinkToFit="0" vertical="top" wrapText="1"/>
    </xf>
    <xf borderId="5" fillId="5" fontId="32" numFmtId="0" xfId="0" applyAlignment="1" applyBorder="1" applyFont="1">
      <alignment shrinkToFit="0" vertical="top" wrapText="1"/>
    </xf>
    <xf borderId="5" fillId="5" fontId="32" numFmtId="0" xfId="0" applyAlignment="1" applyBorder="1" applyFont="1">
      <alignment shrinkToFit="0" vertical="top" wrapText="1"/>
    </xf>
    <xf borderId="4" fillId="5" fontId="33" numFmtId="0" xfId="0" applyAlignment="1" applyBorder="1" applyFont="1">
      <alignment vertical="top"/>
    </xf>
    <xf borderId="4" fillId="5" fontId="31" numFmtId="0" xfId="0" applyAlignment="1" applyBorder="1" applyFont="1">
      <alignment horizontal="center" shrinkToFit="0" vertical="top" wrapText="1"/>
    </xf>
    <xf borderId="4" fillId="0" fontId="33" numFmtId="0" xfId="0" applyAlignment="1" applyBorder="1" applyFont="1">
      <alignment vertical="top"/>
    </xf>
    <xf borderId="4" fillId="0" fontId="31" numFmtId="0" xfId="0" applyAlignment="1" applyBorder="1" applyFont="1">
      <alignment shrinkToFit="0" vertical="top" wrapText="1"/>
    </xf>
    <xf borderId="4" fillId="0" fontId="33" numFmtId="0" xfId="0" applyAlignment="1" applyBorder="1" applyFont="1">
      <alignment readingOrder="0" vertical="top"/>
    </xf>
    <xf borderId="4" fillId="0" fontId="31" numFmtId="0" xfId="0" applyAlignment="1" applyBorder="1" applyFont="1">
      <alignment readingOrder="0" shrinkToFit="0" vertical="top" wrapText="1"/>
    </xf>
    <xf borderId="4" fillId="0" fontId="33" numFmtId="0" xfId="0" applyAlignment="1" applyBorder="1" applyFont="1">
      <alignment vertical="top"/>
    </xf>
    <xf borderId="5" fillId="0" fontId="32" numFmtId="0" xfId="0" applyAlignment="1" applyBorder="1" applyFont="1">
      <alignment shrinkToFit="0" vertical="top" wrapText="1"/>
    </xf>
    <xf borderId="6" fillId="0" fontId="34" numFmtId="0" xfId="0" applyAlignment="1" applyBorder="1" applyFont="1">
      <alignment vertical="top"/>
    </xf>
    <xf borderId="6" fillId="0" fontId="34" numFmtId="0" xfId="0" applyAlignment="1" applyBorder="1" applyFont="1">
      <alignment shrinkToFit="0" vertical="top" wrapText="0"/>
    </xf>
    <xf borderId="4" fillId="0" fontId="35" numFmtId="0" xfId="0" applyAlignment="1" applyBorder="1" applyFont="1">
      <alignment shrinkToFit="0" vertical="top" wrapText="1"/>
    </xf>
    <xf borderId="5" fillId="0" fontId="36" numFmtId="0" xfId="0" applyAlignment="1" applyBorder="1" applyFont="1">
      <alignment shrinkToFit="0" vertical="bottom" wrapText="1"/>
    </xf>
    <xf borderId="4" fillId="10" fontId="31" numFmtId="0" xfId="0" applyAlignment="1" applyBorder="1" applyFill="1" applyFont="1">
      <alignment readingOrder="0" shrinkToFit="0" vertical="top" wrapText="1"/>
    </xf>
    <xf borderId="4" fillId="10" fontId="31" numFmtId="0" xfId="0" applyAlignment="1" applyBorder="1" applyFont="1">
      <alignment shrinkToFit="0" vertical="top" wrapText="1"/>
    </xf>
    <xf borderId="4" fillId="10" fontId="31" numFmtId="0" xfId="0" applyAlignment="1" applyBorder="1" applyFont="1">
      <alignment shrinkToFit="0" vertical="top" wrapText="1"/>
    </xf>
    <xf borderId="4" fillId="10" fontId="31" numFmtId="0" xfId="0" applyAlignment="1" applyBorder="1" applyFont="1">
      <alignment horizontal="center" shrinkToFit="0" vertical="top" wrapText="1"/>
    </xf>
    <xf borderId="5" fillId="10" fontId="32" numFmtId="0" xfId="0" applyAlignment="1" applyBorder="1" applyFont="1">
      <alignment shrinkToFit="0" vertical="top" wrapText="1"/>
    </xf>
    <xf borderId="5" fillId="10" fontId="32" numFmtId="0" xfId="0" applyAlignment="1" applyBorder="1" applyFont="1">
      <alignment shrinkToFit="0" vertical="top" wrapText="1"/>
    </xf>
    <xf borderId="4" fillId="10" fontId="33" numFmtId="0" xfId="0" applyAlignment="1" applyBorder="1" applyFont="1">
      <alignment vertical="top"/>
    </xf>
    <xf borderId="4" fillId="10" fontId="31" numFmtId="0" xfId="0" applyAlignment="1" applyBorder="1" applyFont="1">
      <alignment vertical="top"/>
    </xf>
    <xf borderId="4" fillId="0" fontId="31" numFmtId="0" xfId="0" applyAlignment="1" applyBorder="1" applyFont="1">
      <alignment shrinkToFit="0" vertical="top" wrapText="1"/>
    </xf>
    <xf borderId="5" fillId="0" fontId="32" numFmtId="0" xfId="0" applyAlignment="1" applyBorder="1" applyFont="1">
      <alignment shrinkToFit="0" vertical="top" wrapText="1"/>
    </xf>
    <xf borderId="0" fillId="0" fontId="25" numFmtId="0" xfId="0" applyAlignment="1" applyFont="1">
      <alignment horizontal="center" vertical="top"/>
    </xf>
    <xf borderId="0" fillId="0" fontId="25" numFmtId="0" xfId="0" applyAlignment="1" applyFont="1">
      <alignment shrinkToFit="0" vertical="top" wrapText="0"/>
    </xf>
    <xf borderId="3" fillId="0" fontId="29" numFmtId="0" xfId="0" applyAlignment="1" applyBorder="1" applyFont="1">
      <alignment readingOrder="0" shrinkToFit="0" vertical="bottom" wrapText="0"/>
    </xf>
    <xf borderId="3" fillId="0" fontId="29" numFmtId="0" xfId="0" applyAlignment="1" applyBorder="1" applyFont="1">
      <alignment shrinkToFit="0" vertical="bottom" wrapText="1"/>
    </xf>
    <xf borderId="0" fillId="0" fontId="29" numFmtId="0" xfId="0" applyAlignment="1" applyFont="1">
      <alignment shrinkToFit="0" vertical="bottom" wrapText="1"/>
    </xf>
    <xf borderId="0" fillId="0" fontId="32" numFmtId="0" xfId="0" applyAlignment="1" applyFont="1">
      <alignment shrinkToFit="0" vertical="bottom" wrapText="1"/>
    </xf>
    <xf borderId="0" fillId="0" fontId="29" numFmtId="0" xfId="0" applyAlignment="1" applyFont="1">
      <alignment shrinkToFit="0" wrapText="1"/>
    </xf>
    <xf borderId="3" fillId="0" fontId="37" numFmtId="0" xfId="0" applyAlignment="1" applyBorder="1" applyFont="1">
      <alignment shrinkToFit="0" vertical="bottom" wrapText="0"/>
    </xf>
    <xf borderId="3" fillId="0" fontId="38" numFmtId="0" xfId="0" applyAlignment="1" applyBorder="1" applyFont="1">
      <alignment shrinkToFit="0" vertical="bottom" wrapText="1"/>
    </xf>
    <xf borderId="3" fillId="0" fontId="37" numFmtId="0" xfId="0" applyAlignment="1" applyBorder="1" applyFont="1">
      <alignment shrinkToFit="0" vertical="bottom" wrapText="1"/>
    </xf>
    <xf borderId="3" fillId="0" fontId="2" numFmtId="0" xfId="0" applyAlignment="1" applyBorder="1" applyFont="1">
      <alignment shrinkToFit="0" vertical="bottom" wrapText="1"/>
    </xf>
    <xf borderId="0" fillId="0" fontId="2" numFmtId="0" xfId="0" applyAlignment="1" applyFont="1">
      <alignment shrinkToFit="0" wrapText="1"/>
    </xf>
    <xf borderId="3" fillId="0" fontId="29" numFmtId="0" xfId="0" applyAlignment="1" applyBorder="1" applyFont="1">
      <alignment horizontal="center" shrinkToFit="0" wrapText="1"/>
    </xf>
    <xf borderId="3" fillId="3" fontId="0" numFmtId="0" xfId="0" applyAlignment="1" applyBorder="1" applyFont="1">
      <alignment shrinkToFit="0" vertical="bottom" wrapText="1"/>
    </xf>
    <xf borderId="3" fillId="3" fontId="32" numFmtId="0" xfId="0" applyAlignment="1" applyBorder="1" applyFont="1">
      <alignment shrinkToFit="0" vertical="bottom" wrapText="1"/>
    </xf>
    <xf borderId="3" fillId="3" fontId="0" numFmtId="0" xfId="0" applyAlignment="1" applyBorder="1" applyFont="1">
      <alignment shrinkToFit="0" vertical="top" wrapText="1"/>
    </xf>
    <xf borderId="3" fillId="0" fontId="32" numFmtId="0" xfId="0" applyAlignment="1" applyBorder="1" applyFont="1">
      <alignment shrinkToFit="0" vertical="bottom" wrapText="1"/>
    </xf>
    <xf borderId="3" fillId="0" fontId="0" numFmtId="0" xfId="0" applyAlignment="1" applyBorder="1" applyFont="1">
      <alignment shrinkToFit="0" vertical="bottom" wrapText="1"/>
    </xf>
    <xf borderId="3" fillId="0" fontId="32" numFmtId="0" xfId="0" applyAlignment="1" applyBorder="1" applyFont="1">
      <alignment readingOrder="0" shrinkToFit="0" vertical="bottom" wrapText="1"/>
    </xf>
    <xf borderId="3" fillId="0" fontId="0" numFmtId="0" xfId="0" applyAlignment="1" applyBorder="1" applyFont="1">
      <alignment readingOrder="0" shrinkToFit="0" vertical="bottom" wrapText="1"/>
    </xf>
    <xf borderId="3" fillId="0" fontId="39" numFmtId="0" xfId="0" applyAlignment="1" applyBorder="1" applyFont="1">
      <alignment horizontal="center" shrinkToFit="0" wrapText="1"/>
    </xf>
    <xf borderId="3" fillId="3" fontId="40" numFmtId="0" xfId="0" applyAlignment="1" applyBorder="1" applyFont="1">
      <alignment shrinkToFit="0" vertical="bottom" wrapText="1"/>
    </xf>
    <xf borderId="3" fillId="0" fontId="29" numFmtId="0" xfId="0" applyAlignment="1" applyBorder="1" applyFont="1">
      <alignment horizontal="center" readingOrder="0" shrinkToFit="0" wrapText="1"/>
    </xf>
    <xf borderId="3" fillId="0" fontId="0" numFmtId="0" xfId="0" applyAlignment="1" applyBorder="1" applyFont="1">
      <alignment readingOrder="0" shrinkToFit="0" wrapText="1"/>
    </xf>
    <xf borderId="3" fillId="0" fontId="0" numFmtId="0" xfId="0" applyAlignment="1" applyBorder="1" applyFont="1">
      <alignment shrinkToFit="0" wrapText="1"/>
    </xf>
    <xf borderId="3" fillId="0" fontId="0" numFmtId="0" xfId="0" applyAlignment="1" applyBorder="1" applyFont="1">
      <alignment readingOrder="0" shrinkToFit="0" wrapText="1"/>
    </xf>
    <xf borderId="0" fillId="0" fontId="2" numFmtId="0" xfId="0" applyAlignment="1" applyFont="1">
      <alignment readingOrder="0" shrinkToFit="0" wrapText="1"/>
    </xf>
    <xf borderId="0" fillId="0" fontId="38" numFmtId="0" xfId="0" applyAlignment="1" applyFont="1">
      <alignment shrinkToFit="0" wrapText="1"/>
    </xf>
    <xf borderId="0" fillId="0" fontId="41" numFmtId="0" xfId="0" applyAlignment="1" applyFont="1">
      <alignment shrinkToFit="0" wrapText="1"/>
    </xf>
    <xf borderId="0" fillId="0" fontId="37" numFmtId="0" xfId="0" applyAlignment="1" applyFont="1">
      <alignment shrinkToFit="0" wrapText="1"/>
    </xf>
    <xf borderId="0" fillId="0" fontId="29" numFmtId="0" xfId="0" applyFont="1"/>
    <xf borderId="0" fillId="0" fontId="37" numFmtId="0" xfId="0" applyFont="1"/>
    <xf borderId="0" fillId="0" fontId="39" numFmtId="0" xfId="0" applyAlignment="1" applyFont="1">
      <alignment horizontal="center"/>
    </xf>
    <xf borderId="0" fillId="0" fontId="0" numFmtId="0" xfId="0" applyAlignment="1" applyFont="1">
      <alignment horizontal="left"/>
    </xf>
    <xf borderId="0" fillId="0" fontId="0" numFmtId="0" xfId="0" applyAlignment="1" applyFont="1">
      <alignment shrinkToFit="0" wrapText="1"/>
    </xf>
    <xf borderId="0" fillId="0" fontId="0" numFmtId="0" xfId="0" applyAlignment="1" applyFont="1">
      <alignment horizontal="left" shrinkToFit="0" wrapText="1"/>
    </xf>
    <xf borderId="0" fillId="0" fontId="42" numFmtId="0" xfId="0" applyAlignment="1" applyFont="1">
      <alignment horizontal="center" readingOrder="0"/>
    </xf>
    <xf borderId="0" fillId="0" fontId="25" numFmtId="0" xfId="0" applyAlignment="1" applyFont="1">
      <alignment horizontal="center" readingOrder="0" shrinkToFit="0" wrapText="1"/>
    </xf>
    <xf borderId="0" fillId="0" fontId="25" numFmtId="0" xfId="0" applyAlignment="1" applyFont="1">
      <alignment readingOrder="0" shrinkToFit="0" wrapText="1"/>
    </xf>
    <xf borderId="0" fillId="0" fontId="39" numFmtId="0" xfId="0" applyAlignment="1" applyFont="1">
      <alignment horizontal="center" readingOrder="0"/>
    </xf>
    <xf borderId="0" fillId="0" fontId="0" numFmtId="0" xfId="0" applyAlignment="1" applyFont="1">
      <alignment readingOrder="0" shrinkToFit="0" wrapText="1"/>
    </xf>
    <xf borderId="0" fillId="0" fontId="43" numFmtId="0" xfId="0" applyAlignment="1" applyFont="1">
      <alignment readingOrder="0" shrinkToFit="0" wrapText="1"/>
    </xf>
    <xf borderId="3" fillId="0" fontId="37" numFmtId="0" xfId="0" applyAlignment="1" applyBorder="1" applyFont="1">
      <alignment readingOrder="0" shrinkToFit="0" vertical="bottom" wrapText="0"/>
    </xf>
    <xf borderId="3" fillId="0" fontId="37" numFmtId="0" xfId="0" applyAlignment="1" applyBorder="1" applyFont="1">
      <alignment readingOrder="0" shrinkToFit="0" vertical="bottom" wrapText="1"/>
    </xf>
    <xf borderId="3" fillId="0" fontId="2" numFmtId="0" xfId="0" applyAlignment="1" applyBorder="1" applyFont="1">
      <alignment readingOrder="0" shrinkToFit="0" vertical="bottom" wrapText="1"/>
    </xf>
    <xf borderId="0" fillId="0" fontId="44" numFmtId="0" xfId="0" applyAlignment="1" applyFont="1">
      <alignment horizontal="center" readingOrder="0"/>
    </xf>
    <xf borderId="0" fillId="5" fontId="45" numFmtId="0" xfId="0" applyAlignment="1" applyFont="1">
      <alignment readingOrder="0"/>
    </xf>
    <xf borderId="0" fillId="5" fontId="46" numFmtId="0" xfId="0" applyAlignment="1" applyFont="1">
      <alignment horizontal="left" readingOrder="0"/>
    </xf>
    <xf borderId="0" fillId="0" fontId="44" numFmtId="0" xfId="0" applyAlignment="1" applyFont="1">
      <alignment readingOrder="0"/>
    </xf>
    <xf borderId="0" fillId="0" fontId="25" numFmtId="0" xfId="0" applyAlignment="1" applyFont="1">
      <alignment readingOrder="0" shrinkToFit="0" wrapText="0"/>
    </xf>
    <xf borderId="0" fillId="0" fontId="25" numFmtId="0" xfId="0" applyAlignment="1" applyFont="1">
      <alignment readingOrder="0" shrinkToFit="0" wrapText="0"/>
    </xf>
    <xf borderId="0" fillId="5" fontId="45" numFmtId="0" xfId="0" applyAlignment="1" applyFont="1">
      <alignment readingOrder="0" shrinkToFit="0" wrapText="1"/>
    </xf>
    <xf borderId="3" fillId="0" fontId="32" numFmtId="0" xfId="0" applyBorder="1" applyFont="1"/>
    <xf borderId="7" fillId="0" fontId="47" numFmtId="0" xfId="0" applyAlignment="1" applyBorder="1" applyFont="1">
      <alignment readingOrder="0" shrinkToFit="0" vertical="bottom" wrapText="0"/>
    </xf>
    <xf borderId="7" fillId="0" fontId="32" numFmtId="0" xfId="0" applyAlignment="1" applyBorder="1" applyFont="1">
      <alignment vertical="bottom"/>
    </xf>
    <xf borderId="7" fillId="0" fontId="47" numFmtId="0" xfId="0" applyAlignment="1" applyBorder="1" applyFont="1">
      <alignment vertical="bottom"/>
    </xf>
    <xf borderId="2" fillId="0" fontId="32" numFmtId="0" xfId="0" applyAlignment="1" applyBorder="1" applyFont="1">
      <alignment vertical="bottom"/>
    </xf>
    <xf borderId="2" fillId="0" fontId="47" numFmtId="0" xfId="0" applyAlignment="1" applyBorder="1" applyFont="1">
      <alignment vertical="bottom"/>
    </xf>
    <xf borderId="5" fillId="0" fontId="39" numFmtId="0" xfId="0" applyAlignment="1" applyBorder="1" applyFont="1">
      <alignment horizontal="center" shrinkToFit="0" wrapText="1"/>
    </xf>
    <xf borderId="4" fillId="0" fontId="47" numFmtId="0" xfId="0" applyAlignment="1" applyBorder="1" applyFont="1">
      <alignment shrinkToFit="0" vertical="bottom" wrapText="1"/>
    </xf>
    <xf borderId="5" fillId="11" fontId="39" numFmtId="0" xfId="0" applyAlignment="1" applyBorder="1" applyFill="1" applyFont="1">
      <alignment horizontal="center" shrinkToFit="0" wrapText="1"/>
    </xf>
    <xf borderId="4" fillId="11" fontId="3" numFmtId="0" xfId="0" applyAlignment="1" applyBorder="1" applyFont="1">
      <alignment shrinkToFit="0" vertical="bottom" wrapText="1"/>
    </xf>
    <xf borderId="4" fillId="11" fontId="32" numFmtId="0" xfId="0" applyAlignment="1" applyBorder="1" applyFont="1">
      <alignment vertical="bottom"/>
    </xf>
    <xf borderId="5" fillId="12" fontId="39" numFmtId="0" xfId="0" applyAlignment="1" applyBorder="1" applyFill="1" applyFont="1">
      <alignment horizontal="center" shrinkToFit="0" wrapText="1"/>
    </xf>
    <xf borderId="4" fillId="12" fontId="3" numFmtId="0" xfId="0" applyAlignment="1" applyBorder="1" applyFont="1">
      <alignment shrinkToFit="0" vertical="bottom" wrapText="1"/>
    </xf>
    <xf borderId="5" fillId="13" fontId="39" numFmtId="0" xfId="0" applyAlignment="1" applyBorder="1" applyFill="1" applyFont="1">
      <alignment horizontal="center" shrinkToFit="0" wrapText="1"/>
    </xf>
    <xf borderId="4" fillId="13" fontId="3" numFmtId="0" xfId="0" applyAlignment="1" applyBorder="1" applyFont="1">
      <alignment shrinkToFit="0" vertical="bottom" wrapText="1"/>
    </xf>
    <xf borderId="5" fillId="14" fontId="39" numFmtId="0" xfId="0" applyAlignment="1" applyBorder="1" applyFill="1" applyFont="1">
      <alignment horizontal="center" shrinkToFit="0" wrapText="1"/>
    </xf>
    <xf borderId="4" fillId="14" fontId="2" numFmtId="0" xfId="0" applyAlignment="1" applyBorder="1" applyFont="1">
      <alignment shrinkToFit="0" vertical="bottom" wrapText="1"/>
    </xf>
    <xf borderId="4" fillId="14" fontId="3" numFmtId="0" xfId="0" applyAlignment="1" applyBorder="1" applyFont="1">
      <alignment shrinkToFit="0" vertical="bottom" wrapText="1"/>
    </xf>
    <xf borderId="5" fillId="15" fontId="39" numFmtId="0" xfId="0" applyAlignment="1" applyBorder="1" applyFill="1" applyFont="1">
      <alignment horizontal="center" shrinkToFit="0" wrapText="1"/>
    </xf>
    <xf borderId="4" fillId="15" fontId="3" numFmtId="0" xfId="0" applyAlignment="1" applyBorder="1" applyFont="1">
      <alignment shrinkToFit="0" vertical="bottom" wrapText="1"/>
    </xf>
    <xf borderId="5" fillId="16" fontId="39" numFmtId="0" xfId="0" applyAlignment="1" applyBorder="1" applyFill="1" applyFont="1">
      <alignment horizontal="center" shrinkToFit="0" wrapText="1"/>
    </xf>
    <xf borderId="4" fillId="16" fontId="3" numFmtId="0" xfId="0" applyAlignment="1" applyBorder="1" applyFont="1">
      <alignment shrinkToFit="0" vertical="bottom" wrapText="1"/>
    </xf>
    <xf borderId="5" fillId="17" fontId="39" numFmtId="0" xfId="0" applyAlignment="1" applyBorder="1" applyFill="1" applyFont="1">
      <alignment horizontal="center" shrinkToFit="0" wrapText="1"/>
    </xf>
    <xf borderId="4" fillId="17" fontId="3" numFmtId="0" xfId="0" applyAlignment="1" applyBorder="1" applyFont="1">
      <alignment shrinkToFit="0" vertical="bottom" wrapText="1"/>
    </xf>
    <xf borderId="4" fillId="17" fontId="3" numFmtId="0" xfId="0" applyAlignment="1" applyBorder="1" applyFont="1">
      <alignment readingOrder="0" shrinkToFit="0" vertical="bottom" wrapText="1"/>
    </xf>
    <xf borderId="5" fillId="18" fontId="39" numFmtId="0" xfId="0" applyAlignment="1" applyBorder="1" applyFill="1" applyFont="1">
      <alignment horizontal="center" shrinkToFit="0" wrapText="1"/>
    </xf>
    <xf borderId="4" fillId="18" fontId="3" numFmtId="0" xfId="0" applyAlignment="1" applyBorder="1" applyFont="1">
      <alignment shrinkToFit="0" vertical="bottom" wrapText="1"/>
    </xf>
    <xf borderId="3" fillId="12" fontId="39" numFmtId="0" xfId="0" applyAlignment="1" applyBorder="1" applyFont="1">
      <alignment horizontal="center" readingOrder="0" vertical="center"/>
    </xf>
    <xf borderId="3" fillId="12" fontId="48" numFmtId="0" xfId="0" applyAlignment="1" applyBorder="1" applyFont="1">
      <alignment readingOrder="0"/>
    </xf>
    <xf borderId="3" fillId="12" fontId="2" numFmtId="0" xfId="0" applyAlignment="1" applyBorder="1" applyFont="1">
      <alignment readingOrder="0" shrinkToFit="0" wrapText="1"/>
    </xf>
    <xf borderId="3" fillId="12" fontId="48" numFmtId="0" xfId="0" applyAlignment="1" applyBorder="1" applyFont="1">
      <alignment readingOrder="0" shrinkToFit="0" wrapText="1"/>
    </xf>
    <xf borderId="0" fillId="0" fontId="0" numFmtId="0" xfId="0" applyAlignment="1" applyFont="1">
      <alignment readingOrder="0"/>
    </xf>
    <xf borderId="3" fillId="12" fontId="49" numFmtId="0" xfId="0" applyAlignment="1" applyBorder="1" applyFont="1">
      <alignment shrinkToFit="0" wrapText="1"/>
    </xf>
    <xf borderId="3" fillId="13" fontId="39" numFmtId="0" xfId="0" applyAlignment="1" applyBorder="1" applyFont="1">
      <alignment horizontal="center" readingOrder="0" vertical="center"/>
    </xf>
    <xf borderId="3" fillId="13" fontId="2" numFmtId="0" xfId="0" applyAlignment="1" applyBorder="1" applyFont="1">
      <alignment readingOrder="0" shrinkToFit="0" wrapText="1"/>
    </xf>
    <xf borderId="3" fillId="13" fontId="50" numFmtId="0" xfId="0" applyAlignment="1" applyBorder="1" applyFont="1">
      <alignment readingOrder="0"/>
    </xf>
    <xf borderId="3" fillId="13" fontId="2" numFmtId="0" xfId="0" applyAlignment="1" applyBorder="1" applyFont="1">
      <alignment shrinkToFit="0" wrapText="1"/>
    </xf>
    <xf borderId="0" fillId="13" fontId="25" numFmtId="0" xfId="0" applyFont="1"/>
    <xf borderId="3" fillId="13" fontId="39" numFmtId="0" xfId="0" applyAlignment="1" applyBorder="1" applyFont="1">
      <alignment horizontal="center" readingOrder="0"/>
    </xf>
    <xf borderId="5" fillId="13" fontId="39" numFmtId="0" xfId="0" applyAlignment="1" applyBorder="1" applyFont="1">
      <alignment horizontal="center" readingOrder="0"/>
    </xf>
    <xf borderId="0" fillId="0" fontId="51" numFmtId="0" xfId="0" applyAlignment="1" applyFont="1">
      <alignment horizontal="center" readingOrder="0" shrinkToFit="0" vertical="center" wrapText="1"/>
    </xf>
    <xf borderId="0" fillId="0" fontId="52" numFmtId="0" xfId="0" applyAlignment="1" applyFont="1">
      <alignment readingOrder="0" shrinkToFit="0" wrapText="1"/>
    </xf>
    <xf borderId="0" fillId="0" fontId="52" numFmtId="0" xfId="0" applyAlignment="1" applyFont="1">
      <alignment shrinkToFit="0" wrapText="1"/>
    </xf>
    <xf borderId="0" fillId="0" fontId="51" numFmtId="0" xfId="0" applyAlignment="1" applyFont="1">
      <alignment horizontal="center" shrinkToFit="0" vertical="center" wrapText="1"/>
    </xf>
    <xf borderId="0" fillId="0" fontId="51" numFmtId="0" xfId="0" applyAlignment="1" applyFont="1">
      <alignment horizontal="center" vertical="center"/>
    </xf>
    <xf borderId="3" fillId="0" fontId="49" numFmtId="0" xfId="0" applyAlignment="1" applyBorder="1" applyFont="1">
      <alignment shrinkToFit="0" wrapText="1"/>
    </xf>
    <xf borderId="3" fillId="0" fontId="49" numFmtId="0" xfId="0" applyAlignment="1" applyBorder="1" applyFont="1">
      <alignment readingOrder="0" shrinkToFit="0" wrapText="1"/>
    </xf>
    <xf borderId="3" fillId="0" fontId="49" numFmtId="0" xfId="0" applyAlignment="1" applyBorder="1" applyFont="1">
      <alignment horizontal="left" shrinkToFit="0" wrapText="1"/>
    </xf>
    <xf borderId="3" fillId="0" fontId="53" numFmtId="0" xfId="0" applyAlignment="1" applyBorder="1" applyFont="1">
      <alignment shrinkToFit="0" wrapText="1"/>
    </xf>
    <xf borderId="3" fillId="0" fontId="49" numFmtId="0" xfId="0" applyAlignment="1" applyBorder="1" applyFont="1">
      <alignment shrinkToFit="0" vertical="top" wrapText="1"/>
    </xf>
    <xf borderId="3" fillId="0" fontId="34" numFmtId="0" xfId="0" applyAlignment="1" applyBorder="1" applyFont="1">
      <alignment readingOrder="0" shrinkToFit="0" wrapText="1"/>
    </xf>
    <xf borderId="3" fillId="0" fontId="49" numFmtId="1" xfId="0" applyAlignment="1" applyBorder="1" applyFont="1" applyNumberFormat="1">
      <alignment horizontal="left" shrinkToFit="0" wrapText="1"/>
    </xf>
    <xf borderId="3" fillId="0" fontId="34" numFmtId="0" xfId="0" applyAlignment="1" applyBorder="1" applyFont="1">
      <alignment shrinkToFit="0" wrapText="1"/>
    </xf>
    <xf borderId="3" fillId="5" fontId="49" numFmtId="0" xfId="0" applyAlignment="1" applyBorder="1" applyFont="1">
      <alignment horizontal="left" shrinkToFit="0" wrapText="1"/>
    </xf>
    <xf borderId="3" fillId="0" fontId="54" numFmtId="0" xfId="0" applyAlignment="1" applyBorder="1" applyFont="1">
      <alignment shrinkToFit="0" wrapText="1"/>
    </xf>
    <xf borderId="3" fillId="0" fontId="49" numFmtId="0" xfId="0" applyAlignment="1" applyBorder="1" applyFont="1">
      <alignment horizontal="left" shrinkToFit="0" vertical="top" wrapText="1"/>
    </xf>
    <xf borderId="3" fillId="0" fontId="55" numFmtId="0" xfId="0" applyAlignment="1" applyBorder="1" applyFont="1">
      <alignment horizontal="left" shrinkToFit="0" wrapText="1"/>
    </xf>
    <xf borderId="3" fillId="0" fontId="56" numFmtId="0" xfId="0" applyAlignment="1" applyBorder="1" applyFont="1">
      <alignment horizontal="left" shrinkToFit="0" wrapText="1"/>
    </xf>
    <xf borderId="3" fillId="0" fontId="49" numFmtId="0" xfId="0" applyAlignment="1" applyBorder="1" applyFont="1">
      <alignment horizontal="left"/>
    </xf>
    <xf borderId="3" fillId="0" fontId="49" numFmtId="0" xfId="0" applyBorder="1" applyFont="1"/>
    <xf borderId="3" fillId="0" fontId="34" numFmtId="0" xfId="0" applyBorder="1" applyFont="1"/>
    <xf borderId="3" fillId="0" fontId="34" numFmtId="0" xfId="0" applyAlignment="1" applyBorder="1" applyFont="1">
      <alignment readingOrder="0"/>
    </xf>
    <xf borderId="3" fillId="0" fontId="49" numFmtId="0" xfId="0" applyAlignment="1" applyBorder="1" applyFont="1">
      <alignment readingOrder="0"/>
    </xf>
    <xf borderId="0" fillId="0" fontId="51" numFmtId="0" xfId="0" applyAlignment="1" applyFont="1">
      <alignment horizontal="center" readingOrder="0" vertical="center"/>
    </xf>
    <xf borderId="3" fillId="0" fontId="49" numFmtId="0" xfId="0" applyAlignment="1" applyBorder="1" applyFont="1">
      <alignment readingOrder="0" shrinkToFit="0" wrapText="1"/>
    </xf>
    <xf borderId="3" fillId="5" fontId="34" numFmtId="0" xfId="0" applyAlignment="1" applyBorder="1" applyFont="1">
      <alignment horizontal="left" shrinkToFit="0" wrapText="1"/>
    </xf>
    <xf borderId="0" fillId="0" fontId="39" numFmtId="0" xfId="0" applyAlignment="1" applyFont="1">
      <alignment horizontal="center" vertical="center"/>
    </xf>
    <xf borderId="0" fillId="0" fontId="29" numFmtId="0" xfId="0" applyAlignment="1" applyFont="1">
      <alignment shrinkToFit="0" vertical="bottom" wrapText="1"/>
    </xf>
    <xf borderId="0" fillId="0" fontId="30" numFmtId="0" xfId="0" applyAlignment="1" applyFont="1">
      <alignment readingOrder="0" shrinkToFit="0" vertical="bottom" wrapText="1"/>
    </xf>
    <xf borderId="0" fillId="0" fontId="30" numFmtId="0" xfId="0" applyAlignment="1" applyFont="1">
      <alignment shrinkToFit="0" wrapText="1"/>
    </xf>
    <xf borderId="0" fillId="0" fontId="29" numFmtId="0" xfId="0" applyAlignment="1" applyFont="1">
      <alignment horizontal="left" shrinkToFit="0" vertical="center" wrapText="1"/>
    </xf>
    <xf borderId="0" fillId="0" fontId="57" numFmtId="0" xfId="0" applyAlignment="1" applyFont="1">
      <alignment horizontal="center" readingOrder="0" shrinkToFit="0" vertical="center" wrapText="1"/>
    </xf>
    <xf borderId="3" fillId="0" fontId="4" numFmtId="0" xfId="0" applyAlignment="1" applyBorder="1" applyFont="1">
      <alignment readingOrder="0"/>
    </xf>
    <xf borderId="3" fillId="0" fontId="4" numFmtId="0" xfId="0" applyAlignment="1" applyBorder="1" applyFont="1">
      <alignment readingOrder="0" shrinkToFit="0" wrapText="1"/>
    </xf>
    <xf borderId="3" fillId="0" fontId="3" numFmtId="0" xfId="0" applyBorder="1" applyFont="1"/>
    <xf borderId="0" fillId="0" fontId="29" numFmtId="0" xfId="0" applyAlignment="1" applyFont="1">
      <alignment horizontal="center" readingOrder="0" vertical="center"/>
    </xf>
    <xf borderId="3" fillId="0" fontId="15" numFmtId="0" xfId="0" applyAlignment="1" applyBorder="1" applyFont="1">
      <alignment shrinkToFit="0" wrapText="1"/>
    </xf>
    <xf borderId="3" fillId="0" fontId="15" numFmtId="0" xfId="0" applyAlignment="1" applyBorder="1" applyFont="1">
      <alignment readingOrder="0" shrinkToFit="0" wrapText="1"/>
    </xf>
    <xf borderId="3" fillId="0" fontId="15" numFmtId="0" xfId="0" applyAlignment="1" applyBorder="1" applyFont="1">
      <alignment readingOrder="0" shrinkToFit="0" wrapText="1"/>
    </xf>
    <xf borderId="3" fillId="0" fontId="58" numFmtId="0" xfId="0" applyAlignment="1" applyBorder="1" applyFont="1">
      <alignment shrinkToFit="0" wrapText="1"/>
    </xf>
    <xf borderId="3" fillId="0" fontId="15" numFmtId="0" xfId="0" applyAlignment="1" applyBorder="1" applyFont="1">
      <alignment horizontal="left" shrinkToFit="0" wrapText="1"/>
    </xf>
    <xf borderId="3" fillId="0" fontId="2" numFmtId="0" xfId="0" applyAlignment="1" applyBorder="1" applyFont="1">
      <alignment shrinkToFit="0" wrapText="1"/>
    </xf>
    <xf borderId="3" fillId="0" fontId="59" numFmtId="0" xfId="0" applyAlignment="1" applyBorder="1" applyFont="1">
      <alignment shrinkToFit="0" wrapText="1"/>
    </xf>
    <xf borderId="3" fillId="0" fontId="2" numFmtId="0" xfId="0" applyAlignment="1" applyBorder="1" applyFont="1">
      <alignment horizontal="left" shrinkToFit="0" wrapText="1"/>
    </xf>
    <xf borderId="3" fillId="0" fontId="60" numFmtId="0" xfId="0" applyAlignment="1" applyBorder="1" applyFont="1">
      <alignment horizontal="left" shrinkToFit="0" wrapText="1"/>
    </xf>
    <xf borderId="3" fillId="0" fontId="61" numFmtId="0" xfId="0" applyAlignment="1" applyBorder="1" applyFont="1">
      <alignment shrinkToFit="0" wrapText="1"/>
    </xf>
    <xf borderId="3" fillId="0" fontId="3" numFmtId="0" xfId="0" applyAlignment="1" applyBorder="1" applyFont="1">
      <alignment readingOrder="0" shrinkToFit="0" wrapText="0"/>
    </xf>
    <xf borderId="3" fillId="0" fontId="2" numFmtId="0" xfId="0" applyAlignment="1" applyBorder="1" applyFont="1">
      <alignment readingOrder="0" shrinkToFit="0" wrapText="1"/>
    </xf>
    <xf borderId="0" fillId="0" fontId="2" numFmtId="0" xfId="0" applyAlignment="1" applyFont="1">
      <alignment horizontal="left" shrinkToFit="0" wrapText="1"/>
    </xf>
    <xf borderId="3" fillId="0" fontId="29" numFmtId="0" xfId="0" applyAlignment="1" applyBorder="1" applyFont="1">
      <alignment horizontal="center" readingOrder="0" vertical="center"/>
    </xf>
    <xf borderId="3" fillId="0" fontId="3" numFmtId="0" xfId="0" applyAlignment="1" applyBorder="1" applyFont="1">
      <alignment readingOrder="0" shrinkToFit="0" wrapText="1"/>
    </xf>
    <xf borderId="3" fillId="19" fontId="2" numFmtId="0" xfId="0" applyAlignment="1" applyBorder="1" applyFill="1" applyFont="1">
      <alignment readingOrder="0" shrinkToFit="0" wrapText="1"/>
    </xf>
    <xf borderId="3" fillId="0" fontId="2" numFmtId="0" xfId="0" applyAlignment="1" applyBorder="1" applyFont="1">
      <alignment readingOrder="0" shrinkToFit="0" wrapText="0"/>
    </xf>
    <xf borderId="3" fillId="0" fontId="3" numFmtId="0" xfId="0" applyAlignment="1" applyBorder="1" applyFont="1">
      <alignment shrinkToFit="0" wrapText="1"/>
    </xf>
    <xf borderId="3" fillId="0" fontId="14" numFmtId="0" xfId="0" applyAlignment="1" applyBorder="1" applyFont="1">
      <alignment shrinkToFit="0" wrapText="1"/>
    </xf>
    <xf borderId="3" fillId="0" fontId="2" numFmtId="0" xfId="0" applyBorder="1" applyFont="1"/>
    <xf borderId="3" fillId="0" fontId="2" numFmtId="1" xfId="0" applyAlignment="1" applyBorder="1" applyFont="1" applyNumberFormat="1">
      <alignment horizontal="left" shrinkToFit="0" wrapText="1"/>
    </xf>
    <xf borderId="0" fillId="0" fontId="29" numFmtId="0" xfId="0" applyAlignment="1" applyFont="1">
      <alignment horizontal="center" vertical="center"/>
    </xf>
    <xf borderId="3" fillId="0" fontId="62" numFmtId="0" xfId="0" applyAlignment="1" applyBorder="1" applyFont="1">
      <alignment shrinkToFit="0" wrapText="1"/>
    </xf>
    <xf borderId="3" fillId="5" fontId="2" numFmtId="0" xfId="0" applyAlignment="1" applyBorder="1" applyFont="1">
      <alignment horizontal="left" shrinkToFit="0" wrapText="1"/>
    </xf>
    <xf borderId="3" fillId="0" fontId="63" numFmtId="0" xfId="0" applyAlignment="1" applyBorder="1" applyFont="1">
      <alignment readingOrder="0" shrinkToFit="0" wrapText="0"/>
    </xf>
    <xf borderId="3" fillId="0" fontId="3" numFmtId="0" xfId="0" applyAlignment="1" applyBorder="1" applyFont="1">
      <alignment readingOrder="0"/>
    </xf>
    <xf borderId="3" fillId="0" fontId="2" numFmtId="0" xfId="0" applyAlignment="1" applyBorder="1" applyFont="1">
      <alignment readingOrder="0"/>
    </xf>
    <xf borderId="0" fillId="0" fontId="64" numFmtId="0" xfId="0" applyAlignment="1" applyFont="1">
      <alignment horizontal="center" readingOrder="0" vertical="center"/>
    </xf>
    <xf borderId="0" fillId="0" fontId="3" numFmtId="0" xfId="0" applyFont="1"/>
    <xf borderId="3" fillId="0" fontId="2" numFmtId="0" xfId="0" applyAlignment="1" applyBorder="1" applyFont="1">
      <alignment shrinkToFit="0" wrapText="0"/>
    </xf>
    <xf borderId="3" fillId="0" fontId="3" numFmtId="0" xfId="0" applyAlignment="1" applyBorder="1" applyFont="1">
      <alignment readingOrder="0" shrinkToFit="0" wrapText="1"/>
    </xf>
    <xf borderId="3" fillId="0" fontId="2" numFmtId="0" xfId="0" applyAlignment="1" applyBorder="1" applyFont="1">
      <alignment readingOrder="0" shrinkToFit="0" wrapText="1"/>
    </xf>
    <xf borderId="3" fillId="0" fontId="1" numFmtId="0" xfId="0" applyAlignment="1" applyBorder="1" applyFont="1">
      <alignment shrinkToFit="0" wrapText="1"/>
    </xf>
    <xf borderId="0" fillId="0" fontId="0" numFmtId="0" xfId="0" applyAlignment="1" applyFont="1">
      <alignment horizontal="center"/>
    </xf>
    <xf borderId="0" fillId="0" fontId="52" numFmtId="0" xfId="0" applyFont="1"/>
    <xf borderId="0" fillId="0" fontId="65" numFmtId="0" xfId="0" applyFont="1"/>
    <xf borderId="0" fillId="0" fontId="66" numFmtId="0" xfId="0" applyAlignment="1" applyFont="1">
      <alignment horizontal="center" vertical="center"/>
    </xf>
    <xf borderId="3" fillId="0" fontId="67" numFmtId="0" xfId="0" applyAlignment="1" applyBorder="1" applyFont="1">
      <alignment shrinkToFit="0" wrapText="1"/>
    </xf>
    <xf borderId="3" fillId="0" fontId="67" numFmtId="0" xfId="0" applyAlignment="1" applyBorder="1" applyFont="1">
      <alignment readingOrder="0" shrinkToFit="0" wrapText="1"/>
    </xf>
    <xf borderId="3" fillId="0" fontId="67" numFmtId="0" xfId="0" applyAlignment="1" applyBorder="1" applyFont="1">
      <alignment horizontal="left" shrinkToFit="0" vertical="top" wrapText="1"/>
    </xf>
    <xf borderId="3" fillId="0" fontId="68" numFmtId="0" xfId="0" applyAlignment="1" applyBorder="1" applyFont="1">
      <alignment shrinkToFit="0" wrapText="1"/>
    </xf>
    <xf borderId="3" fillId="0" fontId="67" numFmtId="0" xfId="0" applyAlignment="1" applyBorder="1" applyFont="1">
      <alignment horizontal="left" readingOrder="0" shrinkToFit="0" wrapText="1"/>
    </xf>
    <xf borderId="3" fillId="0" fontId="67" numFmtId="0" xfId="0" applyAlignment="1" applyBorder="1" applyFont="1">
      <alignment horizontal="left" shrinkToFit="0" wrapText="1"/>
    </xf>
    <xf borderId="3" fillId="0" fontId="68" numFmtId="0" xfId="0" applyAlignment="1" applyBorder="1" applyFont="1">
      <alignment horizontal="left" shrinkToFit="0" wrapText="1"/>
    </xf>
    <xf borderId="3" fillId="0" fontId="69" numFmtId="0" xfId="0" applyAlignment="1" applyBorder="1" applyFont="1">
      <alignment readingOrder="0" shrinkToFit="0" wrapText="1"/>
    </xf>
    <xf borderId="3" fillId="0" fontId="70" numFmtId="0" xfId="0" applyAlignment="1" applyBorder="1" applyFont="1">
      <alignment readingOrder="0" shrinkToFit="0" wrapText="1"/>
    </xf>
    <xf borderId="8" fillId="0" fontId="51" numFmtId="0" xfId="0" applyAlignment="1" applyBorder="1" applyFont="1">
      <alignment horizontal="center" vertical="center"/>
    </xf>
    <xf borderId="8" fillId="0" fontId="51" numFmtId="0" xfId="0" applyAlignment="1" applyBorder="1" applyFont="1">
      <alignment horizontal="center" readingOrder="0" vertical="center"/>
    </xf>
    <xf borderId="2" fillId="0" fontId="34" numFmtId="0" xfId="0" applyAlignment="1" applyBorder="1" applyFont="1">
      <alignment readingOrder="0"/>
    </xf>
    <xf borderId="3" fillId="0" fontId="34" numFmtId="0" xfId="0" applyAlignment="1" applyBorder="1" applyFont="1">
      <alignment horizontal="left" shrinkToFit="0" wrapText="1"/>
    </xf>
    <xf borderId="0" fillId="0" fontId="29" numFmtId="0" xfId="0" applyAlignment="1" applyFont="1">
      <alignment horizontal="center" shrinkToFit="0" vertical="center" wrapText="1"/>
    </xf>
    <xf borderId="0" fillId="0" fontId="30" numFmtId="0" xfId="0" applyAlignment="1" applyFont="1">
      <alignment shrinkToFit="0" vertical="bottom" wrapText="1"/>
    </xf>
    <xf borderId="0" fillId="0" fontId="71" numFmtId="0" xfId="0" applyFont="1"/>
    <xf borderId="3" fillId="0" fontId="72" numFmtId="0" xfId="0" applyAlignment="1" applyBorder="1" applyFont="1">
      <alignment readingOrder="0" shrinkToFit="0" wrapText="1"/>
    </xf>
    <xf borderId="3" fillId="0" fontId="20" numFmtId="0" xfId="0" applyAlignment="1" applyBorder="1" applyFont="1">
      <alignment horizontal="left" shrinkToFit="0" wrapText="1"/>
    </xf>
    <xf borderId="3" fillId="0" fontId="2" numFmtId="0" xfId="0" applyAlignment="1" applyBorder="1" applyFont="1">
      <alignment horizontal="left"/>
    </xf>
    <xf borderId="3" fillId="0" fontId="73" numFmtId="0" xfId="0" applyBorder="1" applyFont="1"/>
    <xf borderId="0" fillId="0" fontId="34" numFmtId="0" xfId="0" applyFont="1"/>
    <xf borderId="0" fillId="0" fontId="34" numFmtId="0" xfId="0" applyAlignment="1" applyFont="1">
      <alignment readingOrder="0"/>
    </xf>
    <xf borderId="0" fillId="0" fontId="39" numFmtId="0" xfId="0" applyAlignment="1" applyFont="1">
      <alignment horizontal="left" readingOrder="0" shrinkToFit="0" vertical="center" wrapText="1"/>
    </xf>
    <xf borderId="0" fillId="0" fontId="74" numFmtId="0" xfId="0" applyAlignment="1" applyFont="1">
      <alignment horizontal="left" readingOrder="0" shrinkToFit="0" wrapText="1"/>
    </xf>
    <xf borderId="0" fillId="0" fontId="74" numFmtId="0" xfId="0" applyAlignment="1" applyFont="1">
      <alignment horizontal="left" shrinkToFit="0" wrapText="1"/>
    </xf>
    <xf borderId="0" fillId="0" fontId="25" numFmtId="0" xfId="0" applyAlignment="1" applyFont="1">
      <alignment horizontal="left"/>
    </xf>
    <xf borderId="0" fillId="0" fontId="39" numFmtId="0" xfId="0" applyAlignment="1" applyFont="1">
      <alignment horizontal="center" shrinkToFit="0" vertical="center" wrapText="1"/>
    </xf>
    <xf borderId="0" fillId="0" fontId="74" numFmtId="0" xfId="0" applyAlignment="1" applyFont="1">
      <alignment shrinkToFit="0" wrapText="1"/>
    </xf>
    <xf borderId="3" fillId="0" fontId="75" numFmtId="0" xfId="0" applyAlignment="1" applyBorder="1" applyFont="1">
      <alignment readingOrder="0" shrinkToFit="0" wrapText="1"/>
    </xf>
    <xf borderId="3" fillId="0" fontId="76" numFmtId="0" xfId="0" applyAlignment="1" applyBorder="1" applyFont="1">
      <alignment horizontal="left" shrinkToFit="0" wrapText="1"/>
    </xf>
    <xf borderId="3" fillId="0" fontId="3" numFmtId="0" xfId="0" applyAlignment="1" applyBorder="1" applyFont="1">
      <alignment shrinkToFit="0" wrapText="1"/>
    </xf>
    <xf borderId="3" fillId="0" fontId="0" numFmtId="0" xfId="0" applyAlignment="1" applyBorder="1" applyFont="1">
      <alignment readingOrder="0"/>
    </xf>
    <xf borderId="3" fillId="0" fontId="32" numFmtId="0" xfId="0" applyAlignment="1" applyBorder="1" applyFont="1">
      <alignment shrinkToFit="0" wrapText="1"/>
    </xf>
    <xf borderId="3" fillId="0" fontId="77" numFmtId="0" xfId="0" applyAlignment="1" applyBorder="1" applyFont="1">
      <alignment shrinkToFit="0" wrapText="1"/>
    </xf>
    <xf borderId="3" fillId="5" fontId="2" numFmtId="0" xfId="0" applyAlignment="1" applyBorder="1" applyFont="1">
      <alignment readingOrder="0" shrinkToFit="0" wrapText="0"/>
    </xf>
    <xf borderId="3" fillId="0" fontId="78" numFmtId="0" xfId="0" applyBorder="1" applyFont="1"/>
    <xf borderId="3" fillId="0" fontId="0" numFmtId="0" xfId="0" applyBorder="1" applyFont="1"/>
    <xf borderId="3" fillId="0" fontId="79" numFmtId="0" xfId="0" applyBorder="1" applyFont="1"/>
    <xf borderId="3" fillId="0" fontId="2" numFmtId="0" xfId="0" applyAlignment="1" applyBorder="1" applyFont="1">
      <alignment shrinkToFit="0" vertical="center" wrapText="1"/>
    </xf>
    <xf borderId="0" fillId="0" fontId="2" numFmtId="0" xfId="0" applyFont="1"/>
    <xf borderId="0" fillId="5" fontId="2" numFmtId="0" xfId="0" applyAlignment="1" applyFont="1">
      <alignment readingOrder="0" shrinkToFit="0" wrapText="1"/>
    </xf>
    <xf borderId="0" fillId="0" fontId="31" numFmtId="0" xfId="0" applyFont="1"/>
    <xf borderId="0" fillId="0" fontId="3" numFmtId="0" xfId="0" applyAlignment="1" applyFont="1">
      <alignment shrinkToFit="0" wrapText="1"/>
    </xf>
    <xf borderId="0" fillId="5" fontId="50" numFmtId="0" xfId="0" applyAlignment="1" applyFont="1">
      <alignment readingOrder="0"/>
    </xf>
    <xf borderId="0" fillId="0" fontId="65" numFmtId="0" xfId="0" applyAlignment="1" applyFont="1">
      <alignment shrinkToFit="0" wrapText="1"/>
    </xf>
    <xf borderId="0" fillId="0" fontId="65" numFmtId="0" xfId="0" applyAlignment="1" applyFont="1">
      <alignment readingOrder="0" shrinkToFit="0" wrapText="1"/>
    </xf>
    <xf borderId="3" fillId="0" fontId="3" numFmtId="0" xfId="0" applyAlignment="1" applyBorder="1" applyFont="1">
      <alignment shrinkToFit="0" wrapText="0"/>
    </xf>
    <xf borderId="3" fillId="0" fontId="2" numFmtId="0" xfId="0" applyAlignment="1" applyBorder="1" applyFont="1">
      <alignment horizontal="left" readingOrder="0" shrinkToFit="0" wrapText="1"/>
    </xf>
    <xf borderId="3" fillId="0" fontId="39" numFmtId="0" xfId="0" applyAlignment="1" applyBorder="1" applyFont="1">
      <alignment horizontal="center" readingOrder="0" vertical="center"/>
    </xf>
    <xf borderId="0" fillId="0" fontId="39" numFmtId="0" xfId="0" applyAlignment="1" applyFont="1">
      <alignment horizontal="center" readingOrder="0" vertical="center"/>
    </xf>
    <xf borderId="0" fillId="20" fontId="39" numFmtId="0" xfId="0" applyAlignment="1" applyFill="1" applyFont="1">
      <alignment horizontal="center" readingOrder="0" vertical="center"/>
    </xf>
    <xf borderId="3" fillId="20" fontId="2" numFmtId="0" xfId="0" applyAlignment="1" applyBorder="1" applyFont="1">
      <alignment readingOrder="0" shrinkToFit="0" wrapText="0"/>
    </xf>
    <xf borderId="3" fillId="20" fontId="3" numFmtId="0" xfId="0" applyAlignment="1" applyBorder="1" applyFont="1">
      <alignment readingOrder="0" shrinkToFit="0" wrapText="0"/>
    </xf>
    <xf borderId="3" fillId="20" fontId="2" numFmtId="0" xfId="0" applyAlignment="1" applyBorder="1" applyFont="1">
      <alignment readingOrder="0"/>
    </xf>
    <xf borderId="3" fillId="20" fontId="2" numFmtId="0" xfId="0" applyAlignment="1" applyBorder="1" applyFont="1">
      <alignment shrinkToFit="0" wrapText="0"/>
    </xf>
    <xf borderId="3" fillId="20" fontId="0" numFmtId="0" xfId="0" applyBorder="1" applyFont="1"/>
    <xf borderId="0" fillId="20" fontId="2" numFmtId="0" xfId="0" applyAlignment="1" applyFont="1">
      <alignment readingOrder="0" shrinkToFit="0" wrapText="1"/>
    </xf>
    <xf borderId="0" fillId="20" fontId="25" numFmtId="0" xfId="0" applyFont="1"/>
    <xf borderId="3" fillId="0" fontId="80" numFmtId="0" xfId="0" applyAlignment="1" applyBorder="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3" fillId="0" fontId="29" numFmtId="0" xfId="0" applyAlignment="1" applyBorder="1" applyFont="1">
      <alignment horizontal="left" readingOrder="0" shrinkToFit="0" vertical="center" wrapText="0"/>
    </xf>
    <xf borderId="3" fillId="0" fontId="30" numFmtId="0" xfId="0" applyAlignment="1" applyBorder="1" applyFont="1">
      <alignment shrinkToFit="0" wrapText="0"/>
    </xf>
    <xf borderId="3" fillId="0" fontId="81" numFmtId="0" xfId="0" applyAlignment="1" applyBorder="1" applyFont="1">
      <alignment shrinkToFit="0" wrapText="0"/>
    </xf>
    <xf borderId="3" fillId="6" fontId="47" numFmtId="0" xfId="0" applyAlignment="1" applyBorder="1" applyFont="1">
      <alignment readingOrder="0" shrinkToFit="0" wrapText="0"/>
    </xf>
    <xf borderId="3" fillId="6" fontId="30" numFmtId="0" xfId="0" applyAlignment="1" applyBorder="1" applyFont="1">
      <alignment shrinkToFit="0" wrapText="0"/>
    </xf>
    <xf borderId="3" fillId="6" fontId="81" numFmtId="0" xfId="0" applyAlignment="1" applyBorder="1" applyFont="1">
      <alignment shrinkToFit="0" wrapText="0"/>
    </xf>
    <xf borderId="3" fillId="3" fontId="29" numFmtId="0" xfId="0" applyAlignment="1" applyBorder="1" applyFont="1">
      <alignment horizontal="center" shrinkToFit="0" vertical="center" wrapText="0"/>
    </xf>
    <xf borderId="3" fillId="3" fontId="2" numFmtId="0" xfId="0" applyAlignment="1" applyBorder="1" applyFont="1">
      <alignment shrinkToFit="0" wrapText="0"/>
    </xf>
    <xf borderId="3" fillId="3" fontId="30" numFmtId="0" xfId="0" applyAlignment="1" applyBorder="1" applyFont="1">
      <alignment readingOrder="0" shrinkToFit="0" wrapText="0"/>
    </xf>
    <xf borderId="3" fillId="3" fontId="2" numFmtId="0" xfId="0" applyAlignment="1" applyBorder="1" applyFont="1">
      <alignment readingOrder="0" shrinkToFit="0" wrapText="0"/>
    </xf>
    <xf borderId="3" fillId="3" fontId="82" numFmtId="0" xfId="0" applyAlignment="1" applyBorder="1" applyFont="1">
      <alignment shrinkToFit="0" wrapText="0"/>
    </xf>
    <xf borderId="3" fillId="3" fontId="2" numFmtId="0" xfId="0" applyAlignment="1" applyBorder="1" applyFont="1">
      <alignment horizontal="left" shrinkToFit="0" wrapText="0"/>
    </xf>
    <xf borderId="3" fillId="3" fontId="81" numFmtId="0" xfId="0" applyAlignment="1" applyBorder="1" applyFont="1">
      <alignment shrinkToFit="0" wrapText="0"/>
    </xf>
    <xf borderId="3" fillId="3" fontId="3" numFmtId="0" xfId="0" applyAlignment="1" applyBorder="1" applyFont="1">
      <alignment readingOrder="0" shrinkToFit="0" wrapText="0"/>
    </xf>
    <xf borderId="3" fillId="0" fontId="64" numFmtId="0" xfId="0" applyAlignment="1" applyBorder="1" applyFont="1">
      <alignment horizontal="center" shrinkToFit="0" vertical="center" wrapText="0"/>
    </xf>
    <xf borderId="3" fillId="0" fontId="15" numFmtId="0" xfId="0" applyAlignment="1" applyBorder="1" applyFont="1">
      <alignment shrinkToFit="0" wrapText="0"/>
    </xf>
    <xf borderId="3" fillId="0" fontId="83" numFmtId="0" xfId="0" applyAlignment="1" applyBorder="1" applyFont="1">
      <alignment readingOrder="0" shrinkToFit="0" wrapText="0"/>
    </xf>
    <xf borderId="3" fillId="0" fontId="15" numFmtId="0" xfId="0" applyAlignment="1" applyBorder="1" applyFont="1">
      <alignment readingOrder="0" shrinkToFit="0" wrapText="0"/>
    </xf>
    <xf borderId="3" fillId="0" fontId="58" numFmtId="0" xfId="0" applyAlignment="1" applyBorder="1" applyFont="1">
      <alignment shrinkToFit="0" wrapText="0"/>
    </xf>
    <xf borderId="3" fillId="0" fontId="15" numFmtId="0" xfId="0" applyAlignment="1" applyBorder="1" applyFont="1">
      <alignment horizontal="left" shrinkToFit="0" wrapText="0"/>
    </xf>
    <xf borderId="3" fillId="0" fontId="84" numFmtId="0" xfId="0" applyAlignment="1" applyBorder="1" applyFont="1">
      <alignment shrinkToFit="0" wrapText="0"/>
    </xf>
    <xf borderId="3" fillId="0" fontId="29" numFmtId="0" xfId="0" applyAlignment="1" applyBorder="1" applyFont="1">
      <alignment horizontal="center" shrinkToFit="0" vertical="center" wrapText="0"/>
    </xf>
    <xf borderId="3" fillId="0" fontId="2" numFmtId="0" xfId="0" applyAlignment="1" applyBorder="1" applyFont="1">
      <alignment horizontal="left" shrinkToFit="0" wrapText="0"/>
    </xf>
    <xf borderId="3" fillId="0" fontId="30" numFmtId="0" xfId="0" applyAlignment="1" applyBorder="1" applyFont="1">
      <alignment readingOrder="0" shrinkToFit="0" wrapText="0"/>
    </xf>
    <xf borderId="3" fillId="0" fontId="85" numFmtId="0" xfId="0" applyAlignment="1" applyBorder="1" applyFont="1">
      <alignment horizontal="left" shrinkToFit="0" wrapText="0"/>
    </xf>
    <xf borderId="3" fillId="0" fontId="86" numFmtId="0" xfId="0" applyAlignment="1" applyBorder="1" applyFont="1">
      <alignment shrinkToFit="0" wrapText="0"/>
    </xf>
    <xf borderId="3" fillId="3" fontId="29" numFmtId="0" xfId="0" applyAlignment="1" applyBorder="1" applyFont="1">
      <alignment horizontal="center" readingOrder="0" shrinkToFit="0" vertical="center" wrapText="0"/>
    </xf>
    <xf borderId="3" fillId="0" fontId="30" numFmtId="0" xfId="0" applyAlignment="1" applyBorder="1" applyFont="1">
      <alignment readingOrder="0" shrinkToFit="0" vertical="bottom" wrapText="0"/>
    </xf>
    <xf borderId="3" fillId="3" fontId="87" numFmtId="0" xfId="0" applyAlignment="1" applyBorder="1" applyFont="1">
      <alignment shrinkToFit="0" wrapText="0"/>
    </xf>
    <xf borderId="3" fillId="0" fontId="29" numFmtId="0" xfId="0" applyAlignment="1" applyBorder="1" applyFont="1">
      <alignment horizontal="center" readingOrder="0" shrinkToFit="0" vertical="center" wrapText="0"/>
    </xf>
    <xf borderId="3" fillId="0" fontId="2" numFmtId="0" xfId="0" applyAlignment="1" applyBorder="1" applyFont="1">
      <alignment horizontal="left" readingOrder="0" shrinkToFit="0" wrapText="0"/>
    </xf>
    <xf borderId="3" fillId="0" fontId="2" numFmtId="0" xfId="0" applyAlignment="1" applyBorder="1" applyFont="1">
      <alignment horizontal="left" shrinkToFit="0" vertical="top" wrapText="0"/>
    </xf>
    <xf borderId="3" fillId="0" fontId="88" numFmtId="0" xfId="0" applyAlignment="1" applyBorder="1" applyFont="1">
      <alignment shrinkToFit="0" wrapText="0"/>
    </xf>
    <xf borderId="3" fillId="0" fontId="87" numFmtId="0" xfId="0" applyAlignment="1" applyBorder="1" applyFont="1">
      <alignment shrinkToFit="0" wrapText="0"/>
    </xf>
    <xf borderId="3" fillId="0" fontId="89" numFmtId="0" xfId="0" applyAlignment="1" applyBorder="1" applyFont="1">
      <alignment readingOrder="0" shrinkToFit="0" wrapText="0"/>
    </xf>
    <xf borderId="3" fillId="3" fontId="2" numFmtId="1" xfId="0" applyAlignment="1" applyBorder="1" applyFont="1" applyNumberFormat="1">
      <alignment horizontal="left" shrinkToFit="0" wrapText="0"/>
    </xf>
    <xf borderId="3" fillId="0" fontId="2" numFmtId="1" xfId="0" applyAlignment="1" applyBorder="1" applyFont="1" applyNumberFormat="1">
      <alignment horizontal="left" shrinkToFit="0" wrapText="0"/>
    </xf>
    <xf borderId="3" fillId="3" fontId="90" numFmtId="0" xfId="0" applyAlignment="1" applyBorder="1" applyFont="1">
      <alignment shrinkToFit="0" wrapText="0"/>
    </xf>
    <xf borderId="3" fillId="5" fontId="2" numFmtId="0" xfId="0" applyAlignment="1" applyBorder="1" applyFont="1">
      <alignment horizontal="left" shrinkToFit="0" wrapText="0"/>
    </xf>
    <xf borderId="3" fillId="0" fontId="91" numFmtId="0" xfId="0" applyAlignment="1" applyBorder="1" applyFont="1">
      <alignment shrinkToFit="0" wrapText="0"/>
    </xf>
    <xf borderId="3" fillId="5" fontId="3" numFmtId="0" xfId="0" applyAlignment="1" applyBorder="1" applyFont="1">
      <alignment horizontal="left" shrinkToFit="0" wrapText="0"/>
    </xf>
    <xf borderId="3" fillId="3" fontId="30" numFmtId="0" xfId="0" applyAlignment="1" applyBorder="1" applyFont="1">
      <alignment shrinkToFit="0" wrapText="0"/>
    </xf>
    <xf borderId="3" fillId="0" fontId="20" numFmtId="0" xfId="0" applyAlignment="1" applyBorder="1" applyFont="1">
      <alignment horizontal="left" shrinkToFit="0" wrapText="0"/>
    </xf>
    <xf borderId="3" fillId="3" fontId="30" numFmtId="0" xfId="0" applyAlignment="1" applyBorder="1" applyFont="1">
      <alignment horizontal="left" readingOrder="0" shrinkToFit="0" wrapText="0"/>
    </xf>
    <xf borderId="3" fillId="3" fontId="2" numFmtId="0" xfId="0" applyAlignment="1" applyBorder="1" applyFont="1">
      <alignment horizontal="left" readingOrder="0" shrinkToFit="0" wrapText="0"/>
    </xf>
    <xf borderId="3" fillId="3" fontId="3" numFmtId="0" xfId="0" applyAlignment="1" applyBorder="1" applyFont="1">
      <alignment horizontal="left" shrinkToFit="0" wrapText="0"/>
    </xf>
    <xf borderId="3" fillId="3" fontId="20" numFmtId="0" xfId="0" applyAlignment="1" applyBorder="1" applyFont="1">
      <alignment horizontal="left" shrinkToFit="0" wrapText="0"/>
    </xf>
    <xf borderId="3" fillId="3" fontId="92" numFmtId="0" xfId="0" applyAlignment="1" applyBorder="1" applyFont="1">
      <alignment horizontal="left" shrinkToFit="0" wrapText="0"/>
    </xf>
    <xf borderId="3" fillId="0" fontId="93" numFmtId="0" xfId="0" applyAlignment="1" applyBorder="1" applyFont="1">
      <alignment shrinkToFit="0" wrapText="0"/>
    </xf>
    <xf borderId="3" fillId="0" fontId="2" numFmtId="0" xfId="0" applyAlignment="1" applyBorder="1" applyFont="1">
      <alignment shrinkToFit="0" vertical="center" wrapText="0"/>
    </xf>
    <xf borderId="3" fillId="3" fontId="2" numFmtId="0" xfId="0" applyAlignment="1" applyBorder="1" applyFont="1">
      <alignment shrinkToFit="0" wrapText="1"/>
    </xf>
    <xf borderId="3" fillId="3" fontId="2" numFmtId="0" xfId="0" applyAlignment="1" applyBorder="1" applyFont="1">
      <alignment readingOrder="0" shrinkToFit="0" wrapText="1"/>
    </xf>
    <xf borderId="3" fillId="3" fontId="2" numFmtId="0" xfId="0" applyAlignment="1" applyBorder="1" applyFont="1">
      <alignment horizontal="left" shrinkToFit="0" wrapText="1"/>
    </xf>
    <xf borderId="3" fillId="3" fontId="3" numFmtId="0" xfId="0" applyAlignment="1" applyBorder="1" applyFont="1">
      <alignment readingOrder="0"/>
    </xf>
    <xf borderId="3" fillId="3" fontId="2" numFmtId="0" xfId="0" applyAlignment="1" applyBorder="1" applyFont="1">
      <alignment readingOrder="0"/>
    </xf>
    <xf borderId="3" fillId="3" fontId="3" numFmtId="0" xfId="0" applyBorder="1" applyFont="1"/>
    <xf borderId="3" fillId="3" fontId="3" numFmtId="0" xfId="0" applyAlignment="1" applyBorder="1" applyFont="1">
      <alignment readingOrder="0" shrinkToFit="0" wrapText="1"/>
    </xf>
    <xf borderId="3" fillId="3" fontId="2" numFmtId="0" xfId="0" applyAlignment="1" applyBorder="1" applyFont="1">
      <alignment readingOrder="0" shrinkToFit="0" vertical="bottom" wrapText="1"/>
    </xf>
    <xf borderId="3" fillId="3" fontId="0" numFmtId="0" xfId="0" applyAlignment="1" applyBorder="1" applyFont="1">
      <alignment readingOrder="0"/>
    </xf>
    <xf borderId="3" fillId="3" fontId="3" numFmtId="0" xfId="0" applyAlignment="1" applyBorder="1" applyFont="1">
      <alignment shrinkToFit="0" wrapText="1"/>
    </xf>
    <xf borderId="3" fillId="5" fontId="2" numFmtId="0" xfId="0" applyAlignment="1" applyBorder="1" applyFont="1">
      <alignment readingOrder="0" shrinkToFit="0" wrapText="1"/>
    </xf>
    <xf borderId="3" fillId="3" fontId="47" numFmtId="0" xfId="0" applyAlignment="1" applyBorder="1" applyFont="1">
      <alignment readingOrder="0" shrinkToFit="0" wrapText="1"/>
    </xf>
    <xf borderId="3" fillId="3" fontId="2" numFmtId="0" xfId="0" applyAlignment="1" applyBorder="1" applyFont="1">
      <alignment readingOrder="0" shrinkToFit="0" wrapText="0"/>
    </xf>
    <xf borderId="3" fillId="3" fontId="3" numFmtId="0" xfId="0" applyAlignment="1" applyBorder="1" applyFont="1">
      <alignment shrinkToFit="0" wrapText="0"/>
    </xf>
    <xf borderId="3" fillId="3" fontId="2" numFmtId="0" xfId="0" applyAlignment="1" applyBorder="1" applyFont="1">
      <alignment horizontal="left" readingOrder="0" shrinkToFit="0" wrapText="0"/>
    </xf>
    <xf borderId="3" fillId="0" fontId="30" numFmtId="0" xfId="0" applyAlignment="1" applyBorder="1" applyFont="1">
      <alignment readingOrder="0" shrinkToFit="0" wrapText="1"/>
    </xf>
    <xf borderId="3" fillId="0" fontId="47" numFmtId="0" xfId="0" applyAlignment="1" applyBorder="1" applyFont="1">
      <alignment readingOrder="0" shrinkToFit="0" wrapText="0"/>
    </xf>
    <xf borderId="3" fillId="3" fontId="47" numFmtId="0" xfId="0" applyAlignment="1" applyBorder="1" applyFont="1">
      <alignment readingOrder="0" shrinkToFit="0" wrapText="0"/>
    </xf>
    <xf borderId="3" fillId="5" fontId="2" numFmtId="0" xfId="0" applyAlignment="1" applyBorder="1" applyFont="1">
      <alignment readingOrder="0"/>
    </xf>
    <xf borderId="3" fillId="3" fontId="25" numFmtId="0" xfId="0" applyAlignment="1" applyBorder="1" applyFont="1">
      <alignment readingOrder="0"/>
    </xf>
    <xf borderId="3" fillId="0" fontId="29" numFmtId="0" xfId="0" applyAlignment="1" applyBorder="1" applyFont="1">
      <alignment horizontal="center" vertical="top"/>
    </xf>
    <xf borderId="3" fillId="0" fontId="2" numFmtId="0" xfId="0" applyAlignment="1" applyBorder="1" applyFont="1">
      <alignment vertical="top"/>
    </xf>
    <xf borderId="3" fillId="5" fontId="2" numFmtId="0" xfId="0" applyAlignment="1" applyBorder="1" applyFont="1">
      <alignment vertical="top"/>
    </xf>
    <xf borderId="3" fillId="5" fontId="32" numFmtId="0" xfId="0" applyAlignment="1" applyBorder="1" applyFont="1">
      <alignment shrinkToFit="0" vertical="top" wrapText="1"/>
    </xf>
    <xf borderId="3" fillId="0" fontId="32" numFmtId="0" xfId="0" applyAlignment="1" applyBorder="1" applyFont="1">
      <alignment vertical="bottom"/>
    </xf>
    <xf borderId="3" fillId="0" fontId="29" numFmtId="0" xfId="0" applyAlignment="1" applyBorder="1" applyFont="1">
      <alignment horizontal="center" readingOrder="0" shrinkToFit="0" vertical="top" wrapText="0"/>
    </xf>
    <xf borderId="3" fillId="0" fontId="2" numFmtId="0" xfId="0" applyAlignment="1" applyBorder="1" applyFont="1">
      <alignment readingOrder="0" shrinkToFit="0" vertical="top" wrapText="0"/>
    </xf>
    <xf borderId="3" fillId="0" fontId="31" numFmtId="49" xfId="0" applyAlignment="1" applyBorder="1" applyFont="1" applyNumberFormat="1">
      <alignment shrinkToFit="0" vertical="top" wrapText="1"/>
    </xf>
    <xf borderId="3" fillId="0" fontId="94" numFmtId="0" xfId="0" applyAlignment="1" applyBorder="1" applyFont="1">
      <alignment horizontal="center" shrinkToFit="0" vertical="top" wrapText="1"/>
    </xf>
    <xf borderId="3" fillId="0" fontId="31" numFmtId="0" xfId="0" applyAlignment="1" applyBorder="1" applyFont="1">
      <alignment shrinkToFit="0" vertical="top" wrapText="1"/>
    </xf>
    <xf borderId="3" fillId="0" fontId="95" numFmtId="0" xfId="0" applyAlignment="1" applyBorder="1" applyFont="1">
      <alignment shrinkToFit="0" vertical="top" wrapText="1"/>
    </xf>
    <xf borderId="3" fillId="10" fontId="31" numFmtId="0" xfId="0" applyAlignment="1" applyBorder="1" applyFont="1">
      <alignment shrinkToFit="0" vertical="top" wrapText="1"/>
    </xf>
    <xf borderId="3" fillId="0" fontId="0" numFmtId="0" xfId="0" applyAlignment="1" applyBorder="1" applyFont="1">
      <alignment horizontal="left"/>
    </xf>
    <xf borderId="3" fillId="0" fontId="48" numFmtId="0" xfId="0" applyAlignment="1" applyBorder="1" applyFont="1">
      <alignment shrinkToFit="0" wrapText="0"/>
    </xf>
    <xf borderId="3" fillId="0" fontId="96" numFmtId="0" xfId="0" applyBorder="1" applyFont="1"/>
    <xf borderId="3" fillId="0" fontId="25" numFmtId="0" xfId="0" applyBorder="1" applyFont="1"/>
    <xf borderId="3" fillId="5" fontId="2" numFmtId="0" xfId="0" applyAlignment="1" applyBorder="1" applyFont="1">
      <alignment readingOrder="0" shrinkToFit="0" vertical="top" wrapText="0"/>
    </xf>
    <xf borderId="3" fillId="0" fontId="31" numFmtId="0" xfId="0" applyAlignment="1" applyBorder="1" applyFont="1">
      <alignment shrinkToFit="0" vertical="top" wrapText="1"/>
    </xf>
    <xf borderId="3" fillId="5" fontId="31" numFmtId="0" xfId="0" applyAlignment="1" applyBorder="1" applyFont="1">
      <alignment shrinkToFit="0" vertical="top" wrapText="1"/>
    </xf>
    <xf borderId="3" fillId="0" fontId="3" numFmtId="0" xfId="0" applyAlignment="1" applyBorder="1" applyFont="1">
      <alignment readingOrder="0" shrinkToFit="0" vertical="top" wrapText="0"/>
    </xf>
    <xf borderId="3" fillId="0" fontId="94" numFmtId="0" xfId="0" applyAlignment="1" applyBorder="1" applyFont="1">
      <alignment shrinkToFit="0" vertical="top" wrapText="1"/>
    </xf>
    <xf borderId="3" fillId="0" fontId="25" numFmtId="0" xfId="0" applyAlignment="1" applyBorder="1" applyFont="1">
      <alignment readingOrder="0"/>
    </xf>
    <xf borderId="3" fillId="0" fontId="27" numFmtId="0" xfId="0" applyAlignment="1" applyBorder="1" applyFont="1">
      <alignment readingOrder="0"/>
    </xf>
    <xf borderId="3" fillId="5" fontId="31" numFmtId="0" xfId="0" applyAlignment="1" applyBorder="1" applyFont="1">
      <alignment shrinkToFit="0" vertical="top" wrapText="1"/>
    </xf>
    <xf borderId="3" fillId="5" fontId="97" numFmtId="0" xfId="0" applyAlignment="1" applyBorder="1" applyFont="1">
      <alignment horizontal="left" shrinkToFit="0" vertical="top" wrapText="1"/>
    </xf>
    <xf borderId="3" fillId="3" fontId="29" numFmtId="0" xfId="0" applyAlignment="1" applyBorder="1" applyFont="1">
      <alignment horizontal="center" readingOrder="0" vertical="top"/>
    </xf>
    <xf borderId="3" fillId="3" fontId="3" numFmtId="0" xfId="0" applyAlignment="1" applyBorder="1" applyFont="1">
      <alignment vertical="top"/>
    </xf>
    <xf borderId="3" fillId="3" fontId="32" numFmtId="0" xfId="0" applyAlignment="1" applyBorder="1" applyFont="1">
      <alignment readingOrder="0" shrinkToFit="0" vertical="top" wrapText="1"/>
    </xf>
    <xf borderId="3" fillId="3" fontId="98" numFmtId="0" xfId="0" applyAlignment="1" applyBorder="1" applyFont="1">
      <alignment shrinkToFit="0" vertical="top" wrapText="1"/>
    </xf>
    <xf borderId="3" fillId="3" fontId="32" numFmtId="0" xfId="0" applyAlignment="1" applyBorder="1" applyFont="1">
      <alignment shrinkToFit="0" vertical="top" wrapText="1"/>
    </xf>
    <xf borderId="3" fillId="3" fontId="2" numFmtId="0" xfId="0" applyAlignment="1" applyBorder="1" applyFont="1">
      <alignment shrinkToFit="0" vertical="bottom" wrapText="1"/>
    </xf>
    <xf borderId="3" fillId="3" fontId="32" numFmtId="0" xfId="0" applyAlignment="1" applyBorder="1" applyFont="1">
      <alignment shrinkToFit="0" vertical="top" wrapText="1"/>
    </xf>
    <xf borderId="3" fillId="3" fontId="32" numFmtId="0" xfId="0" applyAlignment="1" applyBorder="1" applyFont="1">
      <alignment vertical="bottom"/>
    </xf>
    <xf borderId="3" fillId="3" fontId="32" numFmtId="0" xfId="0" applyAlignment="1" applyBorder="1" applyFont="1">
      <alignment vertical="bottom"/>
    </xf>
    <xf borderId="3" fillId="3" fontId="29" numFmtId="0" xfId="0" applyAlignment="1" applyBorder="1" applyFont="1">
      <alignment horizontal="center" readingOrder="0" shrinkToFit="0" vertical="top" wrapText="0"/>
    </xf>
    <xf borderId="3" fillId="3" fontId="2" numFmtId="0" xfId="0" applyAlignment="1" applyBorder="1" applyFont="1">
      <alignment readingOrder="0" shrinkToFit="0" vertical="top" wrapText="0"/>
    </xf>
    <xf borderId="3" fillId="3" fontId="31" numFmtId="0" xfId="0" applyAlignment="1" applyBorder="1" applyFont="1">
      <alignment shrinkToFit="0" vertical="top" wrapText="1"/>
    </xf>
    <xf borderId="3" fillId="3" fontId="94" numFmtId="0" xfId="0" applyAlignment="1" applyBorder="1" applyFont="1">
      <alignment shrinkToFit="0" vertical="top" wrapText="1"/>
    </xf>
    <xf borderId="3" fillId="3" fontId="31" numFmtId="0" xfId="0" applyAlignment="1" applyBorder="1" applyFont="1">
      <alignment shrinkToFit="0" vertical="top" wrapText="1"/>
    </xf>
    <xf borderId="3" fillId="3" fontId="0" numFmtId="0" xfId="0" applyAlignment="1" applyBorder="1" applyFont="1">
      <alignment shrinkToFit="0" wrapText="1"/>
    </xf>
    <xf borderId="3" fillId="3" fontId="0" numFmtId="0" xfId="0" applyAlignment="1" applyBorder="1" applyFont="1">
      <alignment horizontal="left"/>
    </xf>
    <xf borderId="3" fillId="3" fontId="48" numFmtId="0" xfId="0" applyAlignment="1" applyBorder="1" applyFont="1">
      <alignment shrinkToFit="0" wrapText="0"/>
    </xf>
    <xf borderId="3" fillId="3" fontId="96" numFmtId="0" xfId="0" applyBorder="1" applyFont="1"/>
    <xf borderId="3" fillId="3" fontId="25" numFmtId="0" xfId="0" applyBorder="1" applyFont="1"/>
    <xf borderId="3" fillId="0" fontId="29" numFmtId="0" xfId="0" applyAlignment="1" applyBorder="1" applyFont="1">
      <alignment horizontal="center" readingOrder="0" shrinkToFit="0" vertical="center" wrapText="0"/>
    </xf>
    <xf borderId="3" fillId="0" fontId="30" numFmtId="0" xfId="0" applyAlignment="1" applyBorder="1" applyFont="1">
      <alignment shrinkToFit="0" wrapText="0"/>
    </xf>
    <xf borderId="3" fillId="0" fontId="3" numFmtId="0" xfId="0" applyBorder="1" applyFont="1"/>
    <xf borderId="3" fillId="0" fontId="2" numFmtId="0" xfId="0" applyAlignment="1" applyBorder="1" applyFont="1">
      <alignment shrinkToFit="0" wrapText="1"/>
    </xf>
    <xf borderId="3" fillId="0" fontId="2" numFmtId="0" xfId="0" applyBorder="1" applyFont="1"/>
    <xf borderId="3" fillId="0" fontId="3" numFmtId="0" xfId="0" applyAlignment="1" applyBorder="1" applyFont="1">
      <alignment shrinkToFit="0" wrapText="1"/>
    </xf>
    <xf borderId="3" fillId="3" fontId="29" numFmtId="0" xfId="0" applyAlignment="1" applyBorder="1" applyFont="1">
      <alignment horizontal="center" readingOrder="0" shrinkToFit="0" vertical="center" wrapText="0"/>
    </xf>
    <xf borderId="3" fillId="3" fontId="30" numFmtId="0" xfId="0" applyAlignment="1" applyBorder="1" applyFont="1">
      <alignment shrinkToFit="0" wrapText="0"/>
    </xf>
    <xf borderId="3" fillId="3" fontId="3" numFmtId="0" xfId="0" applyAlignment="1" applyBorder="1" applyFont="1">
      <alignment shrinkToFit="0" wrapText="0"/>
    </xf>
    <xf borderId="3" fillId="3" fontId="2" numFmtId="0" xfId="0" applyAlignment="1" applyBorder="1" applyFont="1">
      <alignment shrinkToFit="0" wrapText="0"/>
    </xf>
    <xf borderId="3" fillId="0" fontId="3" numFmtId="0" xfId="0" applyAlignment="1" applyBorder="1" applyFont="1">
      <alignment shrinkToFit="0" wrapText="0"/>
    </xf>
    <xf borderId="3" fillId="0" fontId="33" numFmtId="0" xfId="0" applyAlignment="1" applyBorder="1" applyFont="1">
      <alignment readingOrder="0" vertical="top"/>
    </xf>
    <xf borderId="3" fillId="0" fontId="31" numFmtId="0" xfId="0" applyAlignment="1" applyBorder="1" applyFont="1">
      <alignment readingOrder="0" shrinkToFit="0" vertical="top" wrapText="1"/>
    </xf>
    <xf borderId="3" fillId="0" fontId="34" numFmtId="0" xfId="0" applyAlignment="1" applyBorder="1" applyFont="1">
      <alignment vertical="top"/>
    </xf>
    <xf borderId="3" fillId="0" fontId="99" numFmtId="0" xfId="0" applyAlignment="1" applyBorder="1" applyFont="1">
      <alignment vertical="top"/>
    </xf>
    <xf borderId="3" fillId="0" fontId="33" numFmtId="0" xfId="0" applyAlignment="1" applyBorder="1" applyFont="1">
      <alignment vertical="top"/>
    </xf>
    <xf borderId="3" fillId="5" fontId="31" numFmtId="0" xfId="0" applyAlignment="1" applyBorder="1" applyFont="1">
      <alignment readingOrder="0" shrinkToFit="0" vertical="top" wrapText="1"/>
    </xf>
    <xf borderId="3" fillId="0" fontId="31" numFmtId="0" xfId="0" applyAlignment="1" applyBorder="1" applyFont="1">
      <alignment horizontal="center" shrinkToFit="0" vertical="top" wrapText="1"/>
    </xf>
    <xf borderId="3" fillId="0" fontId="35" numFmtId="0" xfId="0" applyAlignment="1" applyBorder="1" applyFont="1">
      <alignment shrinkToFit="0" vertical="top" wrapText="1"/>
    </xf>
    <xf borderId="3" fillId="0" fontId="36" numFmtId="0" xfId="0" applyAlignment="1" applyBorder="1" applyFont="1">
      <alignment shrinkToFit="0" vertical="bottom" wrapText="1"/>
    </xf>
    <xf borderId="3" fillId="0" fontId="34" numFmtId="0" xfId="0" applyAlignment="1" applyBorder="1" applyFont="1">
      <alignment shrinkToFit="0" vertical="top" wrapText="0"/>
    </xf>
    <xf borderId="3" fillId="0" fontId="33" numFmtId="0" xfId="0" applyAlignment="1" applyBorder="1" applyFont="1">
      <alignment vertical="top"/>
    </xf>
    <xf borderId="3" fillId="0" fontId="32" numFmtId="0" xfId="0" applyAlignment="1" applyBorder="1" applyFont="1">
      <alignment shrinkToFit="0" vertical="top" wrapText="1"/>
    </xf>
    <xf borderId="3" fillId="3" fontId="31" numFmtId="0" xfId="0" applyAlignment="1" applyBorder="1" applyFont="1">
      <alignment readingOrder="0" shrinkToFit="0" vertical="top" wrapText="1"/>
    </xf>
    <xf borderId="3" fillId="3" fontId="94" numFmtId="0" xfId="0" applyAlignment="1" applyBorder="1" applyFont="1">
      <alignment shrinkToFit="0" vertical="top" wrapText="1"/>
    </xf>
    <xf borderId="3" fillId="3" fontId="31" numFmtId="0" xfId="0" applyAlignment="1" applyBorder="1" applyFont="1">
      <alignment horizontal="center" shrinkToFit="0" vertical="top" wrapText="1"/>
    </xf>
    <xf borderId="3" fillId="3" fontId="33" numFmtId="0" xfId="0" applyAlignment="1" applyBorder="1" applyFont="1">
      <alignment vertical="top"/>
    </xf>
    <xf borderId="3" fillId="3" fontId="31" numFmtId="0" xfId="0" applyAlignment="1" applyBorder="1" applyFont="1">
      <alignment vertical="top"/>
    </xf>
    <xf borderId="3" fillId="3" fontId="33" numFmtId="0" xfId="0" applyAlignment="1" applyBorder="1" applyFont="1">
      <alignment vertical="top"/>
    </xf>
    <xf borderId="3" fillId="0" fontId="81" numFmtId="0" xfId="0" applyBorder="1" applyFont="1"/>
    <xf borderId="3" fillId="0" fontId="100" numFmtId="0" xfId="0" applyBorder="1" applyFont="1"/>
    <xf borderId="0" fillId="0" fontId="47" numFmtId="0" xfId="0" applyAlignment="1" applyFont="1">
      <alignment readingOrder="0"/>
    </xf>
    <xf borderId="0" fillId="0" fontId="47" numFmtId="0" xfId="0" applyFont="1"/>
    <xf borderId="0" fillId="0" fontId="29" numFmtId="0" xfId="0" applyAlignment="1" applyFont="1">
      <alignment horizontal="left" readingOrder="0" shrinkToFit="0" wrapText="0"/>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29" numFmtId="0" xfId="0" applyAlignment="1" applyFont="1">
      <alignment horizontal="center" readingOrder="0" shrinkToFit="0" wrapText="1"/>
    </xf>
    <xf borderId="0" fillId="0" fontId="29" numFmtId="0" xfId="0" applyAlignment="1" applyFont="1">
      <alignment horizontal="center" readingOrder="0"/>
    </xf>
    <xf borderId="0" fillId="5" fontId="2" numFmtId="0" xfId="0" applyAlignment="1" applyFont="1">
      <alignment readingOrder="0"/>
    </xf>
    <xf borderId="0" fillId="0" fontId="2" numFmtId="0" xfId="0" applyAlignment="1" applyFont="1">
      <alignment readingOrder="0" vertical="bottom"/>
    </xf>
    <xf borderId="0" fillId="0" fontId="2" numFmtId="0" xfId="0" applyAlignment="1" applyFont="1">
      <alignment vertical="bottom"/>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vertical="bottom" wrapText="1"/>
    </xf>
    <xf borderId="0" fillId="0" fontId="25" numFmtId="0" xfId="0" applyAlignment="1" applyFont="1">
      <alignment readingOrder="0" shrinkToFit="0" vertical="top" wrapText="1"/>
    </xf>
    <xf borderId="0" fillId="5" fontId="49" numFmtId="0" xfId="0" applyAlignment="1" applyFont="1">
      <alignment readingOrder="0" shrinkToFit="0" wrapText="1"/>
    </xf>
    <xf borderId="0" fillId="5" fontId="0" numFmtId="0" xfId="0" applyAlignment="1" applyFont="1">
      <alignment horizontal="left" readingOrder="0"/>
    </xf>
    <xf borderId="0" fillId="5" fontId="46" numFmtId="0" xfId="0" applyAlignment="1" applyFont="1">
      <alignment readingOrder="0"/>
    </xf>
    <xf borderId="0" fillId="0" fontId="25" numFmtId="0" xfId="0" applyAlignment="1" applyFont="1">
      <alignment shrinkToFit="0" wrapText="1"/>
    </xf>
    <xf borderId="0" fillId="0" fontId="25" numFmtId="0" xfId="0" applyAlignment="1" applyFont="1">
      <alignment shrinkToFit="0" vertical="top" wrapText="1"/>
    </xf>
    <xf borderId="0" fillId="0" fontId="101" numFmtId="0" xfId="0" applyAlignment="1" applyFont="1">
      <alignment readingOrder="0" shrinkToFit="0" wrapText="1"/>
    </xf>
    <xf borderId="0" fillId="0" fontId="25" numFmtId="0" xfId="0" applyAlignment="1" applyFont="1">
      <alignment readingOrder="0" shrinkToFit="0" wrapText="1"/>
    </xf>
    <xf borderId="0" fillId="0" fontId="102" numFmtId="0" xfId="0" applyAlignment="1" applyFont="1">
      <alignment readingOrder="0" shrinkToFit="0" wrapText="1"/>
    </xf>
    <xf borderId="0" fillId="5" fontId="46" numFmtId="0" xfId="0" applyAlignment="1" applyFont="1">
      <alignment readingOrder="0" shrinkToFit="0" vertical="top" wrapText="1"/>
    </xf>
    <xf borderId="0" fillId="0" fontId="103" numFmtId="0" xfId="0" applyAlignment="1" applyFont="1">
      <alignment horizontal="left" readingOrder="0"/>
    </xf>
    <xf borderId="0" fillId="0" fontId="104" numFmtId="0" xfId="0" applyAlignment="1" applyFont="1">
      <alignment readingOrder="0" shrinkToFit="0" vertical="top" wrapText="1"/>
    </xf>
    <xf borderId="0" fillId="0" fontId="50" numFmtId="0" xfId="0" applyAlignment="1" applyFont="1">
      <alignment readingOrder="0" shrinkToFit="0" wrapText="1"/>
    </xf>
    <xf borderId="0" fillId="5" fontId="50" numFmtId="0" xfId="0" applyAlignment="1" applyFont="1">
      <alignment readingOrder="0" shrinkToFit="0" wrapText="1"/>
    </xf>
    <xf borderId="0" fillId="0" fontId="25" numFmtId="0" xfId="0" applyAlignment="1" applyFont="1">
      <alignment readingOrder="0"/>
    </xf>
    <xf borderId="0" fillId="5" fontId="46" numFmtId="0" xfId="0" applyAlignment="1" applyFont="1">
      <alignment readingOrder="0" shrinkToFit="0" wrapText="0"/>
    </xf>
    <xf borderId="0" fillId="0" fontId="25" numFmtId="0" xfId="0" applyAlignment="1" applyFont="1">
      <alignment shrinkToFit="0" wrapText="0"/>
    </xf>
    <xf borderId="0" fillId="0" fontId="105" numFmtId="0" xfId="0" applyAlignment="1" applyFont="1">
      <alignment readingOrder="0" shrinkToFit="0" vertical="top" wrapText="0"/>
    </xf>
    <xf borderId="0" fillId="0" fontId="27" numFmtId="0" xfId="0" applyAlignment="1" applyFont="1">
      <alignment readingOrder="0" shrinkToFit="0" wrapText="1"/>
    </xf>
    <xf borderId="0" fillId="0" fontId="27" numFmtId="0" xfId="0" applyAlignment="1" applyFont="1">
      <alignment shrinkToFit="0" wrapText="1"/>
    </xf>
    <xf borderId="0" fillId="0" fontId="106" numFmtId="0" xfId="0" applyAlignment="1" applyFont="1">
      <alignment horizontal="left" readingOrder="0" shrinkToFit="0" wrapText="1"/>
    </xf>
    <xf borderId="0" fillId="5" fontId="0" numFmtId="0" xfId="0" applyAlignment="1" applyFont="1">
      <alignment horizontal="left" readingOrder="0" shrinkToFit="0" vertical="top" wrapText="1"/>
    </xf>
    <xf borderId="0" fillId="0" fontId="107" numFmtId="0" xfId="0" applyAlignment="1" applyFont="1">
      <alignment readingOrder="0"/>
    </xf>
    <xf borderId="0" fillId="0" fontId="32" numFmtId="0" xfId="0" applyAlignment="1" applyFont="1">
      <alignment readingOrder="0"/>
    </xf>
    <xf borderId="0" fillId="0" fontId="32" numFmtId="0" xfId="0" applyFont="1"/>
    <xf borderId="0" fillId="5" fontId="40" numFmtId="0" xfId="0" applyAlignment="1" applyFont="1">
      <alignment horizontal="left" readingOrder="0" vertical="top"/>
    </xf>
    <xf borderId="0" fillId="5" fontId="0" numFmtId="0" xfId="0" applyAlignment="1" applyFont="1">
      <alignment horizontal="left" readingOrder="0" vertical="top"/>
    </xf>
    <xf borderId="0" fillId="0" fontId="108" numFmtId="0" xfId="0" applyAlignment="1" applyFont="1">
      <alignment horizontal="left" readingOrder="0" shrinkToFit="0" vertical="top" wrapText="1"/>
    </xf>
    <xf borderId="0" fillId="0" fontId="32" numFmtId="0" xfId="0" applyAlignment="1" applyFont="1">
      <alignment horizontal="left" readingOrder="0" shrinkToFit="0" vertical="top" wrapText="1"/>
    </xf>
    <xf borderId="0" fillId="0" fontId="32" numFmtId="0" xfId="0" applyAlignment="1" applyFont="1">
      <alignment horizontal="left" vertical="top"/>
    </xf>
    <xf borderId="0" fillId="0" fontId="109" numFmtId="0" xfId="0" applyFont="1"/>
    <xf borderId="0" fillId="0" fontId="43" numFmtId="0" xfId="0" applyAlignment="1" applyFont="1">
      <alignment readingOrder="0"/>
    </xf>
    <xf borderId="0" fillId="0" fontId="43" numFmtId="0" xfId="0" applyFont="1"/>
    <xf borderId="0" fillId="0" fontId="110" numFmtId="0" xfId="0" applyAlignment="1" applyFont="1">
      <alignment readingOrder="0" shrinkToFit="0" vertical="top" wrapText="1"/>
    </xf>
    <xf borderId="0" fillId="0" fontId="110" numFmtId="0" xfId="0" applyAlignment="1" applyFont="1">
      <alignment shrinkToFit="0" vertical="top" wrapText="1"/>
    </xf>
    <xf borderId="0" fillId="0" fontId="25" numFmtId="0" xfId="0" applyAlignment="1" applyFont="1">
      <alignment readingOrder="0" vertical="top"/>
    </xf>
    <xf borderId="0" fillId="0" fontId="111" numFmtId="0" xfId="0" applyAlignment="1" applyFont="1">
      <alignment readingOrder="0" shrinkToFit="0" vertical="top" wrapText="1"/>
    </xf>
    <xf borderId="0" fillId="0" fontId="112" numFmtId="0" xfId="0" applyAlignment="1" applyFont="1">
      <alignment readingOrder="0" shrinkToFit="0" vertical="top" wrapText="1"/>
    </xf>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8F2EB"/>
          <bgColor rgb="FFF8F2EB"/>
        </patternFill>
      </fill>
      <border/>
    </dxf>
    <dxf>
      <font/>
      <fill>
        <patternFill patternType="solid">
          <fgColor rgb="FFB7E1CD"/>
          <bgColor rgb="FFB7E1CD"/>
        </patternFill>
      </fill>
      <border/>
    </dxf>
  </dxfs>
  <tableStyles count="2">
    <tableStyle count="2" pivot="0" name="ALL ONGOING-style">
      <tableStyleElement dxfId="1" type="firstRowStripe"/>
      <tableStyleElement dxfId="2" type="secondRowStripe"/>
    </tableStyle>
    <tableStyle count="2" pivot="0" name="ALL ONGOING-style 2">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2" Type="http://schemas.openxmlformats.org/officeDocument/2006/relationships/worksheet" Target="worksheets/sheet49.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270:K291" displayName="Table_1" name="Table_1" id="1">
  <tableColumns count="1">
    <tableColumn name="Column1" id="1"/>
  </tableColumns>
  <tableStyleInfo name="ALL ONGOING-style" showColumnStripes="0" showFirstColumn="1" showLastColumn="1" showRowStripes="1"/>
</table>
</file>

<file path=xl/tables/table2.xml><?xml version="1.0" encoding="utf-8"?>
<table xmlns="http://schemas.openxmlformats.org/spreadsheetml/2006/main" headerRowCount="0" ref="M270:M291" displayName="Table_2" name="Table_2" id="2">
  <tableColumns count="1">
    <tableColumn name="Column1" id="1"/>
  </tableColumns>
  <tableStyleInfo name="ALL ONGOING-style 2" showColumnStripes="0" showFirstColumn="1" showLastColumn="1" showRowStripes="1"/>
</table>
</file>

<file path=xl/worksheets/_rels/sheet1.xml.rels><?xml version="1.0" encoding="UTF-8" standalone="yes"?><Relationships xmlns="http://schemas.openxmlformats.org/package/2006/relationships"><Relationship Id="rId40" Type="http://schemas.openxmlformats.org/officeDocument/2006/relationships/hyperlink" Target="mailto:sebagnabu@yahoo.com" TargetMode="External"/><Relationship Id="rId84" Type="http://schemas.openxmlformats.org/officeDocument/2006/relationships/drawing" Target="../drawings/drawing1.xml"/><Relationship Id="rId83" Type="http://schemas.openxmlformats.org/officeDocument/2006/relationships/hyperlink" Target="mailto:a_nieguitsila@univ-masuku.ga" TargetMode="External"/><Relationship Id="rId42" Type="http://schemas.openxmlformats.org/officeDocument/2006/relationships/hyperlink" Target="mailto:dammylee@yahoo.com" TargetMode="External"/><Relationship Id="rId41" Type="http://schemas.openxmlformats.org/officeDocument/2006/relationships/hyperlink" Target="mailto:nic_dewet@yahoo.com" TargetMode="External"/><Relationship Id="rId44" Type="http://schemas.openxmlformats.org/officeDocument/2006/relationships/hyperlink" Target="http://www.whpress.co.uk/EH/EH2216.html." TargetMode="External"/><Relationship Id="rId88" Type="http://schemas.openxmlformats.org/officeDocument/2006/relationships/table" Target="../tables/table2.xml"/><Relationship Id="rId43" Type="http://schemas.openxmlformats.org/officeDocument/2006/relationships/hyperlink" Target="mailto:reneegerring@yahoo.com" TargetMode="External"/><Relationship Id="rId87" Type="http://schemas.openxmlformats.org/officeDocument/2006/relationships/table" Target="../tables/table1.xml"/><Relationship Id="rId46" Type="http://schemas.openxmlformats.org/officeDocument/2006/relationships/hyperlink" Target="mailto:snkumbaan@gmail.com" TargetMode="External"/><Relationship Id="rId45" Type="http://schemas.openxmlformats.org/officeDocument/2006/relationships/hyperlink" Target="https://doi.org/10.1177/0047117820948587" TargetMode="External"/><Relationship Id="rId80" Type="http://schemas.openxmlformats.org/officeDocument/2006/relationships/hyperlink" Target="mailto:yikunnoamlak@gmail.com" TargetMode="External"/><Relationship Id="rId82" Type="http://schemas.openxmlformats.org/officeDocument/2006/relationships/hyperlink" Target="mailto:adojacquie@gmail.com" TargetMode="External"/><Relationship Id="rId81" Type="http://schemas.openxmlformats.org/officeDocument/2006/relationships/hyperlink" Target="mailto:girumerenso@gmail.com" TargetMode="External"/><Relationship Id="rId1" Type="http://schemas.openxmlformats.org/officeDocument/2006/relationships/hyperlink" Target="mailto:AmtaikaA@ufs.ac.za" TargetMode="External"/><Relationship Id="rId2" Type="http://schemas.openxmlformats.org/officeDocument/2006/relationships/hyperlink" Target="mailto:kaadupong2002@yahoo.co.uk" TargetMode="External"/><Relationship Id="rId3" Type="http://schemas.openxmlformats.org/officeDocument/2006/relationships/hyperlink" Target="mailto:mndortey@ug.edu.gh" TargetMode="External"/><Relationship Id="rId4" Type="http://schemas.openxmlformats.org/officeDocument/2006/relationships/hyperlink" Target="mailto:matjids@unisa.ac.za" TargetMode="External"/><Relationship Id="rId9" Type="http://schemas.openxmlformats.org/officeDocument/2006/relationships/hyperlink" Target="mailto:asn12002@yahoo.com" TargetMode="External"/><Relationship Id="rId48" Type="http://schemas.openxmlformats.org/officeDocument/2006/relationships/hyperlink" Target="mailto:ooafriyie@gmail.com" TargetMode="External"/><Relationship Id="rId47" Type="http://schemas.openxmlformats.org/officeDocument/2006/relationships/hyperlink" Target="mailto:nonyaniso.nkutu@gmail.com" TargetMode="External"/><Relationship Id="rId49" Type="http://schemas.openxmlformats.org/officeDocument/2006/relationships/hyperlink" Target="mailto:tjeni.nigel@gmail.com" TargetMode="External"/><Relationship Id="rId5" Type="http://schemas.openxmlformats.org/officeDocument/2006/relationships/hyperlink" Target="mailto:stephensjudith@yahoo.com" TargetMode="External"/><Relationship Id="rId6" Type="http://schemas.openxmlformats.org/officeDocument/2006/relationships/hyperlink" Target="mailto:mitchellc@ukzn.ac.za" TargetMode="External"/><Relationship Id="rId7" Type="http://schemas.openxmlformats.org/officeDocument/2006/relationships/hyperlink" Target="mailto:leahzbndanga@yahoo.com" TargetMode="External"/><Relationship Id="rId8" Type="http://schemas.openxmlformats.org/officeDocument/2006/relationships/hyperlink" Target="mailto:oguttaw@unisa.ac.za" TargetMode="External"/><Relationship Id="rId73" Type="http://schemas.openxmlformats.org/officeDocument/2006/relationships/hyperlink" Target="mailto:vmdzomeku@gmail.com" TargetMode="External"/><Relationship Id="rId72" Type="http://schemas.openxmlformats.org/officeDocument/2006/relationships/hyperlink" Target="mailto:donzokalilu246@gmail.com" TargetMode="External"/><Relationship Id="rId31" Type="http://schemas.openxmlformats.org/officeDocument/2006/relationships/hyperlink" Target="mailto:muhoozicc@gmail.com" TargetMode="External"/><Relationship Id="rId75" Type="http://schemas.openxmlformats.org/officeDocument/2006/relationships/hyperlink" Target="mailto:dmestewat@yahoo.com" TargetMode="External"/><Relationship Id="rId30" Type="http://schemas.openxmlformats.org/officeDocument/2006/relationships/hyperlink" Target="mailto:aymensah.pharm@knust.edu.gh" TargetMode="External"/><Relationship Id="rId74" Type="http://schemas.openxmlformats.org/officeDocument/2006/relationships/hyperlink" Target="mailto:pkhanakwa@gmail.com" TargetMode="External"/><Relationship Id="rId33" Type="http://schemas.openxmlformats.org/officeDocument/2006/relationships/hyperlink" Target="mailto:veboamah.pharm@KNUST.edu.gh" TargetMode="External"/><Relationship Id="rId77" Type="http://schemas.openxmlformats.org/officeDocument/2006/relationships/hyperlink" Target="mailto:melessewnigussie@yahoo.com" TargetMode="External"/><Relationship Id="rId32" Type="http://schemas.openxmlformats.org/officeDocument/2006/relationships/hyperlink" Target="mailto:aanippae@yahoo.com" TargetMode="External"/><Relationship Id="rId76" Type="http://schemas.openxmlformats.org/officeDocument/2006/relationships/hyperlink" Target="mailto:ndlovupn@gmail.com" TargetMode="External"/><Relationship Id="rId35" Type="http://schemas.openxmlformats.org/officeDocument/2006/relationships/hyperlink" Target="mailto:emiliaudf@yahoo.com" TargetMode="External"/><Relationship Id="rId79" Type="http://schemas.openxmlformats.org/officeDocument/2006/relationships/hyperlink" Target="mailto:ztakle@umich.edu" TargetMode="External"/><Relationship Id="rId34" Type="http://schemas.openxmlformats.org/officeDocument/2006/relationships/hyperlink" Target="mailto:francisbmf@gmail.com" TargetMode="External"/><Relationship Id="rId78" Type="http://schemas.openxmlformats.org/officeDocument/2006/relationships/hyperlink" Target="mailto:kemi.rotimi@covenantuniversity.edu.ng" TargetMode="External"/><Relationship Id="rId71" Type="http://schemas.openxmlformats.org/officeDocument/2006/relationships/hyperlink" Target="mailto:odurbenard@yahoo.com" TargetMode="External"/><Relationship Id="rId70" Type="http://schemas.openxmlformats.org/officeDocument/2006/relationships/hyperlink" Target="mailto:debe430@yahoo.com" TargetMode="External"/><Relationship Id="rId37" Type="http://schemas.openxmlformats.org/officeDocument/2006/relationships/hyperlink" Target="mailto:sekibakiba.lekgoathi@wits.ac.za" TargetMode="External"/><Relationship Id="rId36" Type="http://schemas.openxmlformats.org/officeDocument/2006/relationships/hyperlink" Target="mailto:akosboak@yahoo.com" TargetMode="External"/><Relationship Id="rId39" Type="http://schemas.openxmlformats.org/officeDocument/2006/relationships/hyperlink" Target="mailto:melboakyegyasi@gmail.com" TargetMode="External"/><Relationship Id="rId38" Type="http://schemas.openxmlformats.org/officeDocument/2006/relationships/hyperlink" Target="mailto:wolobah@yahoo.com" TargetMode="External"/><Relationship Id="rId62" Type="http://schemas.openxmlformats.org/officeDocument/2006/relationships/hyperlink" Target="mailto:krisobiri@yahoo.com" TargetMode="External"/><Relationship Id="rId61" Type="http://schemas.openxmlformats.org/officeDocument/2006/relationships/hyperlink" Target="mailto:enansubuga@gmail.com" TargetMode="External"/><Relationship Id="rId20" Type="http://schemas.openxmlformats.org/officeDocument/2006/relationships/hyperlink" Target="mailto:spmaithufi54@gmail.com" TargetMode="External"/><Relationship Id="rId64" Type="http://schemas.openxmlformats.org/officeDocument/2006/relationships/hyperlink" Target="mailto:nross@uwc.ac.za" TargetMode="External"/><Relationship Id="rId63" Type="http://schemas.openxmlformats.org/officeDocument/2006/relationships/hyperlink" Target="mailto:lauryocen70@gmail.com" TargetMode="External"/><Relationship Id="rId22" Type="http://schemas.openxmlformats.org/officeDocument/2006/relationships/hyperlink" Target="mailto:Cynthia.phiri@univen.ac.za" TargetMode="External"/><Relationship Id="rId66" Type="http://schemas.openxmlformats.org/officeDocument/2006/relationships/hyperlink" Target="mailto:leon_tsambu@yahoo.com" TargetMode="External"/><Relationship Id="rId21" Type="http://schemas.openxmlformats.org/officeDocument/2006/relationships/hyperlink" Target="mailto:litheko.modisane@uct.ac.za" TargetMode="External"/><Relationship Id="rId65" Type="http://schemas.openxmlformats.org/officeDocument/2006/relationships/hyperlink" Target="mailto:jtagoudjeu@gmail.com" TargetMode="External"/><Relationship Id="rId24" Type="http://schemas.openxmlformats.org/officeDocument/2006/relationships/hyperlink" Target="mailto:sayndeetd@yahoo.com" TargetMode="External"/><Relationship Id="rId68" Type="http://schemas.openxmlformats.org/officeDocument/2006/relationships/hyperlink" Target="mailto:fitsum.assamnew@aait.edu.et" TargetMode="External"/><Relationship Id="rId23" Type="http://schemas.openxmlformats.org/officeDocument/2006/relationships/hyperlink" Target="mailto:Ad2gh@yahoo.com" TargetMode="External"/><Relationship Id="rId67" Type="http://schemas.openxmlformats.org/officeDocument/2006/relationships/hyperlink" Target="mailto:johnulumara@yahoo.com" TargetMode="External"/><Relationship Id="rId60" Type="http://schemas.openxmlformats.org/officeDocument/2006/relationships/hyperlink" Target="mailto:miyingo@yahoo.com" TargetMode="External"/><Relationship Id="rId26" Type="http://schemas.openxmlformats.org/officeDocument/2006/relationships/hyperlink" Target="mailto:davidlwiles@yahoo.com" TargetMode="External"/><Relationship Id="rId25" Type="http://schemas.openxmlformats.org/officeDocument/2006/relationships/hyperlink" Target="mailto:asiimwe@ss.mak.ac.ug" TargetMode="External"/><Relationship Id="rId69" Type="http://schemas.openxmlformats.org/officeDocument/2006/relationships/hyperlink" Target="mailto:werald@gmail.com" TargetMode="External"/><Relationship Id="rId28" Type="http://schemas.openxmlformats.org/officeDocument/2006/relationships/hyperlink" Target="mailto:morrisken2007@yahoo.com" TargetMode="External"/><Relationship Id="rId27" Type="http://schemas.openxmlformats.org/officeDocument/2006/relationships/hyperlink" Target="mailto:yakfiagbe.soe@knust.edu.gh" TargetMode="External"/><Relationship Id="rId29" Type="http://schemas.openxmlformats.org/officeDocument/2006/relationships/hyperlink" Target="mailto:gkushiator1@gmail.com" TargetMode="External"/><Relationship Id="rId51" Type="http://schemas.openxmlformats.org/officeDocument/2006/relationships/hyperlink" Target="mailto:miresemeneh@gmail.com" TargetMode="External"/><Relationship Id="rId50" Type="http://schemas.openxmlformats.org/officeDocument/2006/relationships/hyperlink" Target="mailto:iticha@yahoo.com" TargetMode="External"/><Relationship Id="rId53" Type="http://schemas.openxmlformats.org/officeDocument/2006/relationships/hyperlink" Target="mailto:vangile.bingma@gmail.com" TargetMode="External"/><Relationship Id="rId52" Type="http://schemas.openxmlformats.org/officeDocument/2006/relationships/hyperlink" Target="mailto:sisay.addisu@aau.edu.et" TargetMode="External"/><Relationship Id="rId11" Type="http://schemas.openxmlformats.org/officeDocument/2006/relationships/hyperlink" Target="mailto:ggnyante@chs.edu.gh" TargetMode="External"/><Relationship Id="rId55" Type="http://schemas.openxmlformats.org/officeDocument/2006/relationships/hyperlink" Target="mailto:akyessuman@yahoo.com" TargetMode="External"/><Relationship Id="rId10" Type="http://schemas.openxmlformats.org/officeDocument/2006/relationships/hyperlink" Target="mailto:tamsynbernath@hotmail.com" TargetMode="External"/><Relationship Id="rId54" Type="http://schemas.openxmlformats.org/officeDocument/2006/relationships/hyperlink" Target="mailto:adey.desta@gmail.com" TargetMode="External"/><Relationship Id="rId13" Type="http://schemas.openxmlformats.org/officeDocument/2006/relationships/hyperlink" Target="mailto:madellc@cput.ac.za" TargetMode="External"/><Relationship Id="rId57" Type="http://schemas.openxmlformats.org/officeDocument/2006/relationships/hyperlink" Target="mailto:endalehadgu@yahoo.com" TargetMode="External"/><Relationship Id="rId12" Type="http://schemas.openxmlformats.org/officeDocument/2006/relationships/hyperlink" Target="mailto:ofaking1@gmail.com" TargetMode="External"/><Relationship Id="rId56" Type="http://schemas.openxmlformats.org/officeDocument/2006/relationships/hyperlink" Target="mailto:yfessha@gmail.com" TargetMode="External"/><Relationship Id="rId15" Type="http://schemas.openxmlformats.org/officeDocument/2006/relationships/hyperlink" Target="mailto:jonathanzinzi@yahoo.com" TargetMode="External"/><Relationship Id="rId59" Type="http://schemas.openxmlformats.org/officeDocument/2006/relationships/hyperlink" Target="mailto:miafoueli@yahoo.com" TargetMode="External"/><Relationship Id="rId14" Type="http://schemas.openxmlformats.org/officeDocument/2006/relationships/hyperlink" Target="mailto:mathakga.botha@wits.ac.za" TargetMode="External"/><Relationship Id="rId58" Type="http://schemas.openxmlformats.org/officeDocument/2006/relationships/hyperlink" Target="mailto:joyonoria@gmail.com" TargetMode="External"/><Relationship Id="rId17" Type="http://schemas.openxmlformats.org/officeDocument/2006/relationships/hyperlink" Target="mailto:Smosiojubwe27@Yahoo.com" TargetMode="External"/><Relationship Id="rId16" Type="http://schemas.openxmlformats.org/officeDocument/2006/relationships/hyperlink" Target="mailto:j.chisaka@ru.ac.za" TargetMode="External"/><Relationship Id="rId19" Type="http://schemas.openxmlformats.org/officeDocument/2006/relationships/hyperlink" Target="mailto:ingrid.sange@gmail.com" TargetMode="External"/><Relationship Id="rId18" Type="http://schemas.openxmlformats.org/officeDocument/2006/relationships/hyperlink" Target="mailto:alpinjoyken@yahoo.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mailto:kaadupong2002@yahoo.co.uk" TargetMode="External"/><Relationship Id="rId2" Type="http://schemas.openxmlformats.org/officeDocument/2006/relationships/hyperlink" Target="mailto:mndortey@ug.edu.gh" TargetMode="External"/><Relationship Id="rId3" Type="http://schemas.openxmlformats.org/officeDocument/2006/relationships/hyperlink" Target="mailto:stephensjudith@yahoo.com" TargetMode="External"/><Relationship Id="rId4" Type="http://schemas.openxmlformats.org/officeDocument/2006/relationships/hyperlink" Target="mailto:ggnyante@chs.edu.gh" TargetMode="External"/><Relationship Id="rId9" Type="http://schemas.openxmlformats.org/officeDocument/2006/relationships/hyperlink" Target="mailto:asn12002@yahoo.com" TargetMode="External"/><Relationship Id="rId5" Type="http://schemas.openxmlformats.org/officeDocument/2006/relationships/hyperlink" Target="mailto:emiliaudf@yahoo.com" TargetMode="External"/><Relationship Id="rId6" Type="http://schemas.openxmlformats.org/officeDocument/2006/relationships/hyperlink" Target="mailto:jkboat2009@gmail.com" TargetMode="External"/><Relationship Id="rId7" Type="http://schemas.openxmlformats.org/officeDocument/2006/relationships/hyperlink" Target="mailto:snnkumbaan@gmail.com" TargetMode="External"/><Relationship Id="rId8" Type="http://schemas.openxmlformats.org/officeDocument/2006/relationships/hyperlink" Target="mailto:akyessuman@yahoo.com" TargetMode="External"/><Relationship Id="rId31" Type="http://schemas.openxmlformats.org/officeDocument/2006/relationships/hyperlink" Target="mailto:sebagnabu@yahoo.com" TargetMode="External"/><Relationship Id="rId30" Type="http://schemas.openxmlformats.org/officeDocument/2006/relationships/hyperlink" Target="mailto:senyoadzei@gmail.com" TargetMode="External"/><Relationship Id="rId33" Type="http://schemas.openxmlformats.org/officeDocument/2006/relationships/drawing" Target="../drawings/drawing9.xml"/><Relationship Id="rId32" Type="http://schemas.openxmlformats.org/officeDocument/2006/relationships/hyperlink" Target="mailto:ooafriyie@gmail.com" TargetMode="External"/><Relationship Id="rId20" Type="http://schemas.openxmlformats.org/officeDocument/2006/relationships/hyperlink" Target="mailto:fraitp@yahoo.com" TargetMode="External"/><Relationship Id="rId22" Type="http://schemas.openxmlformats.org/officeDocument/2006/relationships/hyperlink" Target="mailto:mbadu0@gmail.com" TargetMode="External"/><Relationship Id="rId21" Type="http://schemas.openxmlformats.org/officeDocument/2006/relationships/hyperlink" Target="mailto:veboamah.pharm@KNUST.edu.gh" TargetMode="External"/><Relationship Id="rId24" Type="http://schemas.openxmlformats.org/officeDocument/2006/relationships/hyperlink" Target="mailto:melboakyegyasi@gmail.com" TargetMode="External"/><Relationship Id="rId23" Type="http://schemas.openxmlformats.org/officeDocument/2006/relationships/hyperlink" Target="mailto:akosboak@yahoo.com" TargetMode="External"/><Relationship Id="rId26" Type="http://schemas.openxmlformats.org/officeDocument/2006/relationships/hyperlink" Target="mailto:krisobiri@yahoo.com" TargetMode="External"/><Relationship Id="rId25" Type="http://schemas.openxmlformats.org/officeDocument/2006/relationships/hyperlink" Target="mailto:dammylee@yahoo.com" TargetMode="External"/><Relationship Id="rId28" Type="http://schemas.openxmlformats.org/officeDocument/2006/relationships/hyperlink" Target="mailto:vmdzomeku@gmail.com" TargetMode="External"/><Relationship Id="rId27" Type="http://schemas.openxmlformats.org/officeDocument/2006/relationships/hyperlink" Target="mailto:mantepk@yahoo.co.uk" TargetMode="External"/><Relationship Id="rId29" Type="http://schemas.openxmlformats.org/officeDocument/2006/relationships/hyperlink" Target="mailto:pcobbinah@csu.edu.au" TargetMode="External"/><Relationship Id="rId11" Type="http://schemas.openxmlformats.org/officeDocument/2006/relationships/hyperlink" Target="mailto:eekwaansaansah@yahoo.com" TargetMode="External"/><Relationship Id="rId10" Type="http://schemas.openxmlformats.org/officeDocument/2006/relationships/hyperlink" Target="mailto:ekadanquah@yahoo.com" TargetMode="External"/><Relationship Id="rId13" Type="http://schemas.openxmlformats.org/officeDocument/2006/relationships/hyperlink" Target="mailto:eramde@yahoo.fr" TargetMode="External"/><Relationship Id="rId12" Type="http://schemas.openxmlformats.org/officeDocument/2006/relationships/hyperlink" Target="mailto:ofaking1@yahoo.co.uk" TargetMode="External"/><Relationship Id="rId15" Type="http://schemas.openxmlformats.org/officeDocument/2006/relationships/hyperlink" Target="mailto:Pfeglo.sms@knust.edu.gh" TargetMode="External"/><Relationship Id="rId14" Type="http://schemas.openxmlformats.org/officeDocument/2006/relationships/hyperlink" Target="mailto:jonathanzinzi@yahoo.com" TargetMode="External"/><Relationship Id="rId17" Type="http://schemas.openxmlformats.org/officeDocument/2006/relationships/hyperlink" Target="mailto:yakfiagbe.soe@knust.edu.gh" TargetMode="External"/><Relationship Id="rId16" Type="http://schemas.openxmlformats.org/officeDocument/2006/relationships/hyperlink" Target="mailto:Ad2gh@yahoo.com" TargetMode="External"/><Relationship Id="rId19" Type="http://schemas.openxmlformats.org/officeDocument/2006/relationships/hyperlink" Target="mailto:aymensah.pharm@knust.edu.gh" TargetMode="External"/><Relationship Id="rId18" Type="http://schemas.openxmlformats.org/officeDocument/2006/relationships/hyperlink" Target="mailto:gkushiator1@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AmtaikaA@ufs.ac.za" TargetMode="External"/><Relationship Id="rId2" Type="http://schemas.openxmlformats.org/officeDocument/2006/relationships/hyperlink" Target="mailto:mitchellc@ukzn.ac.za" TargetMode="External"/><Relationship Id="rId3" Type="http://schemas.openxmlformats.org/officeDocument/2006/relationships/hyperlink" Target="mailto:matjids@unisa.ac.za" TargetMode="External"/><Relationship Id="rId4" Type="http://schemas.openxmlformats.org/officeDocument/2006/relationships/hyperlink" Target="mailto:annetoguttu@gmail.com" TargetMode="External"/><Relationship Id="rId9" Type="http://schemas.openxmlformats.org/officeDocument/2006/relationships/hyperlink" Target="mailto:j.chisaka@ru.ac.za" TargetMode="External"/><Relationship Id="rId5" Type="http://schemas.openxmlformats.org/officeDocument/2006/relationships/hyperlink" Target="mailto:leahzbndanga@yahoo.com" TargetMode="External"/><Relationship Id="rId6" Type="http://schemas.openxmlformats.org/officeDocument/2006/relationships/hyperlink" Target="mailto:mahunele.thotse@ul.ac.za" TargetMode="External"/><Relationship Id="rId7" Type="http://schemas.openxmlformats.org/officeDocument/2006/relationships/hyperlink" Target="mailto:tamsynbernath@hotmail.com" TargetMode="External"/><Relationship Id="rId8" Type="http://schemas.openxmlformats.org/officeDocument/2006/relationships/hyperlink" Target="mailto:mathakga.botha@wits.ac.za" TargetMode="External"/><Relationship Id="rId20" Type="http://schemas.openxmlformats.org/officeDocument/2006/relationships/hyperlink" Target="mailto:yfessha@gmail.com" TargetMode="External"/><Relationship Id="rId22" Type="http://schemas.openxmlformats.org/officeDocument/2006/relationships/drawing" Target="../drawings/drawing10.xml"/><Relationship Id="rId21" Type="http://schemas.openxmlformats.org/officeDocument/2006/relationships/hyperlink" Target="mailto:nross@uwc.ac.za" TargetMode="External"/><Relationship Id="rId11" Type="http://schemas.openxmlformats.org/officeDocument/2006/relationships/hyperlink" Target="mailto:Cynthia.phiri@univen.ac.za" TargetMode="External"/><Relationship Id="rId10" Type="http://schemas.openxmlformats.org/officeDocument/2006/relationships/hyperlink" Target="mailto:litheko.modisane@uct.ac.za" TargetMode="External"/><Relationship Id="rId13" Type="http://schemas.openxmlformats.org/officeDocument/2006/relationships/hyperlink" Target="mailto:Ruth.mapane@up.ac.za" TargetMode="External"/><Relationship Id="rId12" Type="http://schemas.openxmlformats.org/officeDocument/2006/relationships/hyperlink" Target="mailto:maiths@unisa.ac.za" TargetMode="External"/><Relationship Id="rId15" Type="http://schemas.openxmlformats.org/officeDocument/2006/relationships/hyperlink" Target="mailto:iticha@yahoo.com" TargetMode="External"/><Relationship Id="rId14" Type="http://schemas.openxmlformats.org/officeDocument/2006/relationships/hyperlink" Target="mailto:tjeni.nigel@gmail.com" TargetMode="External"/><Relationship Id="rId17" Type="http://schemas.openxmlformats.org/officeDocument/2006/relationships/hyperlink" Target="mailto:nic_dewet@yahoo.com" TargetMode="External"/><Relationship Id="rId16" Type="http://schemas.openxmlformats.org/officeDocument/2006/relationships/hyperlink" Target="mailto:nonyaniso.nkutu@gmail.com" TargetMode="External"/><Relationship Id="rId19" Type="http://schemas.openxmlformats.org/officeDocument/2006/relationships/hyperlink" Target="mailto:vangile.bingma@gmail.com" TargetMode="External"/><Relationship Id="rId18" Type="http://schemas.openxmlformats.org/officeDocument/2006/relationships/hyperlink" Target="mailto:musemwa@yahoo.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mailto:Smosiojubwe27@Yahoo.com" TargetMode="External"/><Relationship Id="rId2" Type="http://schemas.openxmlformats.org/officeDocument/2006/relationships/hyperlink" Target="mailto:alpinjoyken@yahoo.com" TargetMode="External"/><Relationship Id="rId3" Type="http://schemas.openxmlformats.org/officeDocument/2006/relationships/hyperlink" Target="mailto:sayndeetd@yahoo.com" TargetMode="External"/><Relationship Id="rId4" Type="http://schemas.openxmlformats.org/officeDocument/2006/relationships/hyperlink" Target="mailto:davidlwiles@yahoo.com" TargetMode="External"/><Relationship Id="rId9" Type="http://schemas.openxmlformats.org/officeDocument/2006/relationships/drawing" Target="../drawings/drawing11.xml"/><Relationship Id="rId5" Type="http://schemas.openxmlformats.org/officeDocument/2006/relationships/hyperlink" Target="mailto:morrisken2007@yahoo.com" TargetMode="External"/><Relationship Id="rId6" Type="http://schemas.openxmlformats.org/officeDocument/2006/relationships/hyperlink" Target="mailto:aanippae@yahoo.com" TargetMode="External"/><Relationship Id="rId7" Type="http://schemas.openxmlformats.org/officeDocument/2006/relationships/hyperlink" Target="mailto:wolobah@yahoo.com" TargetMode="External"/><Relationship Id="rId8" Type="http://schemas.openxmlformats.org/officeDocument/2006/relationships/hyperlink" Target="mailto:reneegerring@yahoo.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mailto:asiimwe@ss.mak.ac.ug" TargetMode="External"/><Relationship Id="rId2" Type="http://schemas.openxmlformats.org/officeDocument/2006/relationships/hyperlink" Target="mailto:francisbmf@gmail.com" TargetMode="External"/><Relationship Id="rId3" Type="http://schemas.openxmlformats.org/officeDocument/2006/relationships/hyperlink" Target="mailto:evenamala@gmail.com" TargetMode="External"/><Relationship Id="rId4" Type="http://schemas.openxmlformats.org/officeDocument/2006/relationships/hyperlink" Target="mailto:joyonoria@gmail.com" TargetMode="External"/><Relationship Id="rId9" Type="http://schemas.openxmlformats.org/officeDocument/2006/relationships/hyperlink" Target="mailto:pkhanakwa@gmail.com" TargetMode="External"/><Relationship Id="rId5" Type="http://schemas.openxmlformats.org/officeDocument/2006/relationships/hyperlink" Target="mailto:miyingo@yahoo.com" TargetMode="External"/><Relationship Id="rId6" Type="http://schemas.openxmlformats.org/officeDocument/2006/relationships/hyperlink" Target="mailto:enansubuga@gmail.com" TargetMode="External"/><Relationship Id="rId7" Type="http://schemas.openxmlformats.org/officeDocument/2006/relationships/hyperlink" Target="mailto:werald@gmail.com" TargetMode="External"/><Relationship Id="rId8" Type="http://schemas.openxmlformats.org/officeDocument/2006/relationships/hyperlink" Target="mailto:odurbenard@yahoo.com" TargetMode="External"/><Relationship Id="rId11" Type="http://schemas.openxmlformats.org/officeDocument/2006/relationships/hyperlink" Target="mailto:lauryocen70@gmail.com" TargetMode="External"/><Relationship Id="rId10" Type="http://schemas.openxmlformats.org/officeDocument/2006/relationships/hyperlink" Target="mailto:adojacquie@gmail.com" TargetMode="External"/><Relationship Id="rId13" Type="http://schemas.openxmlformats.org/officeDocument/2006/relationships/drawing" Target="../drawings/drawing12.xml"/><Relationship Id="rId12" Type="http://schemas.openxmlformats.org/officeDocument/2006/relationships/hyperlink" Target="mailto:ngabiranoe2002@yahoo.com"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miresemeneh@gmail.com" TargetMode="External"/><Relationship Id="rId2" Type="http://schemas.openxmlformats.org/officeDocument/2006/relationships/hyperlink" Target="mailto:sisay.addisu@aau.edu.et" TargetMode="External"/><Relationship Id="rId3" Type="http://schemas.openxmlformats.org/officeDocument/2006/relationships/hyperlink" Target="mailto:adey.desta@gmail.com" TargetMode="External"/><Relationship Id="rId4" Type="http://schemas.openxmlformats.org/officeDocument/2006/relationships/hyperlink" Target="mailto:endalehadgu@yahoo.com" TargetMode="External"/><Relationship Id="rId9" Type="http://schemas.openxmlformats.org/officeDocument/2006/relationships/hyperlink" Target="mailto:girumerenso@gmail.com" TargetMode="External"/><Relationship Id="rId5" Type="http://schemas.openxmlformats.org/officeDocument/2006/relationships/hyperlink" Target="mailto:fitsum.assamnew@aait.edu.et" TargetMode="External"/><Relationship Id="rId6" Type="http://schemas.openxmlformats.org/officeDocument/2006/relationships/hyperlink" Target="mailto:melessewnigussie@yahoo.com" TargetMode="External"/><Relationship Id="rId7" Type="http://schemas.openxmlformats.org/officeDocument/2006/relationships/hyperlink" Target="mailto:dmestewat@yahoo.com" TargetMode="External"/><Relationship Id="rId8" Type="http://schemas.openxmlformats.org/officeDocument/2006/relationships/hyperlink" Target="mailto:jima@sphmmc.edu.et" TargetMode="External"/><Relationship Id="rId10"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miafoueli@yahoo.com" TargetMode="External"/><Relationship Id="rId2" Type="http://schemas.openxmlformats.org/officeDocument/2006/relationships/hyperlink" Target="mailto:jtagoudjeu@gmail.com" TargetMode="External"/><Relationship Id="rId3" Type="http://schemas.openxmlformats.org/officeDocument/2006/relationships/hyperlink" Target="mailto:leon_tsambu@yahoo.com" TargetMode="External"/><Relationship Id="rId4" Type="http://schemas.openxmlformats.org/officeDocument/2006/relationships/hyperlink" Target="mailto:a_nieguitsila@univ-masuku.ga" TargetMode="External"/><Relationship Id="rId5" Type="http://schemas.openxmlformats.org/officeDocument/2006/relationships/hyperlink" Target="mailto:johnulumara@yahoo.com" TargetMode="External"/><Relationship Id="rId6"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40" Type="http://schemas.openxmlformats.org/officeDocument/2006/relationships/hyperlink" Target="mailto:melboakyegyasi@gmail.com" TargetMode="External"/><Relationship Id="rId42" Type="http://schemas.openxmlformats.org/officeDocument/2006/relationships/hyperlink" Target="mailto:sebagnabu@yahoo.com" TargetMode="External"/><Relationship Id="rId41" Type="http://schemas.openxmlformats.org/officeDocument/2006/relationships/hyperlink" Target="mailto:dammylee@yahoo.com" TargetMode="External"/><Relationship Id="rId44" Type="http://schemas.openxmlformats.org/officeDocument/2006/relationships/hyperlink" Target="mailto:tjeni.nigel@gmail.com" TargetMode="External"/><Relationship Id="rId43" Type="http://schemas.openxmlformats.org/officeDocument/2006/relationships/hyperlink" Target="mailto:ooafriyie@gmail.com" TargetMode="External"/><Relationship Id="rId46" Type="http://schemas.openxmlformats.org/officeDocument/2006/relationships/hyperlink" Target="mailto:nonyaniso.nkutu@gmail.com" TargetMode="External"/><Relationship Id="rId45" Type="http://schemas.openxmlformats.org/officeDocument/2006/relationships/hyperlink" Target="mailto:iticha@yahoo.com" TargetMode="External"/><Relationship Id="rId1" Type="http://schemas.openxmlformats.org/officeDocument/2006/relationships/hyperlink" Target="mailto:kaadupong2002@yahoo.co.uk" TargetMode="External"/><Relationship Id="rId2" Type="http://schemas.openxmlformats.org/officeDocument/2006/relationships/hyperlink" Target="mailto:mndortey@ug.edu.gh" TargetMode="External"/><Relationship Id="rId3" Type="http://schemas.openxmlformats.org/officeDocument/2006/relationships/hyperlink" Target="mailto:stephensjudith@yahoo.com" TargetMode="External"/><Relationship Id="rId4" Type="http://schemas.openxmlformats.org/officeDocument/2006/relationships/hyperlink" Target="mailto:AmtaikaA@ufs.ac.za" TargetMode="External"/><Relationship Id="rId9" Type="http://schemas.openxmlformats.org/officeDocument/2006/relationships/hyperlink" Target="mailto:mahunele.thotse@ul.ac.za" TargetMode="External"/><Relationship Id="rId48" Type="http://schemas.openxmlformats.org/officeDocument/2006/relationships/hyperlink" Target="mailto:musemwa@yahoo.com" TargetMode="External"/><Relationship Id="rId47" Type="http://schemas.openxmlformats.org/officeDocument/2006/relationships/hyperlink" Target="mailto:nic_dewet@yahoo.com" TargetMode="External"/><Relationship Id="rId49" Type="http://schemas.openxmlformats.org/officeDocument/2006/relationships/hyperlink" Target="mailto:aniang@gmail.com" TargetMode="External"/><Relationship Id="rId5" Type="http://schemas.openxmlformats.org/officeDocument/2006/relationships/hyperlink" Target="mailto:mitchellc@ukzn.ac.za" TargetMode="External"/><Relationship Id="rId6" Type="http://schemas.openxmlformats.org/officeDocument/2006/relationships/hyperlink" Target="mailto:matjids@unisa.ac.za" TargetMode="External"/><Relationship Id="rId7" Type="http://schemas.openxmlformats.org/officeDocument/2006/relationships/hyperlink" Target="mailto:oguttaw@unisa.ac.za" TargetMode="External"/><Relationship Id="rId8" Type="http://schemas.openxmlformats.org/officeDocument/2006/relationships/hyperlink" Target="mailto:leahzbndanga@yahoo.com" TargetMode="External"/><Relationship Id="rId73" Type="http://schemas.openxmlformats.org/officeDocument/2006/relationships/hyperlink" Target="mailto:pcobbinah@csu.edu.au" TargetMode="External"/><Relationship Id="rId72" Type="http://schemas.openxmlformats.org/officeDocument/2006/relationships/hyperlink" Target="mailto:girumerenso@gmail.com" TargetMode="External"/><Relationship Id="rId31" Type="http://schemas.openxmlformats.org/officeDocument/2006/relationships/hyperlink" Target="mailto:jltamba2006@yahoo.com" TargetMode="External"/><Relationship Id="rId75" Type="http://schemas.openxmlformats.org/officeDocument/2006/relationships/hyperlink" Target="mailto:a_nieguitsila@univ-masuku.ga" TargetMode="External"/><Relationship Id="rId30" Type="http://schemas.openxmlformats.org/officeDocument/2006/relationships/hyperlink" Target="mailto:aanippae@yahoo.com" TargetMode="External"/><Relationship Id="rId74" Type="http://schemas.openxmlformats.org/officeDocument/2006/relationships/hyperlink" Target="mailto:adojacquie@gmail.com" TargetMode="External"/><Relationship Id="rId33" Type="http://schemas.openxmlformats.org/officeDocument/2006/relationships/hyperlink" Target="mailto:muhoozicc@gmail.com" TargetMode="External"/><Relationship Id="rId77" Type="http://schemas.openxmlformats.org/officeDocument/2006/relationships/drawing" Target="../drawings/drawing15.xml"/><Relationship Id="rId32" Type="http://schemas.openxmlformats.org/officeDocument/2006/relationships/hyperlink" Target="mailto:asiimwe@ss.mak.ac.ug" TargetMode="External"/><Relationship Id="rId76" Type="http://schemas.openxmlformats.org/officeDocument/2006/relationships/hyperlink" Target="mailto:kabir.otun@kwasu.edu.ng" TargetMode="External"/><Relationship Id="rId35" Type="http://schemas.openxmlformats.org/officeDocument/2006/relationships/hyperlink" Target="mailto:veboamah.pharm@KNUST.edu.gh" TargetMode="External"/><Relationship Id="rId34" Type="http://schemas.openxmlformats.org/officeDocument/2006/relationships/hyperlink" Target="mailto:emiliaudf@yahoo.com" TargetMode="External"/><Relationship Id="rId71" Type="http://schemas.openxmlformats.org/officeDocument/2006/relationships/hyperlink" Target="mailto:jima@sphmmc.edu.et" TargetMode="External"/><Relationship Id="rId70" Type="http://schemas.openxmlformats.org/officeDocument/2006/relationships/hyperlink" Target="mailto:dmestewat@yahoo.com" TargetMode="External"/><Relationship Id="rId37" Type="http://schemas.openxmlformats.org/officeDocument/2006/relationships/hyperlink" Target="mailto:wolobah@yahoo.com" TargetMode="External"/><Relationship Id="rId36" Type="http://schemas.openxmlformats.org/officeDocument/2006/relationships/hyperlink" Target="mailto:akosboak@yahoo.com" TargetMode="External"/><Relationship Id="rId39" Type="http://schemas.openxmlformats.org/officeDocument/2006/relationships/hyperlink" Target="mailto:snnkumbaan@gmail.com" TargetMode="External"/><Relationship Id="rId38" Type="http://schemas.openxmlformats.org/officeDocument/2006/relationships/hyperlink" Target="mailto:jboat2009@gmail.com" TargetMode="External"/><Relationship Id="rId62" Type="http://schemas.openxmlformats.org/officeDocument/2006/relationships/hyperlink" Target="mailto:adey.desta@gmail.com" TargetMode="External"/><Relationship Id="rId61" Type="http://schemas.openxmlformats.org/officeDocument/2006/relationships/hyperlink" Target="mailto:sisay.addisu@aau.edu.et" TargetMode="External"/><Relationship Id="rId20" Type="http://schemas.openxmlformats.org/officeDocument/2006/relationships/hyperlink" Target="mailto:ingrid.sange@gmail.com" TargetMode="External"/><Relationship Id="rId64" Type="http://schemas.openxmlformats.org/officeDocument/2006/relationships/hyperlink" Target="mailto:miafoueli@yahoo.com" TargetMode="External"/><Relationship Id="rId63" Type="http://schemas.openxmlformats.org/officeDocument/2006/relationships/hyperlink" Target="mailto:endalehadgu@yahoo.com" TargetMode="External"/><Relationship Id="rId22" Type="http://schemas.openxmlformats.org/officeDocument/2006/relationships/hyperlink" Target="mailto:Smosiojubwe27@Yahoo.com" TargetMode="External"/><Relationship Id="rId66" Type="http://schemas.openxmlformats.org/officeDocument/2006/relationships/hyperlink" Target="mailto:leon_tsambu@yahoo.com" TargetMode="External"/><Relationship Id="rId21" Type="http://schemas.openxmlformats.org/officeDocument/2006/relationships/hyperlink" Target="mailto:maiths@unisa.ac.za" TargetMode="External"/><Relationship Id="rId65" Type="http://schemas.openxmlformats.org/officeDocument/2006/relationships/hyperlink" Target="mailto:jtagoudjeu@gmail.com" TargetMode="External"/><Relationship Id="rId24" Type="http://schemas.openxmlformats.org/officeDocument/2006/relationships/hyperlink" Target="mailto:sayndeetd@yahoo.com" TargetMode="External"/><Relationship Id="rId68" Type="http://schemas.openxmlformats.org/officeDocument/2006/relationships/hyperlink" Target="mailto:fitsum.assamnew@aait.edu.et" TargetMode="External"/><Relationship Id="rId23" Type="http://schemas.openxmlformats.org/officeDocument/2006/relationships/hyperlink" Target="mailto:alpinjoyken@yahoo.com" TargetMode="External"/><Relationship Id="rId67" Type="http://schemas.openxmlformats.org/officeDocument/2006/relationships/hyperlink" Target="mailto:johnulumara@yahoo.com" TargetMode="External"/><Relationship Id="rId60" Type="http://schemas.openxmlformats.org/officeDocument/2006/relationships/hyperlink" Target="mailto:miresemeneh@gmail.com" TargetMode="External"/><Relationship Id="rId26" Type="http://schemas.openxmlformats.org/officeDocument/2006/relationships/hyperlink" Target="mailto:gkushiator1@gmail.com" TargetMode="External"/><Relationship Id="rId25" Type="http://schemas.openxmlformats.org/officeDocument/2006/relationships/hyperlink" Target="mailto:yakfiagbe.soe@knust.edu.gh" TargetMode="External"/><Relationship Id="rId69" Type="http://schemas.openxmlformats.org/officeDocument/2006/relationships/hyperlink" Target="mailto:melessewnigussie@yahoo.com" TargetMode="External"/><Relationship Id="rId28" Type="http://schemas.openxmlformats.org/officeDocument/2006/relationships/hyperlink" Target="mailto:davidlwiles@yahoo.com" TargetMode="External"/><Relationship Id="rId27" Type="http://schemas.openxmlformats.org/officeDocument/2006/relationships/hyperlink" Target="mailto:aymensah.pharm@knust.edu.gh" TargetMode="External"/><Relationship Id="rId29" Type="http://schemas.openxmlformats.org/officeDocument/2006/relationships/hyperlink" Target="mailto:morrisken2007@yahoo.com" TargetMode="External"/><Relationship Id="rId51" Type="http://schemas.openxmlformats.org/officeDocument/2006/relationships/hyperlink" Target="mailto:akyessuman@yahoo.com" TargetMode="External"/><Relationship Id="rId50" Type="http://schemas.openxmlformats.org/officeDocument/2006/relationships/hyperlink" Target="mailto:reneegerring@yahoo.com" TargetMode="External"/><Relationship Id="rId53" Type="http://schemas.openxmlformats.org/officeDocument/2006/relationships/hyperlink" Target="mailto:vangile.bingma@gmail.com" TargetMode="External"/><Relationship Id="rId52" Type="http://schemas.openxmlformats.org/officeDocument/2006/relationships/hyperlink" Target="mailto:krisobiri@yahoo.com" TargetMode="External"/><Relationship Id="rId11" Type="http://schemas.openxmlformats.org/officeDocument/2006/relationships/hyperlink" Target="mailto:asn12002@yahoo.com" TargetMode="External"/><Relationship Id="rId55" Type="http://schemas.openxmlformats.org/officeDocument/2006/relationships/hyperlink" Target="mailto:nross@uwc.ac.za" TargetMode="External"/><Relationship Id="rId10" Type="http://schemas.openxmlformats.org/officeDocument/2006/relationships/hyperlink" Target="mailto:ggnyante@chs.edu.gh" TargetMode="External"/><Relationship Id="rId54" Type="http://schemas.openxmlformats.org/officeDocument/2006/relationships/hyperlink" Target="mailto:yfessha@gmail.com" TargetMode="External"/><Relationship Id="rId13" Type="http://schemas.openxmlformats.org/officeDocument/2006/relationships/hyperlink" Target="mailto:madellc@cput.ac.za" TargetMode="External"/><Relationship Id="rId57" Type="http://schemas.openxmlformats.org/officeDocument/2006/relationships/hyperlink" Target="mailto:miyingo@yahoo.com" TargetMode="External"/><Relationship Id="rId12" Type="http://schemas.openxmlformats.org/officeDocument/2006/relationships/hyperlink" Target="mailto:tamsynbernath@hotmail.com" TargetMode="External"/><Relationship Id="rId56" Type="http://schemas.openxmlformats.org/officeDocument/2006/relationships/hyperlink" Target="mailto:joyonoria@gmail.com" TargetMode="External"/><Relationship Id="rId15" Type="http://schemas.openxmlformats.org/officeDocument/2006/relationships/hyperlink" Target="mailto:jonathanzinzi@yahoo.com" TargetMode="External"/><Relationship Id="rId59" Type="http://schemas.openxmlformats.org/officeDocument/2006/relationships/hyperlink" Target="mailto:lauryocen70@gmail.com" TargetMode="External"/><Relationship Id="rId14" Type="http://schemas.openxmlformats.org/officeDocument/2006/relationships/hyperlink" Target="mailto:mathakga.botha@wits.ac.za" TargetMode="External"/><Relationship Id="rId58" Type="http://schemas.openxmlformats.org/officeDocument/2006/relationships/hyperlink" Target="mailto:enansubuga@gmail.com" TargetMode="External"/><Relationship Id="rId17" Type="http://schemas.openxmlformats.org/officeDocument/2006/relationships/hyperlink" Target="mailto:j.chisaka@ru.ac.za" TargetMode="External"/><Relationship Id="rId16" Type="http://schemas.openxmlformats.org/officeDocument/2006/relationships/hyperlink" Target="mailto:Ad2gh@yahoo.com" TargetMode="External"/><Relationship Id="rId19" Type="http://schemas.openxmlformats.org/officeDocument/2006/relationships/hyperlink" Target="mailto:Cynthia.phiri@univen.ac.za" TargetMode="External"/><Relationship Id="rId18" Type="http://schemas.openxmlformats.org/officeDocument/2006/relationships/hyperlink" Target="mailto:litheko.modisane@uct.ac.za"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asianonlinejournals.com/index.php/JEELR" TargetMode="External"/><Relationship Id="rId2" Type="http://schemas.openxmlformats.org/officeDocument/2006/relationships/hyperlink" Target="http://asianonlinejournals.com/index.php/JEELR"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doi.org/10.1016/j.cities.2017.10.022" TargetMode="External"/><Relationship Id="rId2" Type="http://schemas.openxmlformats.org/officeDocument/2006/relationships/hyperlink" Target="https://doi.org/10.1016/j.cities.2017.09.005." TargetMode="External"/><Relationship Id="rId3"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dx.doi.org/10.14806/ej.24.0.920" TargetMode="External"/><Relationship Id="rId2" Type="http://schemas.openxmlformats.org/officeDocument/2006/relationships/hyperlink" Target="http://dx.doi.org/10.14806/ej.24.0.920"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oi.org/10.1177/2333794X211003622." TargetMode="External"/><Relationship Id="rId2" Type="http://schemas.openxmlformats.org/officeDocument/2006/relationships/hyperlink" Target="http://dx.doi.org/10.4314/just.v35il.5.(moved" TargetMode="External"/><Relationship Id="rId3"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www.wjert.org/"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dx.doi.org/10.4314/gmj.v51i2.2." TargetMode="External"/><Relationship Id="rId2"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doi.org/10.1007/s10811-019-01887-6."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doi.org/10.1080/14786419.2018.1503262" TargetMode="External"/><Relationship Id="rId2" Type="http://schemas.openxmlformats.org/officeDocument/2006/relationships/hyperlink" Target="http://doi.org/10.1080/14786419.2018.1503262"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www.jstor.org/stable/10.5749/culturalcritique.102.2019.0189?seq=1" TargetMode="External"/><Relationship Id="rId2" Type="http://schemas.openxmlformats.org/officeDocument/2006/relationships/hyperlink" Target="http://www.ajol.info/index.php/mjas/article/view/129694." TargetMode="External"/><Relationship Id="rId3"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doi.org/10.1111/cch.12706." TargetMode="External"/><Relationship Id="rId2"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doi.org/10.1155/2019/2561530." TargetMode="External"/><Relationship Id="rId2"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7.0" ySplit="1.0" topLeftCell="H2" activePane="bottomRight" state="frozen"/>
      <selection activeCell="H1" sqref="H1" pane="topRight"/>
      <selection activeCell="A2" sqref="A2" pane="bottomLeft"/>
      <selection activeCell="H2" sqref="H2" pane="bottomRight"/>
    </sheetView>
  </sheetViews>
  <sheetFormatPr customHeight="1" defaultColWidth="14.43" defaultRowHeight="15.0"/>
  <cols>
    <col customWidth="1" min="1" max="1" width="15.0"/>
    <col customWidth="1" min="2" max="2" width="17.86"/>
    <col customWidth="1" min="3" max="3" width="17.43"/>
    <col customWidth="1" min="4" max="4" width="21.0"/>
    <col customWidth="1" min="5" max="5" width="13.43"/>
    <col customWidth="1" min="6" max="6" width="5.29"/>
    <col customWidth="1" min="7" max="7" width="14.29"/>
    <col customWidth="1" min="8" max="8" width="35.14"/>
    <col customWidth="1" min="9" max="9" width="27.86"/>
    <col customWidth="1" min="10" max="10" width="51.43"/>
    <col customWidth="1" min="11" max="11" width="34.14"/>
    <col customWidth="1" min="12" max="12" width="24.57"/>
    <col customWidth="1" min="13" max="13" width="40.86"/>
    <col customWidth="1" min="14" max="14" width="30.0"/>
    <col customWidth="1" min="15" max="15" width="80.86"/>
    <col customWidth="1" min="16" max="16" width="36.14"/>
    <col customWidth="1" min="17" max="19" width="27.14"/>
    <col customWidth="1" min="20" max="20" width="156.43"/>
    <col customWidth="1" min="21" max="21" width="97.29"/>
    <col customWidth="1" min="22" max="22" width="56.71"/>
    <col customWidth="1" min="23" max="23" width="79.43"/>
    <col customWidth="1" min="24" max="30" width="8.86"/>
  </cols>
  <sheetData>
    <row r="1" ht="24.75" customHeight="1">
      <c r="A1" s="1" t="s">
        <v>0</v>
      </c>
      <c r="B1" s="2" t="s">
        <v>1</v>
      </c>
      <c r="C1" s="3" t="s">
        <v>2</v>
      </c>
      <c r="D1" s="3" t="s">
        <v>3</v>
      </c>
      <c r="E1" s="3" t="s">
        <v>4</v>
      </c>
      <c r="F1" s="3" t="s">
        <v>5</v>
      </c>
      <c r="G1" s="3" t="s">
        <v>6</v>
      </c>
      <c r="H1" s="3" t="s">
        <v>7</v>
      </c>
      <c r="I1" s="2" t="s">
        <v>8</v>
      </c>
      <c r="J1" s="2" t="s">
        <v>9</v>
      </c>
      <c r="K1" s="3" t="s">
        <v>10</v>
      </c>
      <c r="L1" s="3" t="s">
        <v>11</v>
      </c>
      <c r="M1" s="3" t="s">
        <v>12</v>
      </c>
      <c r="N1" s="3" t="s">
        <v>13</v>
      </c>
      <c r="O1" s="3" t="s">
        <v>14</v>
      </c>
      <c r="P1" s="3" t="s">
        <v>15</v>
      </c>
      <c r="Q1" s="2" t="s">
        <v>16</v>
      </c>
      <c r="R1" s="2" t="s">
        <v>17</v>
      </c>
      <c r="S1" s="2" t="s">
        <v>18</v>
      </c>
      <c r="T1" s="2" t="s">
        <v>19</v>
      </c>
      <c r="U1" s="3" t="s">
        <v>20</v>
      </c>
      <c r="V1" s="3" t="s">
        <v>21</v>
      </c>
      <c r="W1" s="3" t="s">
        <v>22</v>
      </c>
      <c r="X1" s="3"/>
      <c r="Y1" s="3"/>
      <c r="Z1" s="3"/>
      <c r="AA1" s="3"/>
      <c r="AB1" s="4"/>
      <c r="AC1" s="4"/>
      <c r="AD1" s="4"/>
    </row>
    <row r="2" ht="24.75" customHeight="1">
      <c r="A2" s="5" t="s">
        <v>23</v>
      </c>
      <c r="B2" s="5" t="s">
        <v>24</v>
      </c>
      <c r="C2" s="5" t="s">
        <v>25</v>
      </c>
      <c r="D2" s="5" t="s">
        <v>26</v>
      </c>
      <c r="E2" s="5" t="s">
        <v>27</v>
      </c>
      <c r="F2" s="5" t="s">
        <v>28</v>
      </c>
      <c r="G2" s="5" t="s">
        <v>29</v>
      </c>
      <c r="H2" s="5" t="s">
        <v>30</v>
      </c>
      <c r="I2" s="5" t="s">
        <v>31</v>
      </c>
      <c r="J2" s="6"/>
      <c r="K2" s="5" t="s">
        <v>32</v>
      </c>
      <c r="L2" s="6"/>
      <c r="M2" s="5" t="s">
        <v>33</v>
      </c>
      <c r="N2" s="6"/>
      <c r="O2" s="5" t="s">
        <v>34</v>
      </c>
      <c r="P2" s="5" t="s">
        <v>35</v>
      </c>
      <c r="Q2" s="5"/>
      <c r="R2" s="5"/>
      <c r="S2" s="5"/>
      <c r="T2" s="5" t="s">
        <v>36</v>
      </c>
      <c r="U2" s="5" t="s">
        <v>37</v>
      </c>
      <c r="V2" s="7"/>
      <c r="W2" s="7"/>
      <c r="X2" s="7"/>
      <c r="Y2" s="7"/>
      <c r="Z2" s="7"/>
      <c r="AA2" s="7"/>
      <c r="AB2" s="7"/>
      <c r="AC2" s="7"/>
      <c r="AD2" s="7"/>
    </row>
    <row r="3" ht="24.75" customHeight="1">
      <c r="A3" s="8">
        <v>1.0</v>
      </c>
      <c r="B3" s="9" t="s">
        <v>38</v>
      </c>
      <c r="C3" s="9" t="s">
        <v>39</v>
      </c>
      <c r="D3" s="10" t="s">
        <v>40</v>
      </c>
      <c r="E3" s="10" t="s">
        <v>27</v>
      </c>
      <c r="F3" s="11" t="s">
        <v>41</v>
      </c>
      <c r="G3" s="10" t="s">
        <v>42</v>
      </c>
      <c r="H3" s="10" t="s">
        <v>43</v>
      </c>
      <c r="I3" s="10" t="s">
        <v>44</v>
      </c>
      <c r="J3" s="10"/>
      <c r="K3" s="10" t="s">
        <v>45</v>
      </c>
      <c r="L3" s="10" t="s">
        <v>46</v>
      </c>
      <c r="M3" s="10" t="s">
        <v>47</v>
      </c>
      <c r="N3" s="10"/>
      <c r="O3" s="10" t="s">
        <v>48</v>
      </c>
      <c r="P3" s="10"/>
      <c r="Q3" s="9">
        <v>4.0</v>
      </c>
      <c r="R3" s="9"/>
      <c r="S3" s="9">
        <v>2.0</v>
      </c>
      <c r="T3" s="9" t="s">
        <v>49</v>
      </c>
      <c r="U3" s="9"/>
      <c r="V3" s="9" t="s">
        <v>50</v>
      </c>
      <c r="W3" s="10"/>
      <c r="X3" s="12"/>
      <c r="Y3" s="12"/>
      <c r="Z3" s="12"/>
      <c r="AA3" s="12"/>
      <c r="AB3" s="12"/>
      <c r="AC3" s="12"/>
      <c r="AD3" s="12"/>
    </row>
    <row r="4" ht="24.75" customHeight="1">
      <c r="A4" s="13">
        <v>1.0</v>
      </c>
      <c r="B4" s="14" t="s">
        <v>51</v>
      </c>
      <c r="C4" s="14" t="s">
        <v>52</v>
      </c>
      <c r="D4" s="14" t="s">
        <v>53</v>
      </c>
      <c r="E4" s="14" t="s">
        <v>54</v>
      </c>
      <c r="F4" s="15" t="s">
        <v>41</v>
      </c>
      <c r="G4" s="16" t="s">
        <v>42</v>
      </c>
      <c r="H4" s="14" t="s">
        <v>55</v>
      </c>
      <c r="I4" s="14" t="s">
        <v>56</v>
      </c>
      <c r="J4" s="14"/>
      <c r="K4" s="17" t="s">
        <v>57</v>
      </c>
      <c r="L4" s="14"/>
      <c r="M4" s="15" t="s">
        <v>58</v>
      </c>
      <c r="N4" s="14"/>
      <c r="O4" s="14"/>
      <c r="P4" s="14"/>
      <c r="Q4" s="15">
        <v>2.0</v>
      </c>
      <c r="R4" s="15">
        <v>2.0</v>
      </c>
      <c r="S4" s="15">
        <v>2.0</v>
      </c>
      <c r="T4" s="15" t="s">
        <v>59</v>
      </c>
      <c r="U4" s="15"/>
      <c r="V4" s="15" t="s">
        <v>60</v>
      </c>
      <c r="W4" s="14"/>
      <c r="X4" s="18"/>
      <c r="Y4" s="18"/>
      <c r="Z4" s="18"/>
      <c r="AA4" s="18"/>
      <c r="AB4" s="18"/>
      <c r="AC4" s="18"/>
      <c r="AD4" s="18"/>
    </row>
    <row r="5" ht="24.75" customHeight="1">
      <c r="A5" s="13">
        <v>2.0</v>
      </c>
      <c r="B5" s="14" t="s">
        <v>61</v>
      </c>
      <c r="C5" s="14" t="s">
        <v>62</v>
      </c>
      <c r="D5" s="14" t="s">
        <v>53</v>
      </c>
      <c r="E5" s="14" t="s">
        <v>54</v>
      </c>
      <c r="F5" s="15" t="s">
        <v>41</v>
      </c>
      <c r="G5" s="16" t="s">
        <v>42</v>
      </c>
      <c r="H5" s="14" t="s">
        <v>63</v>
      </c>
      <c r="I5" s="14" t="s">
        <v>64</v>
      </c>
      <c r="J5" s="14"/>
      <c r="K5" s="17" t="s">
        <v>65</v>
      </c>
      <c r="L5" s="14" t="s">
        <v>66</v>
      </c>
      <c r="M5" s="15" t="s">
        <v>67</v>
      </c>
      <c r="N5" s="14" t="s">
        <v>68</v>
      </c>
      <c r="O5" s="14" t="s">
        <v>69</v>
      </c>
      <c r="P5" s="14"/>
      <c r="Q5" s="15">
        <v>0.0</v>
      </c>
      <c r="R5" s="15"/>
      <c r="S5" s="15" t="s">
        <v>70</v>
      </c>
      <c r="T5" s="15" t="s">
        <v>71</v>
      </c>
      <c r="U5" s="15" t="s">
        <v>72</v>
      </c>
      <c r="V5" s="14" t="s">
        <v>73</v>
      </c>
      <c r="W5" s="14"/>
      <c r="X5" s="18"/>
      <c r="Y5" s="18"/>
      <c r="Z5" s="18"/>
      <c r="AA5" s="18"/>
      <c r="AB5" s="18"/>
      <c r="AC5" s="18"/>
      <c r="AD5" s="18"/>
    </row>
    <row r="6" ht="24.75" customHeight="1">
      <c r="A6" s="19">
        <v>3.0</v>
      </c>
      <c r="B6" s="14" t="s">
        <v>74</v>
      </c>
      <c r="C6" s="14" t="s">
        <v>75</v>
      </c>
      <c r="D6" s="14" t="s">
        <v>76</v>
      </c>
      <c r="E6" s="14" t="s">
        <v>27</v>
      </c>
      <c r="F6" s="15" t="s">
        <v>41</v>
      </c>
      <c r="G6" s="16" t="s">
        <v>42</v>
      </c>
      <c r="H6" s="14" t="s">
        <v>77</v>
      </c>
      <c r="I6" s="14" t="s">
        <v>78</v>
      </c>
      <c r="J6" s="14"/>
      <c r="K6" s="20" t="s">
        <v>79</v>
      </c>
      <c r="L6" s="14" t="s">
        <v>80</v>
      </c>
      <c r="M6" s="15" t="s">
        <v>81</v>
      </c>
      <c r="N6" s="14" t="s">
        <v>82</v>
      </c>
      <c r="O6" s="14" t="s">
        <v>83</v>
      </c>
      <c r="P6" s="14"/>
      <c r="Q6" s="15">
        <v>1.0</v>
      </c>
      <c r="R6" s="15">
        <v>3.0</v>
      </c>
      <c r="S6" s="15" t="s">
        <v>84</v>
      </c>
      <c r="T6" s="15" t="s">
        <v>85</v>
      </c>
      <c r="U6" s="14"/>
      <c r="V6" s="14" t="s">
        <v>86</v>
      </c>
      <c r="W6" s="14"/>
      <c r="X6" s="14"/>
      <c r="Y6" s="14"/>
      <c r="Z6" s="14"/>
      <c r="AA6" s="14"/>
      <c r="AB6" s="14"/>
      <c r="AC6" s="14"/>
      <c r="AD6" s="14"/>
    </row>
    <row r="7" ht="24.75" customHeight="1">
      <c r="A7" s="13">
        <v>4.0</v>
      </c>
      <c r="B7" s="14" t="s">
        <v>87</v>
      </c>
      <c r="C7" s="14" t="s">
        <v>88</v>
      </c>
      <c r="D7" s="14" t="s">
        <v>53</v>
      </c>
      <c r="E7" s="14" t="s">
        <v>54</v>
      </c>
      <c r="F7" s="15" t="s">
        <v>89</v>
      </c>
      <c r="G7" s="16" t="s">
        <v>42</v>
      </c>
      <c r="H7" s="14" t="s">
        <v>90</v>
      </c>
      <c r="I7" s="14" t="s">
        <v>91</v>
      </c>
      <c r="J7" s="14"/>
      <c r="K7" s="17" t="s">
        <v>92</v>
      </c>
      <c r="L7" s="14" t="s">
        <v>93</v>
      </c>
      <c r="M7" s="15" t="s">
        <v>94</v>
      </c>
      <c r="N7" s="14" t="s">
        <v>95</v>
      </c>
      <c r="O7" s="14"/>
      <c r="P7" s="14"/>
      <c r="Q7" s="15">
        <v>0.0</v>
      </c>
      <c r="R7" s="15">
        <v>0.0</v>
      </c>
      <c r="S7" s="15">
        <v>1.0</v>
      </c>
      <c r="T7" s="15" t="s">
        <v>96</v>
      </c>
      <c r="U7" s="14"/>
      <c r="V7" s="15" t="s">
        <v>97</v>
      </c>
      <c r="W7" s="14"/>
      <c r="X7" s="14"/>
      <c r="Y7" s="14"/>
      <c r="Z7" s="14"/>
      <c r="AA7" s="14"/>
      <c r="AB7" s="14"/>
      <c r="AC7" s="14"/>
      <c r="AD7" s="14"/>
    </row>
    <row r="8" ht="24.75" customHeight="1">
      <c r="A8" s="13">
        <v>5.0</v>
      </c>
      <c r="B8" s="14" t="s">
        <v>98</v>
      </c>
      <c r="C8" s="14" t="s">
        <v>99</v>
      </c>
      <c r="D8" s="14" t="s">
        <v>100</v>
      </c>
      <c r="E8" s="14" t="s">
        <v>27</v>
      </c>
      <c r="F8" s="15" t="s">
        <v>89</v>
      </c>
      <c r="G8" s="16" t="s">
        <v>42</v>
      </c>
      <c r="H8" s="14" t="s">
        <v>101</v>
      </c>
      <c r="I8" s="14" t="s">
        <v>102</v>
      </c>
      <c r="J8" s="14"/>
      <c r="K8" s="17" t="s">
        <v>103</v>
      </c>
      <c r="L8" s="14" t="s">
        <v>104</v>
      </c>
      <c r="M8" s="15" t="s">
        <v>105</v>
      </c>
      <c r="N8" s="14" t="s">
        <v>106</v>
      </c>
      <c r="O8" s="14"/>
      <c r="P8" s="14"/>
      <c r="Q8" s="15">
        <v>0.0</v>
      </c>
      <c r="R8" s="15"/>
      <c r="S8" s="15" t="s">
        <v>107</v>
      </c>
      <c r="T8" s="15" t="s">
        <v>108</v>
      </c>
      <c r="U8" s="15" t="s">
        <v>109</v>
      </c>
      <c r="V8" s="21" t="s">
        <v>110</v>
      </c>
      <c r="W8" s="14"/>
      <c r="X8" s="18"/>
      <c r="Y8" s="18"/>
      <c r="Z8" s="18"/>
      <c r="AA8" s="18"/>
      <c r="AB8" s="18"/>
      <c r="AC8" s="18"/>
      <c r="AD8" s="18"/>
    </row>
    <row r="9" ht="24.75" customHeight="1">
      <c r="A9" s="13">
        <v>6.0</v>
      </c>
      <c r="B9" s="14" t="s">
        <v>111</v>
      </c>
      <c r="C9" s="14" t="s">
        <v>112</v>
      </c>
      <c r="D9" s="14" t="s">
        <v>53</v>
      </c>
      <c r="E9" s="14" t="s">
        <v>54</v>
      </c>
      <c r="F9" s="15" t="s">
        <v>89</v>
      </c>
      <c r="G9" s="16" t="s">
        <v>42</v>
      </c>
      <c r="H9" s="14" t="s">
        <v>113</v>
      </c>
      <c r="I9" s="14" t="s">
        <v>114</v>
      </c>
      <c r="J9" s="14"/>
      <c r="K9" s="17" t="s">
        <v>115</v>
      </c>
      <c r="L9" s="14"/>
      <c r="M9" s="15" t="s">
        <v>116</v>
      </c>
      <c r="N9" s="14" t="s">
        <v>117</v>
      </c>
      <c r="O9" s="14" t="s">
        <v>118</v>
      </c>
      <c r="P9" s="14"/>
      <c r="Q9" s="14"/>
      <c r="R9" s="14"/>
      <c r="S9" s="14"/>
      <c r="T9" s="14" t="s">
        <v>119</v>
      </c>
      <c r="U9" s="14" t="s">
        <v>120</v>
      </c>
      <c r="V9" s="14" t="s">
        <v>121</v>
      </c>
      <c r="W9" s="15"/>
      <c r="X9" s="14"/>
      <c r="Y9" s="14"/>
      <c r="Z9" s="14"/>
      <c r="AA9" s="14"/>
      <c r="AB9" s="14"/>
      <c r="AC9" s="14"/>
      <c r="AD9" s="14"/>
    </row>
    <row r="10" ht="24.75" customHeight="1">
      <c r="A10" s="13">
        <v>7.0</v>
      </c>
      <c r="B10" s="14" t="s">
        <v>122</v>
      </c>
      <c r="C10" s="14" t="s">
        <v>123</v>
      </c>
      <c r="D10" s="14" t="s">
        <v>124</v>
      </c>
      <c r="E10" s="14" t="s">
        <v>27</v>
      </c>
      <c r="F10" s="15" t="s">
        <v>89</v>
      </c>
      <c r="G10" s="16" t="s">
        <v>42</v>
      </c>
      <c r="H10" s="14" t="s">
        <v>125</v>
      </c>
      <c r="I10" s="14" t="s">
        <v>126</v>
      </c>
      <c r="J10" s="14"/>
      <c r="K10" s="17" t="s">
        <v>127</v>
      </c>
      <c r="L10" s="14"/>
      <c r="M10" s="15" t="s">
        <v>128</v>
      </c>
      <c r="N10" s="14" t="s">
        <v>129</v>
      </c>
      <c r="O10" s="15" t="s">
        <v>130</v>
      </c>
      <c r="P10" s="14"/>
      <c r="Q10" s="15">
        <v>0.0</v>
      </c>
      <c r="R10" s="15"/>
      <c r="S10" s="15" t="s">
        <v>131</v>
      </c>
      <c r="T10" s="15" t="s">
        <v>132</v>
      </c>
      <c r="U10" s="15" t="s">
        <v>133</v>
      </c>
      <c r="V10" s="15" t="s">
        <v>134</v>
      </c>
      <c r="W10" s="15"/>
      <c r="X10" s="18"/>
      <c r="Y10" s="18"/>
      <c r="Z10" s="18"/>
      <c r="AA10" s="18"/>
      <c r="AB10" s="18"/>
      <c r="AC10" s="18"/>
      <c r="AD10" s="18"/>
    </row>
    <row r="11" ht="24.75" customHeight="1">
      <c r="A11" s="13">
        <v>8.0</v>
      </c>
      <c r="B11" s="14" t="s">
        <v>135</v>
      </c>
      <c r="C11" s="14" t="s">
        <v>136</v>
      </c>
      <c r="D11" s="14" t="s">
        <v>76</v>
      </c>
      <c r="E11" s="14" t="s">
        <v>27</v>
      </c>
      <c r="F11" s="15" t="s">
        <v>89</v>
      </c>
      <c r="G11" s="16" t="s">
        <v>42</v>
      </c>
      <c r="H11" s="14" t="s">
        <v>137</v>
      </c>
      <c r="I11" s="14" t="s">
        <v>138</v>
      </c>
      <c r="J11" s="14" t="s">
        <v>139</v>
      </c>
      <c r="K11" s="17" t="s">
        <v>140</v>
      </c>
      <c r="L11" s="14" t="s">
        <v>141</v>
      </c>
      <c r="M11" s="15" t="s">
        <v>142</v>
      </c>
      <c r="N11" s="14"/>
      <c r="O11" s="15" t="s">
        <v>143</v>
      </c>
      <c r="P11" s="14" t="s">
        <v>144</v>
      </c>
      <c r="Q11" s="15">
        <v>1.0</v>
      </c>
      <c r="R11" s="15">
        <v>8.0</v>
      </c>
      <c r="S11" s="15">
        <v>20.0</v>
      </c>
      <c r="T11" s="15" t="s">
        <v>85</v>
      </c>
      <c r="U11" s="15"/>
      <c r="V11" s="15" t="s">
        <v>145</v>
      </c>
      <c r="W11" s="15"/>
      <c r="X11" s="18"/>
      <c r="Y11" s="18"/>
      <c r="Z11" s="18"/>
      <c r="AA11" s="18"/>
      <c r="AB11" s="18"/>
      <c r="AC11" s="18"/>
      <c r="AD11" s="18"/>
    </row>
    <row r="12" ht="24.75" customHeight="1">
      <c r="A12" s="19">
        <v>9.0</v>
      </c>
      <c r="B12" s="14" t="s">
        <v>146</v>
      </c>
      <c r="C12" s="15" t="s">
        <v>147</v>
      </c>
      <c r="D12" s="14" t="s">
        <v>124</v>
      </c>
      <c r="E12" s="14" t="s">
        <v>27</v>
      </c>
      <c r="F12" s="15" t="s">
        <v>41</v>
      </c>
      <c r="G12" s="16" t="s">
        <v>42</v>
      </c>
      <c r="H12" s="14" t="s">
        <v>148</v>
      </c>
      <c r="I12" s="14" t="s">
        <v>149</v>
      </c>
      <c r="J12" s="14"/>
      <c r="K12" s="17" t="s">
        <v>150</v>
      </c>
      <c r="L12" s="14" t="s">
        <v>151</v>
      </c>
      <c r="M12" s="15" t="s">
        <v>152</v>
      </c>
      <c r="N12" s="14" t="s">
        <v>153</v>
      </c>
      <c r="O12" s="15" t="s">
        <v>154</v>
      </c>
      <c r="P12" s="14"/>
      <c r="Q12" s="14"/>
      <c r="R12" s="14"/>
      <c r="S12" s="14"/>
      <c r="T12" s="14" t="s">
        <v>155</v>
      </c>
      <c r="U12" s="15"/>
      <c r="V12" s="15" t="s">
        <v>156</v>
      </c>
      <c r="W12" s="14"/>
      <c r="X12" s="14"/>
      <c r="Y12" s="14"/>
      <c r="Z12" s="14"/>
      <c r="AA12" s="14"/>
      <c r="AB12" s="14"/>
      <c r="AC12" s="14"/>
      <c r="AD12" s="14"/>
    </row>
    <row r="13" ht="24.75" customHeight="1">
      <c r="A13" s="22">
        <v>10.0</v>
      </c>
      <c r="B13" s="23" t="s">
        <v>157</v>
      </c>
      <c r="C13" s="23" t="s">
        <v>158</v>
      </c>
      <c r="D13" s="23" t="s">
        <v>159</v>
      </c>
      <c r="E13" s="23" t="s">
        <v>54</v>
      </c>
      <c r="F13" s="24" t="s">
        <v>41</v>
      </c>
      <c r="G13" s="23" t="s">
        <v>160</v>
      </c>
      <c r="H13" s="23" t="s">
        <v>161</v>
      </c>
      <c r="I13" s="23" t="s">
        <v>162</v>
      </c>
      <c r="J13" s="23"/>
      <c r="K13" s="25" t="s">
        <v>163</v>
      </c>
      <c r="L13" s="23" t="s">
        <v>164</v>
      </c>
      <c r="M13" s="23" t="s">
        <v>165</v>
      </c>
      <c r="N13" s="23" t="s">
        <v>166</v>
      </c>
      <c r="O13" s="24" t="s">
        <v>167</v>
      </c>
      <c r="P13" s="23"/>
      <c r="Q13" s="23"/>
      <c r="R13" s="23"/>
      <c r="S13" s="23"/>
      <c r="T13" s="23" t="s">
        <v>168</v>
      </c>
      <c r="U13" s="24" t="s">
        <v>169</v>
      </c>
      <c r="V13" s="24" t="s">
        <v>170</v>
      </c>
      <c r="W13" s="23"/>
      <c r="X13" s="26"/>
      <c r="Y13" s="26"/>
      <c r="Z13" s="26"/>
      <c r="AA13" s="26"/>
      <c r="AB13" s="26"/>
      <c r="AC13" s="26"/>
      <c r="AD13" s="26"/>
    </row>
    <row r="14" ht="24.75" customHeight="1">
      <c r="A14" s="22">
        <v>11.0</v>
      </c>
      <c r="B14" s="23" t="s">
        <v>171</v>
      </c>
      <c r="C14" s="23" t="s">
        <v>172</v>
      </c>
      <c r="D14" s="23" t="s">
        <v>173</v>
      </c>
      <c r="E14" s="23" t="s">
        <v>27</v>
      </c>
      <c r="F14" s="24" t="s">
        <v>89</v>
      </c>
      <c r="G14" s="23" t="s">
        <v>160</v>
      </c>
      <c r="H14" s="23" t="s">
        <v>174</v>
      </c>
      <c r="I14" s="23" t="s">
        <v>175</v>
      </c>
      <c r="J14" s="23"/>
      <c r="K14" s="25" t="s">
        <v>176</v>
      </c>
      <c r="L14" s="23">
        <v>2.7114533481E10</v>
      </c>
      <c r="M14" s="23" t="s">
        <v>177</v>
      </c>
      <c r="N14" s="23"/>
      <c r="O14" s="23" t="s">
        <v>178</v>
      </c>
      <c r="P14" s="23"/>
      <c r="Q14" s="23"/>
      <c r="R14" s="23"/>
      <c r="S14" s="23"/>
      <c r="T14" s="23" t="s">
        <v>179</v>
      </c>
      <c r="U14" s="23"/>
      <c r="V14" s="23" t="s">
        <v>86</v>
      </c>
      <c r="W14" s="23"/>
      <c r="X14" s="26"/>
      <c r="Y14" s="26"/>
      <c r="Z14" s="26"/>
      <c r="AA14" s="26"/>
      <c r="AB14" s="26"/>
      <c r="AC14" s="26"/>
      <c r="AD14" s="26"/>
    </row>
    <row r="15" ht="24.75" customHeight="1">
      <c r="A15" s="22">
        <v>12.0</v>
      </c>
      <c r="B15" s="23" t="s">
        <v>180</v>
      </c>
      <c r="C15" s="23" t="s">
        <v>181</v>
      </c>
      <c r="D15" s="23" t="s">
        <v>182</v>
      </c>
      <c r="E15" s="23" t="s">
        <v>183</v>
      </c>
      <c r="F15" s="24" t="s">
        <v>41</v>
      </c>
      <c r="G15" s="23" t="s">
        <v>160</v>
      </c>
      <c r="H15" s="23" t="s">
        <v>184</v>
      </c>
      <c r="I15" s="23" t="s">
        <v>185</v>
      </c>
      <c r="J15" s="23"/>
      <c r="K15" s="23" t="s">
        <v>186</v>
      </c>
      <c r="L15" s="23" t="s">
        <v>187</v>
      </c>
      <c r="M15" s="23" t="s">
        <v>188</v>
      </c>
      <c r="N15" s="23"/>
      <c r="O15" s="23" t="s">
        <v>189</v>
      </c>
      <c r="P15" s="23"/>
      <c r="Q15" s="23"/>
      <c r="R15" s="23"/>
      <c r="S15" s="23"/>
      <c r="T15" s="23" t="s">
        <v>179</v>
      </c>
      <c r="U15" s="23"/>
      <c r="V15" s="23" t="s">
        <v>190</v>
      </c>
      <c r="W15" s="23"/>
      <c r="X15" s="26"/>
      <c r="Y15" s="26"/>
      <c r="Z15" s="26"/>
      <c r="AA15" s="26"/>
      <c r="AB15" s="26"/>
      <c r="AC15" s="26"/>
      <c r="AD15" s="26"/>
    </row>
    <row r="16" ht="24.75" customHeight="1">
      <c r="A16" s="22">
        <v>13.0</v>
      </c>
      <c r="B16" s="23" t="s">
        <v>191</v>
      </c>
      <c r="C16" s="23" t="s">
        <v>192</v>
      </c>
      <c r="D16" s="23" t="s">
        <v>159</v>
      </c>
      <c r="E16" s="23" t="s">
        <v>54</v>
      </c>
      <c r="F16" s="24" t="s">
        <v>41</v>
      </c>
      <c r="G16" s="23" t="s">
        <v>160</v>
      </c>
      <c r="H16" s="23" t="s">
        <v>193</v>
      </c>
      <c r="I16" s="23" t="s">
        <v>194</v>
      </c>
      <c r="J16" s="23"/>
      <c r="K16" s="23" t="s">
        <v>195</v>
      </c>
      <c r="L16" s="23" t="s">
        <v>196</v>
      </c>
      <c r="M16" s="23" t="s">
        <v>197</v>
      </c>
      <c r="N16" s="23" t="s">
        <v>198</v>
      </c>
      <c r="O16" s="23" t="s">
        <v>199</v>
      </c>
      <c r="P16" s="23"/>
      <c r="Q16" s="24"/>
      <c r="R16" s="24"/>
      <c r="S16" s="24"/>
      <c r="T16" s="24" t="s">
        <v>200</v>
      </c>
      <c r="U16" s="24" t="s">
        <v>201</v>
      </c>
      <c r="V16" s="24" t="s">
        <v>202</v>
      </c>
      <c r="W16" s="23"/>
      <c r="X16" s="23"/>
      <c r="Y16" s="23"/>
      <c r="Z16" s="23"/>
      <c r="AA16" s="23"/>
      <c r="AB16" s="23"/>
      <c r="AC16" s="23"/>
      <c r="AD16" s="23"/>
    </row>
    <row r="17" ht="24.75" customHeight="1">
      <c r="A17" s="22">
        <v>14.0</v>
      </c>
      <c r="B17" s="24" t="s">
        <v>203</v>
      </c>
      <c r="C17" s="24" t="s">
        <v>204</v>
      </c>
      <c r="D17" s="23" t="s">
        <v>53</v>
      </c>
      <c r="E17" s="23" t="s">
        <v>54</v>
      </c>
      <c r="F17" s="24" t="s">
        <v>41</v>
      </c>
      <c r="G17" s="23" t="s">
        <v>160</v>
      </c>
      <c r="H17" s="23" t="s">
        <v>205</v>
      </c>
      <c r="I17" s="23" t="s">
        <v>149</v>
      </c>
      <c r="J17" s="24" t="s">
        <v>206</v>
      </c>
      <c r="K17" s="24" t="s">
        <v>207</v>
      </c>
      <c r="L17" s="23" t="s">
        <v>208</v>
      </c>
      <c r="M17" s="23" t="s">
        <v>209</v>
      </c>
      <c r="N17" s="23" t="s">
        <v>210</v>
      </c>
      <c r="O17" s="24" t="s">
        <v>211</v>
      </c>
      <c r="P17" s="24" t="s">
        <v>212</v>
      </c>
      <c r="Q17" s="24"/>
      <c r="R17" s="24"/>
      <c r="S17" s="24"/>
      <c r="T17" s="24" t="s">
        <v>213</v>
      </c>
      <c r="U17" s="23" t="s">
        <v>214</v>
      </c>
      <c r="V17" s="24" t="s">
        <v>215</v>
      </c>
      <c r="W17" s="23"/>
      <c r="X17" s="26"/>
      <c r="Y17" s="26"/>
      <c r="Z17" s="26"/>
      <c r="AA17" s="26"/>
      <c r="AB17" s="26"/>
      <c r="AC17" s="26"/>
      <c r="AD17" s="26"/>
    </row>
    <row r="18" ht="24.75" customHeight="1">
      <c r="A18" s="22">
        <v>15.0</v>
      </c>
      <c r="B18" s="23" t="s">
        <v>216</v>
      </c>
      <c r="C18" s="23" t="s">
        <v>216</v>
      </c>
      <c r="D18" s="23" t="s">
        <v>182</v>
      </c>
      <c r="E18" s="23" t="s">
        <v>183</v>
      </c>
      <c r="F18" s="24" t="s">
        <v>41</v>
      </c>
      <c r="G18" s="23" t="s">
        <v>160</v>
      </c>
      <c r="H18" s="23" t="s">
        <v>217</v>
      </c>
      <c r="I18" s="23" t="s">
        <v>218</v>
      </c>
      <c r="J18" s="23"/>
      <c r="K18" s="23" t="s">
        <v>219</v>
      </c>
      <c r="L18" s="23"/>
      <c r="M18" s="23" t="s">
        <v>220</v>
      </c>
      <c r="N18" s="23"/>
      <c r="O18" s="23" t="s">
        <v>221</v>
      </c>
      <c r="P18" s="23"/>
      <c r="Q18" s="23"/>
      <c r="R18" s="23"/>
      <c r="S18" s="23"/>
      <c r="T18" s="23" t="s">
        <v>179</v>
      </c>
      <c r="U18" s="23"/>
      <c r="V18" s="23" t="s">
        <v>222</v>
      </c>
      <c r="W18" s="23"/>
      <c r="X18" s="26"/>
      <c r="Y18" s="26"/>
      <c r="Z18" s="26"/>
      <c r="AA18" s="26"/>
      <c r="AB18" s="26"/>
      <c r="AC18" s="26"/>
      <c r="AD18" s="26"/>
    </row>
    <row r="19" ht="24.75" customHeight="1">
      <c r="A19" s="22">
        <v>16.0</v>
      </c>
      <c r="B19" s="23" t="s">
        <v>223</v>
      </c>
      <c r="C19" s="23" t="s">
        <v>224</v>
      </c>
      <c r="D19" s="23" t="s">
        <v>53</v>
      </c>
      <c r="E19" s="23" t="s">
        <v>54</v>
      </c>
      <c r="F19" s="24" t="s">
        <v>41</v>
      </c>
      <c r="G19" s="23" t="s">
        <v>160</v>
      </c>
      <c r="H19" s="23" t="s">
        <v>225</v>
      </c>
      <c r="I19" s="23" t="s">
        <v>226</v>
      </c>
      <c r="J19" s="23"/>
      <c r="K19" s="24" t="s">
        <v>227</v>
      </c>
      <c r="L19" s="23" t="s">
        <v>228</v>
      </c>
      <c r="M19" s="23" t="s">
        <v>229</v>
      </c>
      <c r="N19" s="23" t="s">
        <v>230</v>
      </c>
      <c r="O19" s="24" t="s">
        <v>231</v>
      </c>
      <c r="P19" s="23"/>
      <c r="Q19" s="24"/>
      <c r="R19" s="24"/>
      <c r="S19" s="24"/>
      <c r="T19" s="24" t="s">
        <v>232</v>
      </c>
      <c r="U19" s="24" t="s">
        <v>233</v>
      </c>
      <c r="V19" s="23" t="s">
        <v>234</v>
      </c>
      <c r="W19" s="23"/>
      <c r="X19" s="26"/>
      <c r="Y19" s="26"/>
      <c r="Z19" s="26"/>
      <c r="AA19" s="26"/>
      <c r="AB19" s="26"/>
      <c r="AC19" s="26"/>
      <c r="AD19" s="26"/>
    </row>
    <row r="20" ht="24.75" customHeight="1">
      <c r="A20" s="22">
        <v>17.0</v>
      </c>
      <c r="B20" s="23" t="s">
        <v>235</v>
      </c>
      <c r="C20" s="23" t="s">
        <v>236</v>
      </c>
      <c r="D20" s="23" t="s">
        <v>182</v>
      </c>
      <c r="E20" s="23" t="s">
        <v>183</v>
      </c>
      <c r="F20" s="24" t="s">
        <v>41</v>
      </c>
      <c r="G20" s="23" t="s">
        <v>160</v>
      </c>
      <c r="H20" s="23" t="s">
        <v>237</v>
      </c>
      <c r="I20" s="23" t="s">
        <v>91</v>
      </c>
      <c r="J20" s="23"/>
      <c r="K20" s="24" t="s">
        <v>238</v>
      </c>
      <c r="L20" s="23"/>
      <c r="M20" s="23" t="s">
        <v>239</v>
      </c>
      <c r="N20" s="23"/>
      <c r="O20" s="23"/>
      <c r="P20" s="23"/>
      <c r="Q20" s="23"/>
      <c r="R20" s="23"/>
      <c r="S20" s="23"/>
      <c r="T20" s="23" t="s">
        <v>240</v>
      </c>
      <c r="U20" s="23"/>
      <c r="V20" s="23" t="s">
        <v>190</v>
      </c>
      <c r="W20" s="23"/>
      <c r="X20" s="26"/>
      <c r="Y20" s="26"/>
      <c r="Z20" s="26"/>
      <c r="AA20" s="26"/>
      <c r="AB20" s="26"/>
      <c r="AC20" s="26"/>
      <c r="AD20" s="26"/>
    </row>
    <row r="21" ht="24.75" customHeight="1">
      <c r="A21" s="22">
        <v>18.0</v>
      </c>
      <c r="B21" s="23" t="s">
        <v>241</v>
      </c>
      <c r="C21" s="23" t="s">
        <v>242</v>
      </c>
      <c r="D21" s="23" t="s">
        <v>159</v>
      </c>
      <c r="E21" s="23" t="s">
        <v>54</v>
      </c>
      <c r="F21" s="24" t="s">
        <v>41</v>
      </c>
      <c r="G21" s="23" t="s">
        <v>160</v>
      </c>
      <c r="H21" s="23" t="s">
        <v>243</v>
      </c>
      <c r="I21" s="23" t="s">
        <v>244</v>
      </c>
      <c r="J21" s="23"/>
      <c r="K21" s="23" t="s">
        <v>245</v>
      </c>
      <c r="L21" s="23" t="s">
        <v>246</v>
      </c>
      <c r="M21" s="23" t="s">
        <v>247</v>
      </c>
      <c r="N21" s="23" t="s">
        <v>248</v>
      </c>
      <c r="O21" s="23"/>
      <c r="P21" s="23"/>
      <c r="Q21" s="24"/>
      <c r="R21" s="24"/>
      <c r="S21" s="24"/>
      <c r="T21" s="24" t="s">
        <v>249</v>
      </c>
      <c r="U21" s="24" t="s">
        <v>250</v>
      </c>
      <c r="V21" s="23" t="s">
        <v>222</v>
      </c>
      <c r="W21" s="23"/>
      <c r="X21" s="26"/>
      <c r="Y21" s="26"/>
      <c r="Z21" s="26"/>
      <c r="AA21" s="26"/>
      <c r="AB21" s="26"/>
      <c r="AC21" s="26"/>
      <c r="AD21" s="26"/>
    </row>
    <row r="22" ht="24.75" customHeight="1">
      <c r="A22" s="22">
        <v>19.0</v>
      </c>
      <c r="B22" s="23" t="s">
        <v>251</v>
      </c>
      <c r="C22" s="23" t="s">
        <v>252</v>
      </c>
      <c r="D22" s="23" t="s">
        <v>182</v>
      </c>
      <c r="E22" s="23" t="s">
        <v>183</v>
      </c>
      <c r="F22" s="24" t="s">
        <v>41</v>
      </c>
      <c r="G22" s="23" t="s">
        <v>160</v>
      </c>
      <c r="H22" s="23" t="s">
        <v>253</v>
      </c>
      <c r="I22" s="23" t="s">
        <v>254</v>
      </c>
      <c r="J22" s="23"/>
      <c r="K22" s="24" t="s">
        <v>255</v>
      </c>
      <c r="L22" s="23">
        <v>2.317701177E10</v>
      </c>
      <c r="M22" s="23" t="s">
        <v>256</v>
      </c>
      <c r="N22" s="23"/>
      <c r="O22" s="23" t="s">
        <v>257</v>
      </c>
      <c r="P22" s="23"/>
      <c r="Q22" s="23"/>
      <c r="R22" s="23"/>
      <c r="S22" s="23"/>
      <c r="T22" s="23" t="s">
        <v>179</v>
      </c>
      <c r="U22" s="23"/>
      <c r="V22" s="27" t="s">
        <v>258</v>
      </c>
      <c r="W22" s="23"/>
      <c r="X22" s="26"/>
      <c r="Y22" s="26"/>
      <c r="Z22" s="26"/>
      <c r="AA22" s="26"/>
      <c r="AB22" s="26"/>
      <c r="AC22" s="26"/>
      <c r="AD22" s="26"/>
    </row>
    <row r="23" ht="24.75" customHeight="1">
      <c r="A23" s="28" t="s">
        <v>259</v>
      </c>
      <c r="B23" s="23" t="s">
        <v>260</v>
      </c>
      <c r="C23" s="23" t="s">
        <v>261</v>
      </c>
      <c r="D23" s="23" t="s">
        <v>53</v>
      </c>
      <c r="E23" s="23" t="s">
        <v>54</v>
      </c>
      <c r="F23" s="24" t="s">
        <v>89</v>
      </c>
      <c r="G23" s="23" t="s">
        <v>160</v>
      </c>
      <c r="H23" s="23" t="s">
        <v>262</v>
      </c>
      <c r="I23" s="23" t="s">
        <v>263</v>
      </c>
      <c r="J23" s="23"/>
      <c r="K23" s="25" t="s">
        <v>264</v>
      </c>
      <c r="L23" s="23" t="s">
        <v>265</v>
      </c>
      <c r="M23" s="23" t="s">
        <v>266</v>
      </c>
      <c r="N23" s="23" t="s">
        <v>267</v>
      </c>
      <c r="O23" s="23"/>
      <c r="P23" s="23"/>
      <c r="Q23" s="23"/>
      <c r="R23" s="23"/>
      <c r="S23" s="23"/>
      <c r="T23" s="23" t="s">
        <v>268</v>
      </c>
      <c r="U23" s="24" t="s">
        <v>269</v>
      </c>
      <c r="V23" s="23" t="s">
        <v>222</v>
      </c>
      <c r="W23" s="23"/>
      <c r="X23" s="26"/>
      <c r="Y23" s="26"/>
      <c r="Z23" s="26"/>
      <c r="AA23" s="26"/>
      <c r="AB23" s="26"/>
      <c r="AC23" s="26"/>
      <c r="AD23" s="26"/>
    </row>
    <row r="24" ht="24.75" customHeight="1">
      <c r="A24" s="28" t="s">
        <v>270</v>
      </c>
      <c r="B24" s="23" t="s">
        <v>271</v>
      </c>
      <c r="C24" s="23" t="s">
        <v>272</v>
      </c>
      <c r="D24" s="23" t="s">
        <v>159</v>
      </c>
      <c r="E24" s="23" t="s">
        <v>54</v>
      </c>
      <c r="F24" s="24" t="s">
        <v>41</v>
      </c>
      <c r="G24" s="23" t="s">
        <v>160</v>
      </c>
      <c r="H24" s="23" t="s">
        <v>217</v>
      </c>
      <c r="I24" s="23" t="s">
        <v>273</v>
      </c>
      <c r="J24" s="23"/>
      <c r="K24" s="25" t="s">
        <v>274</v>
      </c>
      <c r="L24" s="23" t="s">
        <v>275</v>
      </c>
      <c r="M24" s="23" t="s">
        <v>276</v>
      </c>
      <c r="N24" s="23" t="s">
        <v>277</v>
      </c>
      <c r="O24" s="23"/>
      <c r="P24" s="23"/>
      <c r="Q24" s="23"/>
      <c r="R24" s="23"/>
      <c r="S24" s="23"/>
      <c r="T24" s="23" t="s">
        <v>278</v>
      </c>
      <c r="U24" s="24" t="s">
        <v>279</v>
      </c>
      <c r="V24" s="24" t="s">
        <v>280</v>
      </c>
      <c r="W24" s="23"/>
      <c r="X24" s="26"/>
      <c r="Y24" s="26"/>
      <c r="Z24" s="26"/>
      <c r="AA24" s="26"/>
      <c r="AB24" s="26"/>
      <c r="AC24" s="26"/>
      <c r="AD24" s="26"/>
    </row>
    <row r="25" ht="24.75" customHeight="1">
      <c r="A25" s="28" t="s">
        <v>281</v>
      </c>
      <c r="B25" s="23" t="s">
        <v>282</v>
      </c>
      <c r="C25" s="23" t="s">
        <v>192</v>
      </c>
      <c r="D25" s="23" t="s">
        <v>159</v>
      </c>
      <c r="E25" s="23" t="s">
        <v>54</v>
      </c>
      <c r="F25" s="24" t="s">
        <v>41</v>
      </c>
      <c r="G25" s="23" t="s">
        <v>160</v>
      </c>
      <c r="H25" s="23" t="s">
        <v>184</v>
      </c>
      <c r="I25" s="23" t="s">
        <v>283</v>
      </c>
      <c r="J25" s="23"/>
      <c r="K25" s="23" t="s">
        <v>284</v>
      </c>
      <c r="L25" s="23" t="s">
        <v>285</v>
      </c>
      <c r="M25" s="23" t="s">
        <v>286</v>
      </c>
      <c r="N25" s="23" t="s">
        <v>287</v>
      </c>
      <c r="O25" s="23"/>
      <c r="P25" s="23"/>
      <c r="Q25" s="23"/>
      <c r="R25" s="23"/>
      <c r="S25" s="23"/>
      <c r="T25" s="23" t="s">
        <v>288</v>
      </c>
      <c r="U25" s="24" t="s">
        <v>289</v>
      </c>
      <c r="V25" s="24" t="s">
        <v>290</v>
      </c>
      <c r="W25" s="24"/>
      <c r="X25" s="26"/>
      <c r="Y25" s="26"/>
      <c r="Z25" s="26"/>
      <c r="AA25" s="26"/>
      <c r="AB25" s="26"/>
      <c r="AC25" s="26"/>
      <c r="AD25" s="26"/>
    </row>
    <row r="26" ht="24.75" customHeight="1">
      <c r="A26" s="28" t="s">
        <v>291</v>
      </c>
      <c r="B26" s="23" t="s">
        <v>292</v>
      </c>
      <c r="C26" s="23" t="s">
        <v>293</v>
      </c>
      <c r="D26" s="23" t="s">
        <v>294</v>
      </c>
      <c r="E26" s="23" t="s">
        <v>27</v>
      </c>
      <c r="F26" s="24" t="s">
        <v>41</v>
      </c>
      <c r="G26" s="23" t="s">
        <v>295</v>
      </c>
      <c r="H26" s="23" t="s">
        <v>296</v>
      </c>
      <c r="I26" s="23" t="s">
        <v>297</v>
      </c>
      <c r="J26" s="23" t="s">
        <v>298</v>
      </c>
      <c r="K26" s="25" t="s">
        <v>299</v>
      </c>
      <c r="L26" s="23" t="s">
        <v>300</v>
      </c>
      <c r="M26" s="23" t="s">
        <v>301</v>
      </c>
      <c r="N26" s="23" t="s">
        <v>302</v>
      </c>
      <c r="O26" s="24" t="s">
        <v>303</v>
      </c>
      <c r="P26" s="23"/>
      <c r="Q26" s="24">
        <v>1.0</v>
      </c>
      <c r="R26" s="23"/>
      <c r="S26" s="23"/>
      <c r="T26" s="24" t="s">
        <v>304</v>
      </c>
      <c r="U26" s="23"/>
      <c r="V26" s="23" t="s">
        <v>305</v>
      </c>
      <c r="W26" s="23"/>
      <c r="X26" s="23"/>
      <c r="Y26" s="23"/>
      <c r="Z26" s="23"/>
      <c r="AA26" s="23"/>
      <c r="AB26" s="23"/>
      <c r="AC26" s="23"/>
      <c r="AD26" s="23"/>
    </row>
    <row r="27" ht="24.75" customHeight="1">
      <c r="A27" s="28" t="s">
        <v>306</v>
      </c>
      <c r="B27" s="23" t="s">
        <v>307</v>
      </c>
      <c r="C27" s="23" t="s">
        <v>308</v>
      </c>
      <c r="D27" s="23" t="s">
        <v>309</v>
      </c>
      <c r="E27" s="23" t="s">
        <v>27</v>
      </c>
      <c r="F27" s="24" t="s">
        <v>89</v>
      </c>
      <c r="G27" s="23" t="s">
        <v>310</v>
      </c>
      <c r="H27" s="23" t="s">
        <v>311</v>
      </c>
      <c r="I27" s="23" t="s">
        <v>312</v>
      </c>
      <c r="J27" s="23"/>
      <c r="K27" s="25" t="s">
        <v>313</v>
      </c>
      <c r="L27" s="23">
        <v>2.7117173009E10</v>
      </c>
      <c r="M27" s="23" t="s">
        <v>314</v>
      </c>
      <c r="N27" s="23" t="s">
        <v>315</v>
      </c>
      <c r="O27" s="23"/>
      <c r="P27" s="23"/>
      <c r="Q27" s="23"/>
      <c r="R27" s="23"/>
      <c r="S27" s="23"/>
      <c r="T27" s="23" t="s">
        <v>179</v>
      </c>
      <c r="U27" s="23"/>
      <c r="V27" s="24" t="s">
        <v>316</v>
      </c>
      <c r="W27" s="23"/>
      <c r="X27" s="26"/>
      <c r="Y27" s="26"/>
      <c r="Z27" s="26"/>
      <c r="AA27" s="26"/>
      <c r="AB27" s="26"/>
      <c r="AC27" s="26"/>
      <c r="AD27" s="26"/>
    </row>
    <row r="28" ht="24.75" customHeight="1">
      <c r="A28" s="29" t="s">
        <v>317</v>
      </c>
      <c r="B28" s="30" t="s">
        <v>318</v>
      </c>
      <c r="C28" s="30" t="s">
        <v>319</v>
      </c>
      <c r="D28" s="30" t="s">
        <v>159</v>
      </c>
      <c r="E28" s="30" t="s">
        <v>54</v>
      </c>
      <c r="F28" s="31" t="s">
        <v>41</v>
      </c>
      <c r="G28" s="30" t="s">
        <v>320</v>
      </c>
      <c r="H28" s="30" t="s">
        <v>321</v>
      </c>
      <c r="I28" s="30" t="s">
        <v>322</v>
      </c>
      <c r="J28" s="30"/>
      <c r="K28" s="32" t="s">
        <v>323</v>
      </c>
      <c r="L28" s="30" t="s">
        <v>324</v>
      </c>
      <c r="M28" s="30" t="s">
        <v>325</v>
      </c>
      <c r="N28" s="30"/>
      <c r="O28" s="30"/>
      <c r="P28" s="30"/>
      <c r="Q28" s="31"/>
      <c r="R28" s="31"/>
      <c r="S28" s="31"/>
      <c r="T28" s="31" t="s">
        <v>326</v>
      </c>
      <c r="U28" s="31" t="s">
        <v>327</v>
      </c>
      <c r="V28" s="31" t="s">
        <v>328</v>
      </c>
      <c r="W28" s="31"/>
      <c r="X28" s="33"/>
      <c r="Y28" s="33"/>
      <c r="Z28" s="33"/>
      <c r="AA28" s="33"/>
      <c r="AB28" s="33"/>
      <c r="AC28" s="33"/>
      <c r="AD28" s="33"/>
    </row>
    <row r="29" ht="24.75" customHeight="1">
      <c r="A29" s="29" t="s">
        <v>329</v>
      </c>
      <c r="B29" s="30" t="s">
        <v>330</v>
      </c>
      <c r="C29" s="30" t="s">
        <v>331</v>
      </c>
      <c r="D29" s="30" t="s">
        <v>332</v>
      </c>
      <c r="E29" s="30" t="s">
        <v>27</v>
      </c>
      <c r="F29" s="31" t="s">
        <v>89</v>
      </c>
      <c r="G29" s="30" t="s">
        <v>320</v>
      </c>
      <c r="H29" s="30" t="s">
        <v>333</v>
      </c>
      <c r="I29" s="30" t="s">
        <v>334</v>
      </c>
      <c r="J29" s="30"/>
      <c r="K29" s="32" t="s">
        <v>335</v>
      </c>
      <c r="L29" s="30">
        <v>2.746603889E10</v>
      </c>
      <c r="M29" s="30" t="s">
        <v>336</v>
      </c>
      <c r="N29" s="30" t="s">
        <v>337</v>
      </c>
      <c r="O29" s="30" t="s">
        <v>338</v>
      </c>
      <c r="P29" s="30"/>
      <c r="Q29" s="30"/>
      <c r="R29" s="30"/>
      <c r="S29" s="30"/>
      <c r="T29" s="30"/>
      <c r="U29" s="30"/>
      <c r="V29" s="30" t="s">
        <v>339</v>
      </c>
      <c r="W29" s="31"/>
      <c r="X29" s="33"/>
      <c r="Y29" s="33"/>
      <c r="Z29" s="33"/>
      <c r="AA29" s="33"/>
      <c r="AB29" s="33"/>
      <c r="AC29" s="33"/>
      <c r="AD29" s="33"/>
    </row>
    <row r="30" ht="24.75" customHeight="1">
      <c r="A30" s="29" t="s">
        <v>340</v>
      </c>
      <c r="B30" s="30" t="s">
        <v>341</v>
      </c>
      <c r="C30" s="30" t="s">
        <v>342</v>
      </c>
      <c r="D30" s="30" t="s">
        <v>159</v>
      </c>
      <c r="E30" s="30" t="s">
        <v>54</v>
      </c>
      <c r="F30" s="31" t="s">
        <v>41</v>
      </c>
      <c r="G30" s="30" t="s">
        <v>320</v>
      </c>
      <c r="H30" s="30" t="s">
        <v>343</v>
      </c>
      <c r="I30" s="30" t="s">
        <v>344</v>
      </c>
      <c r="J30" s="30"/>
      <c r="K30" s="30" t="s">
        <v>345</v>
      </c>
      <c r="L30" s="30" t="s">
        <v>346</v>
      </c>
      <c r="M30" s="30" t="s">
        <v>347</v>
      </c>
      <c r="N30" s="30" t="s">
        <v>348</v>
      </c>
      <c r="O30" s="30" t="s">
        <v>349</v>
      </c>
      <c r="P30" s="30"/>
      <c r="Q30" s="31"/>
      <c r="R30" s="31"/>
      <c r="S30" s="31"/>
      <c r="T30" s="31" t="s">
        <v>350</v>
      </c>
      <c r="U30" s="31" t="s">
        <v>351</v>
      </c>
      <c r="V30" s="31" t="s">
        <v>352</v>
      </c>
      <c r="W30" s="30"/>
      <c r="X30" s="33"/>
      <c r="Y30" s="33"/>
      <c r="Z30" s="33"/>
      <c r="AA30" s="33"/>
      <c r="AB30" s="33"/>
      <c r="AC30" s="33"/>
      <c r="AD30" s="33"/>
    </row>
    <row r="31" ht="24.75" customHeight="1">
      <c r="A31" s="29" t="s">
        <v>353</v>
      </c>
      <c r="B31" s="30" t="s">
        <v>354</v>
      </c>
      <c r="C31" s="30" t="s">
        <v>355</v>
      </c>
      <c r="D31" s="30" t="s">
        <v>182</v>
      </c>
      <c r="E31" s="30" t="s">
        <v>183</v>
      </c>
      <c r="F31" s="31" t="s">
        <v>41</v>
      </c>
      <c r="G31" s="30" t="s">
        <v>320</v>
      </c>
      <c r="H31" s="30" t="s">
        <v>356</v>
      </c>
      <c r="I31" s="30" t="s">
        <v>357</v>
      </c>
      <c r="J31" s="30"/>
      <c r="K31" s="32" t="s">
        <v>358</v>
      </c>
      <c r="L31" s="30">
        <v>2.316519229E9</v>
      </c>
      <c r="M31" s="30" t="s">
        <v>359</v>
      </c>
      <c r="N31" s="30"/>
      <c r="O31" s="30" t="s">
        <v>360</v>
      </c>
      <c r="P31" s="30"/>
      <c r="Q31" s="30"/>
      <c r="R31" s="30"/>
      <c r="S31" s="30"/>
      <c r="T31" s="30" t="s">
        <v>179</v>
      </c>
      <c r="U31" s="30"/>
      <c r="V31" s="31" t="s">
        <v>361</v>
      </c>
      <c r="W31" s="30"/>
      <c r="X31" s="30"/>
      <c r="Y31" s="30"/>
      <c r="Z31" s="30"/>
      <c r="AA31" s="30"/>
      <c r="AB31" s="30"/>
      <c r="AC31" s="30"/>
      <c r="AD31" s="30"/>
    </row>
    <row r="32" ht="24.75" customHeight="1">
      <c r="A32" s="29" t="s">
        <v>362</v>
      </c>
      <c r="B32" s="30" t="s">
        <v>363</v>
      </c>
      <c r="C32" s="30" t="s">
        <v>364</v>
      </c>
      <c r="D32" s="30" t="s">
        <v>182</v>
      </c>
      <c r="E32" s="30" t="s">
        <v>183</v>
      </c>
      <c r="F32" s="31" t="s">
        <v>41</v>
      </c>
      <c r="G32" s="30" t="s">
        <v>320</v>
      </c>
      <c r="H32" s="30" t="s">
        <v>365</v>
      </c>
      <c r="I32" s="30" t="s">
        <v>366</v>
      </c>
      <c r="J32" s="30" t="s">
        <v>367</v>
      </c>
      <c r="K32" s="32" t="s">
        <v>368</v>
      </c>
      <c r="L32" s="30">
        <v>2.316466687E9</v>
      </c>
      <c r="M32" s="30" t="s">
        <v>369</v>
      </c>
      <c r="N32" s="30" t="s">
        <v>370</v>
      </c>
      <c r="O32" s="30" t="s">
        <v>371</v>
      </c>
      <c r="P32" s="30"/>
      <c r="Q32" s="30"/>
      <c r="R32" s="30"/>
      <c r="S32" s="30"/>
      <c r="T32" s="30" t="s">
        <v>179</v>
      </c>
      <c r="U32" s="30"/>
      <c r="V32" s="31" t="s">
        <v>372</v>
      </c>
      <c r="W32" s="30"/>
      <c r="X32" s="33"/>
      <c r="Y32" s="33"/>
      <c r="Z32" s="33"/>
      <c r="AA32" s="33"/>
      <c r="AB32" s="33"/>
      <c r="AC32" s="33"/>
      <c r="AD32" s="33"/>
    </row>
    <row r="33" ht="24.75" customHeight="1">
      <c r="A33" s="29" t="s">
        <v>373</v>
      </c>
      <c r="B33" s="30" t="s">
        <v>374</v>
      </c>
      <c r="C33" s="30" t="s">
        <v>375</v>
      </c>
      <c r="D33" s="30" t="s">
        <v>124</v>
      </c>
      <c r="E33" s="30" t="s">
        <v>27</v>
      </c>
      <c r="F33" s="31" t="s">
        <v>89</v>
      </c>
      <c r="G33" s="30" t="s">
        <v>320</v>
      </c>
      <c r="H33" s="30" t="s">
        <v>376</v>
      </c>
      <c r="I33" s="30" t="s">
        <v>377</v>
      </c>
      <c r="J33" s="30"/>
      <c r="K33" s="32" t="s">
        <v>378</v>
      </c>
      <c r="L33" s="30" t="s">
        <v>379</v>
      </c>
      <c r="M33" s="31" t="s">
        <v>380</v>
      </c>
      <c r="N33" s="30" t="s">
        <v>381</v>
      </c>
      <c r="O33" s="30" t="s">
        <v>382</v>
      </c>
      <c r="P33" s="30"/>
      <c r="Q33" s="30"/>
      <c r="R33" s="30"/>
      <c r="S33" s="30"/>
      <c r="T33" s="30" t="s">
        <v>383</v>
      </c>
      <c r="U33" s="31" t="s">
        <v>384</v>
      </c>
      <c r="V33" s="31" t="s">
        <v>385</v>
      </c>
      <c r="W33" s="30"/>
      <c r="X33" s="33"/>
      <c r="Y33" s="33"/>
      <c r="Z33" s="33"/>
      <c r="AA33" s="33"/>
      <c r="AB33" s="33"/>
      <c r="AC33" s="33"/>
      <c r="AD33" s="33"/>
    </row>
    <row r="34" ht="24.75" customHeight="1">
      <c r="A34" s="29" t="s">
        <v>386</v>
      </c>
      <c r="B34" s="30" t="s">
        <v>387</v>
      </c>
      <c r="C34" s="30" t="s">
        <v>388</v>
      </c>
      <c r="D34" s="30" t="s">
        <v>124</v>
      </c>
      <c r="E34" s="30" t="s">
        <v>27</v>
      </c>
      <c r="F34" s="31" t="s">
        <v>41</v>
      </c>
      <c r="G34" s="30" t="s">
        <v>320</v>
      </c>
      <c r="H34" s="30" t="s">
        <v>389</v>
      </c>
      <c r="I34" s="30" t="s">
        <v>390</v>
      </c>
      <c r="J34" s="30"/>
      <c r="K34" s="32" t="s">
        <v>391</v>
      </c>
      <c r="L34" s="30">
        <v>1.24203986E8</v>
      </c>
      <c r="M34" s="30" t="s">
        <v>392</v>
      </c>
      <c r="N34" s="34"/>
      <c r="O34" s="30" t="s">
        <v>393</v>
      </c>
      <c r="P34" s="30"/>
      <c r="Q34" s="30"/>
      <c r="R34" s="30"/>
      <c r="S34" s="30"/>
      <c r="T34" s="30" t="s">
        <v>179</v>
      </c>
      <c r="U34" s="30"/>
      <c r="V34" s="31" t="s">
        <v>394</v>
      </c>
      <c r="W34" s="31" t="s">
        <v>395</v>
      </c>
      <c r="X34" s="33"/>
      <c r="Y34" s="33"/>
      <c r="Z34" s="33"/>
      <c r="AA34" s="33"/>
      <c r="AB34" s="33"/>
      <c r="AC34" s="33"/>
      <c r="AD34" s="33"/>
    </row>
    <row r="35" ht="24.75" customHeight="1">
      <c r="A35" s="29" t="s">
        <v>396</v>
      </c>
      <c r="B35" s="30" t="s">
        <v>397</v>
      </c>
      <c r="C35" s="30" t="s">
        <v>398</v>
      </c>
      <c r="D35" s="30" t="s">
        <v>124</v>
      </c>
      <c r="E35" s="30" t="s">
        <v>27</v>
      </c>
      <c r="F35" s="31" t="s">
        <v>89</v>
      </c>
      <c r="G35" s="30" t="s">
        <v>320</v>
      </c>
      <c r="H35" s="30" t="s">
        <v>399</v>
      </c>
      <c r="I35" s="30" t="s">
        <v>400</v>
      </c>
      <c r="J35" s="30"/>
      <c r="K35" s="30" t="s">
        <v>401</v>
      </c>
      <c r="L35" s="30">
        <v>2.7124202339E10</v>
      </c>
      <c r="M35" s="30" t="s">
        <v>402</v>
      </c>
      <c r="N35" s="30"/>
      <c r="O35" s="30" t="s">
        <v>403</v>
      </c>
      <c r="P35" s="30"/>
      <c r="Q35" s="30"/>
      <c r="R35" s="30"/>
      <c r="S35" s="30"/>
      <c r="T35" s="30" t="s">
        <v>179</v>
      </c>
      <c r="U35" s="30"/>
      <c r="V35" s="31" t="s">
        <v>404</v>
      </c>
      <c r="W35" s="30"/>
      <c r="X35" s="33"/>
      <c r="Y35" s="33"/>
      <c r="Z35" s="33"/>
      <c r="AA35" s="33"/>
      <c r="AB35" s="33"/>
      <c r="AC35" s="33"/>
      <c r="AD35" s="33"/>
    </row>
    <row r="36" ht="24.75" customHeight="1">
      <c r="A36" s="29" t="s">
        <v>405</v>
      </c>
      <c r="B36" s="30" t="s">
        <v>406</v>
      </c>
      <c r="C36" s="30" t="s">
        <v>407</v>
      </c>
      <c r="D36" s="30" t="s">
        <v>294</v>
      </c>
      <c r="E36" s="30" t="s">
        <v>27</v>
      </c>
      <c r="F36" s="31" t="s">
        <v>41</v>
      </c>
      <c r="G36" s="30" t="s">
        <v>320</v>
      </c>
      <c r="H36" s="30" t="s">
        <v>408</v>
      </c>
      <c r="I36" s="30" t="s">
        <v>409</v>
      </c>
      <c r="J36" s="30"/>
      <c r="K36" s="32" t="s">
        <v>410</v>
      </c>
      <c r="L36" s="30">
        <v>2.7734913005E10</v>
      </c>
      <c r="M36" s="30" t="s">
        <v>411</v>
      </c>
      <c r="N36" s="30"/>
      <c r="O36" s="30" t="s">
        <v>412</v>
      </c>
      <c r="P36" s="30"/>
      <c r="Q36" s="30"/>
      <c r="R36" s="30"/>
      <c r="S36" s="30"/>
      <c r="T36" s="30" t="s">
        <v>413</v>
      </c>
      <c r="U36" s="30"/>
      <c r="V36" s="30" t="s">
        <v>414</v>
      </c>
      <c r="W36" s="31"/>
      <c r="X36" s="33"/>
      <c r="Y36" s="33"/>
      <c r="Z36" s="33"/>
      <c r="AA36" s="33"/>
      <c r="AB36" s="33"/>
      <c r="AC36" s="33"/>
      <c r="AD36" s="33"/>
    </row>
    <row r="37" ht="24.75" customHeight="1">
      <c r="A37" s="29" t="s">
        <v>415</v>
      </c>
      <c r="B37" s="30" t="s">
        <v>416</v>
      </c>
      <c r="C37" s="30" t="s">
        <v>417</v>
      </c>
      <c r="D37" s="31" t="s">
        <v>418</v>
      </c>
      <c r="E37" s="30" t="s">
        <v>54</v>
      </c>
      <c r="F37" s="31" t="s">
        <v>41</v>
      </c>
      <c r="G37" s="30" t="s">
        <v>320</v>
      </c>
      <c r="H37" s="30" t="s">
        <v>419</v>
      </c>
      <c r="I37" s="30" t="s">
        <v>420</v>
      </c>
      <c r="J37" s="30"/>
      <c r="K37" s="31" t="s">
        <v>421</v>
      </c>
      <c r="L37" s="30" t="s">
        <v>422</v>
      </c>
      <c r="M37" s="30" t="s">
        <v>423</v>
      </c>
      <c r="N37" s="30" t="s">
        <v>424</v>
      </c>
      <c r="O37" s="31" t="s">
        <v>425</v>
      </c>
      <c r="P37" s="30"/>
      <c r="Q37" s="31"/>
      <c r="R37" s="31"/>
      <c r="S37" s="31"/>
      <c r="T37" s="31" t="s">
        <v>426</v>
      </c>
      <c r="U37" s="31" t="s">
        <v>427</v>
      </c>
      <c r="V37" s="30" t="s">
        <v>428</v>
      </c>
      <c r="W37" s="30"/>
      <c r="X37" s="33"/>
      <c r="Y37" s="33"/>
      <c r="Z37" s="33"/>
      <c r="AA37" s="33"/>
      <c r="AB37" s="33"/>
      <c r="AC37" s="33"/>
      <c r="AD37" s="33"/>
    </row>
    <row r="38" ht="24.75" customHeight="1">
      <c r="A38" s="29" t="s">
        <v>429</v>
      </c>
      <c r="B38" s="35" t="s">
        <v>430</v>
      </c>
      <c r="C38" s="35" t="s">
        <v>431</v>
      </c>
      <c r="D38" s="30" t="s">
        <v>432</v>
      </c>
      <c r="E38" s="30" t="s">
        <v>27</v>
      </c>
      <c r="F38" s="31" t="s">
        <v>89</v>
      </c>
      <c r="G38" s="30" t="s">
        <v>320</v>
      </c>
      <c r="H38" s="30" t="s">
        <v>433</v>
      </c>
      <c r="I38" s="30" t="s">
        <v>434</v>
      </c>
      <c r="J38" s="30"/>
      <c r="K38" s="32" t="s">
        <v>435</v>
      </c>
      <c r="L38" s="30">
        <v>2.7159628185E10</v>
      </c>
      <c r="M38" s="30" t="s">
        <v>436</v>
      </c>
      <c r="N38" s="30"/>
      <c r="O38" s="30" t="s">
        <v>437</v>
      </c>
      <c r="P38" s="30"/>
      <c r="Q38" s="30"/>
      <c r="R38" s="30"/>
      <c r="S38" s="30"/>
      <c r="T38" s="30" t="s">
        <v>179</v>
      </c>
      <c r="U38" s="30"/>
      <c r="V38" s="30" t="s">
        <v>190</v>
      </c>
      <c r="W38" s="30"/>
      <c r="X38" s="33"/>
      <c r="Y38" s="33"/>
      <c r="Z38" s="33"/>
      <c r="AA38" s="33"/>
      <c r="AB38" s="33"/>
      <c r="AC38" s="33"/>
      <c r="AD38" s="33"/>
    </row>
    <row r="39" ht="24.75" customHeight="1">
      <c r="A39" s="29" t="s">
        <v>438</v>
      </c>
      <c r="B39" s="30" t="s">
        <v>439</v>
      </c>
      <c r="C39" s="30" t="s">
        <v>440</v>
      </c>
      <c r="D39" s="30" t="s">
        <v>159</v>
      </c>
      <c r="E39" s="30" t="s">
        <v>54</v>
      </c>
      <c r="F39" s="31" t="s">
        <v>41</v>
      </c>
      <c r="G39" s="30" t="s">
        <v>320</v>
      </c>
      <c r="H39" s="30" t="s">
        <v>441</v>
      </c>
      <c r="I39" s="30" t="s">
        <v>442</v>
      </c>
      <c r="J39" s="30"/>
      <c r="K39" s="32" t="s">
        <v>443</v>
      </c>
      <c r="L39" s="30" t="s">
        <v>444</v>
      </c>
      <c r="M39" s="31" t="s">
        <v>445</v>
      </c>
      <c r="N39" s="30"/>
      <c r="O39" s="31" t="s">
        <v>446</v>
      </c>
      <c r="P39" s="30"/>
      <c r="Q39" s="31"/>
      <c r="R39" s="31"/>
      <c r="S39" s="31"/>
      <c r="T39" s="31" t="s">
        <v>447</v>
      </c>
      <c r="U39" s="30"/>
      <c r="V39" s="30" t="s">
        <v>190</v>
      </c>
      <c r="W39" s="30"/>
      <c r="X39" s="33"/>
      <c r="Y39" s="33"/>
      <c r="Z39" s="33"/>
      <c r="AA39" s="33"/>
      <c r="AB39" s="33"/>
      <c r="AC39" s="33"/>
      <c r="AD39" s="33"/>
    </row>
    <row r="40" ht="24.75" customHeight="1">
      <c r="A40" s="29" t="s">
        <v>448</v>
      </c>
      <c r="B40" s="35" t="s">
        <v>449</v>
      </c>
      <c r="C40" s="35" t="s">
        <v>450</v>
      </c>
      <c r="D40" s="30" t="s">
        <v>451</v>
      </c>
      <c r="E40" s="30" t="s">
        <v>183</v>
      </c>
      <c r="F40" s="31" t="s">
        <v>41</v>
      </c>
      <c r="G40" s="30" t="s">
        <v>320</v>
      </c>
      <c r="H40" s="30" t="s">
        <v>452</v>
      </c>
      <c r="I40" s="30" t="s">
        <v>453</v>
      </c>
      <c r="J40" s="30"/>
      <c r="K40" s="32" t="s">
        <v>454</v>
      </c>
      <c r="L40" s="30" t="s">
        <v>455</v>
      </c>
      <c r="M40" s="31" t="s">
        <v>456</v>
      </c>
      <c r="N40" s="30"/>
      <c r="O40" s="30" t="s">
        <v>457</v>
      </c>
      <c r="P40" s="30"/>
      <c r="Q40" s="31"/>
      <c r="R40" s="31"/>
      <c r="S40" s="31"/>
      <c r="T40" s="31" t="s">
        <v>458</v>
      </c>
      <c r="U40" s="30"/>
      <c r="V40" s="31" t="s">
        <v>459</v>
      </c>
      <c r="W40" s="30" t="s">
        <v>460</v>
      </c>
      <c r="X40" s="33"/>
      <c r="Y40" s="33"/>
      <c r="Z40" s="33"/>
      <c r="AA40" s="33"/>
      <c r="AB40" s="33"/>
      <c r="AC40" s="33"/>
      <c r="AD40" s="33"/>
    </row>
    <row r="41" ht="24.75" customHeight="1">
      <c r="A41" s="36" t="s">
        <v>461</v>
      </c>
      <c r="B41" s="14" t="s">
        <v>462</v>
      </c>
      <c r="C41" s="14" t="s">
        <v>463</v>
      </c>
      <c r="D41" s="14" t="s">
        <v>464</v>
      </c>
      <c r="E41" s="14" t="s">
        <v>465</v>
      </c>
      <c r="F41" s="15" t="s">
        <v>89</v>
      </c>
      <c r="G41" s="14" t="s">
        <v>466</v>
      </c>
      <c r="H41" s="14" t="s">
        <v>467</v>
      </c>
      <c r="I41" s="14" t="s">
        <v>468</v>
      </c>
      <c r="J41" s="14"/>
      <c r="K41" s="17" t="s">
        <v>469</v>
      </c>
      <c r="L41" s="14" t="s">
        <v>470</v>
      </c>
      <c r="M41" s="14" t="s">
        <v>471</v>
      </c>
      <c r="N41" s="14"/>
      <c r="O41" s="15" t="s">
        <v>472</v>
      </c>
      <c r="P41" s="14"/>
      <c r="Q41" s="14"/>
      <c r="R41" s="14"/>
      <c r="S41" s="14"/>
      <c r="T41" s="14" t="s">
        <v>179</v>
      </c>
      <c r="U41" s="14"/>
      <c r="V41" s="15" t="s">
        <v>473</v>
      </c>
      <c r="W41" s="14"/>
      <c r="X41" s="18"/>
      <c r="Y41" s="18"/>
      <c r="Z41" s="18"/>
      <c r="AA41" s="18"/>
      <c r="AB41" s="18"/>
      <c r="AC41" s="18"/>
      <c r="AD41" s="18"/>
    </row>
    <row r="42" ht="24.75" customHeight="1">
      <c r="A42" s="36" t="s">
        <v>474</v>
      </c>
      <c r="B42" s="37" t="s">
        <v>475</v>
      </c>
      <c r="C42" s="37" t="s">
        <v>476</v>
      </c>
      <c r="D42" s="37" t="s">
        <v>182</v>
      </c>
      <c r="E42" s="37" t="s">
        <v>183</v>
      </c>
      <c r="F42" s="38" t="s">
        <v>41</v>
      </c>
      <c r="G42" s="37" t="s">
        <v>466</v>
      </c>
      <c r="H42" s="37" t="s">
        <v>184</v>
      </c>
      <c r="I42" s="37" t="s">
        <v>477</v>
      </c>
      <c r="J42" s="37"/>
      <c r="K42" s="37" t="s">
        <v>478</v>
      </c>
      <c r="L42" s="37"/>
      <c r="M42" s="37" t="s">
        <v>479</v>
      </c>
      <c r="N42" s="37"/>
      <c r="O42" s="39" t="s">
        <v>480</v>
      </c>
      <c r="P42" s="37"/>
      <c r="Q42" s="37"/>
      <c r="R42" s="37"/>
      <c r="S42" s="37"/>
      <c r="T42" s="37" t="s">
        <v>179</v>
      </c>
      <c r="U42" s="37"/>
      <c r="V42" s="37" t="s">
        <v>190</v>
      </c>
      <c r="W42" s="37"/>
      <c r="X42" s="40"/>
      <c r="Y42" s="40"/>
      <c r="Z42" s="40"/>
      <c r="AA42" s="40"/>
      <c r="AB42" s="40"/>
      <c r="AC42" s="40"/>
      <c r="AD42" s="40"/>
    </row>
    <row r="43" ht="24.75" customHeight="1">
      <c r="A43" s="36" t="s">
        <v>481</v>
      </c>
      <c r="B43" s="14" t="s">
        <v>482</v>
      </c>
      <c r="C43" s="14" t="s">
        <v>483</v>
      </c>
      <c r="D43" s="14" t="s">
        <v>159</v>
      </c>
      <c r="E43" s="14" t="s">
        <v>54</v>
      </c>
      <c r="F43" s="15" t="s">
        <v>41</v>
      </c>
      <c r="G43" s="14" t="s">
        <v>466</v>
      </c>
      <c r="H43" s="14" t="s">
        <v>484</v>
      </c>
      <c r="I43" s="14" t="s">
        <v>485</v>
      </c>
      <c r="J43" s="14" t="s">
        <v>486</v>
      </c>
      <c r="K43" s="17" t="s">
        <v>487</v>
      </c>
      <c r="L43" s="14" t="s">
        <v>488</v>
      </c>
      <c r="M43" s="14" t="s">
        <v>489</v>
      </c>
      <c r="N43" s="14"/>
      <c r="O43" s="14"/>
      <c r="P43" s="14"/>
      <c r="Q43" s="15"/>
      <c r="R43" s="15"/>
      <c r="S43" s="15"/>
      <c r="T43" s="15" t="s">
        <v>490</v>
      </c>
      <c r="U43" s="15" t="s">
        <v>491</v>
      </c>
      <c r="V43" s="15" t="s">
        <v>492</v>
      </c>
      <c r="W43" s="14"/>
      <c r="X43" s="18"/>
      <c r="Y43" s="18"/>
      <c r="Z43" s="18"/>
      <c r="AA43" s="18"/>
      <c r="AB43" s="18"/>
      <c r="AC43" s="18"/>
      <c r="AD43" s="18"/>
    </row>
    <row r="44" ht="24.75" customHeight="1">
      <c r="A44" s="36" t="s">
        <v>493</v>
      </c>
      <c r="B44" s="39" t="s">
        <v>494</v>
      </c>
      <c r="C44" s="41" t="s">
        <v>495</v>
      </c>
      <c r="D44" s="41" t="s">
        <v>182</v>
      </c>
      <c r="E44" s="41" t="s">
        <v>183</v>
      </c>
      <c r="F44" s="39" t="s">
        <v>41</v>
      </c>
      <c r="G44" s="41" t="s">
        <v>466</v>
      </c>
      <c r="H44" s="41" t="s">
        <v>496</v>
      </c>
      <c r="I44" s="41" t="s">
        <v>497</v>
      </c>
      <c r="J44" s="41"/>
      <c r="K44" s="42" t="s">
        <v>498</v>
      </c>
      <c r="L44" s="41"/>
      <c r="M44" s="41" t="s">
        <v>499</v>
      </c>
      <c r="N44" s="41"/>
      <c r="O44" s="39" t="s">
        <v>480</v>
      </c>
      <c r="P44" s="41"/>
      <c r="Q44" s="41"/>
      <c r="R44" s="41"/>
      <c r="S44" s="41"/>
      <c r="T44" s="41" t="s">
        <v>179</v>
      </c>
      <c r="U44" s="41"/>
      <c r="V44" s="41" t="s">
        <v>190</v>
      </c>
      <c r="W44" s="41"/>
      <c r="X44" s="43"/>
      <c r="Y44" s="43"/>
      <c r="Z44" s="43"/>
      <c r="AA44" s="43"/>
      <c r="AB44" s="43"/>
      <c r="AC44" s="43"/>
      <c r="AD44" s="43"/>
    </row>
    <row r="45" ht="24.75" customHeight="1">
      <c r="A45" s="36" t="s">
        <v>500</v>
      </c>
      <c r="B45" s="14" t="s">
        <v>501</v>
      </c>
      <c r="C45" s="14" t="s">
        <v>502</v>
      </c>
      <c r="D45" s="14" t="s">
        <v>159</v>
      </c>
      <c r="E45" s="14" t="s">
        <v>54</v>
      </c>
      <c r="F45" s="15" t="s">
        <v>41</v>
      </c>
      <c r="G45" s="14" t="s">
        <v>466</v>
      </c>
      <c r="H45" s="14" t="s">
        <v>503</v>
      </c>
      <c r="I45" s="14" t="s">
        <v>504</v>
      </c>
      <c r="J45" s="14"/>
      <c r="K45" s="17" t="s">
        <v>505</v>
      </c>
      <c r="L45" s="14" t="s">
        <v>506</v>
      </c>
      <c r="M45" s="14" t="s">
        <v>507</v>
      </c>
      <c r="N45" s="14" t="s">
        <v>508</v>
      </c>
      <c r="O45" s="15" t="s">
        <v>509</v>
      </c>
      <c r="P45" s="14"/>
      <c r="Q45" s="14"/>
      <c r="R45" s="14"/>
      <c r="S45" s="14"/>
      <c r="T45" s="14" t="s">
        <v>510</v>
      </c>
      <c r="U45" s="14"/>
      <c r="V45" s="14" t="s">
        <v>190</v>
      </c>
      <c r="W45" s="14"/>
      <c r="X45" s="18"/>
      <c r="Y45" s="18"/>
      <c r="Z45" s="18"/>
      <c r="AA45" s="18"/>
      <c r="AB45" s="18"/>
      <c r="AC45" s="18"/>
      <c r="AD45" s="18"/>
    </row>
    <row r="46" ht="24.75" customHeight="1">
      <c r="A46" s="36" t="s">
        <v>511</v>
      </c>
      <c r="B46" s="14" t="s">
        <v>512</v>
      </c>
      <c r="C46" s="14" t="s">
        <v>513</v>
      </c>
      <c r="D46" s="14" t="s">
        <v>159</v>
      </c>
      <c r="E46" s="14" t="s">
        <v>54</v>
      </c>
      <c r="F46" s="15" t="s">
        <v>41</v>
      </c>
      <c r="G46" s="14" t="s">
        <v>466</v>
      </c>
      <c r="H46" s="14" t="s">
        <v>514</v>
      </c>
      <c r="I46" s="14" t="s">
        <v>515</v>
      </c>
      <c r="J46" s="14" t="s">
        <v>516</v>
      </c>
      <c r="K46" s="17" t="s">
        <v>517</v>
      </c>
      <c r="L46" s="14" t="s">
        <v>518</v>
      </c>
      <c r="M46" s="14" t="s">
        <v>519</v>
      </c>
      <c r="N46" s="14"/>
      <c r="O46" s="14" t="s">
        <v>520</v>
      </c>
      <c r="P46" s="14" t="s">
        <v>144</v>
      </c>
      <c r="Q46" s="15"/>
      <c r="R46" s="15"/>
      <c r="S46" s="15"/>
      <c r="T46" s="15" t="s">
        <v>521</v>
      </c>
      <c r="U46" s="15" t="s">
        <v>522</v>
      </c>
      <c r="V46" s="15" t="s">
        <v>523</v>
      </c>
      <c r="W46" s="14"/>
      <c r="X46" s="18"/>
      <c r="Y46" s="18"/>
      <c r="Z46" s="18"/>
      <c r="AA46" s="18"/>
      <c r="AB46" s="18"/>
      <c r="AC46" s="18"/>
      <c r="AD46" s="18"/>
    </row>
    <row r="47" ht="24.75" customHeight="1">
      <c r="A47" s="36" t="s">
        <v>524</v>
      </c>
      <c r="B47" s="14" t="s">
        <v>525</v>
      </c>
      <c r="C47" s="14" t="s">
        <v>526</v>
      </c>
      <c r="D47" s="14" t="s">
        <v>527</v>
      </c>
      <c r="E47" s="14" t="s">
        <v>27</v>
      </c>
      <c r="F47" s="15" t="s">
        <v>41</v>
      </c>
      <c r="G47" s="14" t="s">
        <v>466</v>
      </c>
      <c r="H47" s="14" t="s">
        <v>528</v>
      </c>
      <c r="I47" s="14" t="s">
        <v>529</v>
      </c>
      <c r="J47" s="14"/>
      <c r="K47" s="14" t="s">
        <v>530</v>
      </c>
      <c r="L47" s="14" t="s">
        <v>531</v>
      </c>
      <c r="M47" s="14" t="s">
        <v>532</v>
      </c>
      <c r="N47" s="14"/>
      <c r="O47" s="14"/>
      <c r="P47" s="14"/>
      <c r="Q47" s="14"/>
      <c r="R47" s="14"/>
      <c r="S47" s="14"/>
      <c r="T47" s="15" t="s">
        <v>533</v>
      </c>
      <c r="U47" s="14" t="s">
        <v>534</v>
      </c>
      <c r="V47" s="15" t="s">
        <v>535</v>
      </c>
      <c r="W47" s="14"/>
      <c r="X47" s="18"/>
      <c r="Y47" s="18"/>
      <c r="Z47" s="18"/>
      <c r="AA47" s="18"/>
      <c r="AB47" s="18"/>
      <c r="AC47" s="18"/>
      <c r="AD47" s="18"/>
    </row>
    <row r="48" ht="24.75" customHeight="1">
      <c r="A48" s="36" t="s">
        <v>536</v>
      </c>
      <c r="B48" s="14" t="s">
        <v>537</v>
      </c>
      <c r="C48" s="14" t="s">
        <v>538</v>
      </c>
      <c r="D48" s="14" t="s">
        <v>464</v>
      </c>
      <c r="E48" s="14" t="s">
        <v>465</v>
      </c>
      <c r="F48" s="15" t="s">
        <v>41</v>
      </c>
      <c r="G48" s="14" t="s">
        <v>466</v>
      </c>
      <c r="H48" s="14" t="s">
        <v>539</v>
      </c>
      <c r="I48" s="14" t="s">
        <v>540</v>
      </c>
      <c r="J48" s="14"/>
      <c r="K48" s="17" t="s">
        <v>541</v>
      </c>
      <c r="L48" s="14" t="s">
        <v>542</v>
      </c>
      <c r="M48" s="14" t="s">
        <v>543</v>
      </c>
      <c r="N48" s="14"/>
      <c r="O48" s="14" t="s">
        <v>544</v>
      </c>
      <c r="P48" s="14"/>
      <c r="Q48" s="14"/>
      <c r="R48" s="14"/>
      <c r="S48" s="14"/>
      <c r="T48" s="14"/>
      <c r="U48" s="14"/>
      <c r="V48" s="14" t="s">
        <v>222</v>
      </c>
      <c r="W48" s="14" t="s">
        <v>545</v>
      </c>
      <c r="X48" s="18"/>
      <c r="Y48" s="18"/>
      <c r="Z48" s="18"/>
      <c r="AA48" s="18"/>
      <c r="AB48" s="18"/>
      <c r="AC48" s="18"/>
      <c r="AD48" s="18"/>
    </row>
    <row r="49" ht="24.75" customHeight="1">
      <c r="A49" s="36" t="s">
        <v>546</v>
      </c>
      <c r="B49" s="14" t="s">
        <v>547</v>
      </c>
      <c r="C49" s="14" t="s">
        <v>548</v>
      </c>
      <c r="D49" s="14" t="s">
        <v>182</v>
      </c>
      <c r="E49" s="14" t="s">
        <v>183</v>
      </c>
      <c r="F49" s="15" t="s">
        <v>41</v>
      </c>
      <c r="G49" s="14" t="s">
        <v>466</v>
      </c>
      <c r="H49" s="14" t="s">
        <v>184</v>
      </c>
      <c r="I49" s="14" t="s">
        <v>549</v>
      </c>
      <c r="J49" s="14"/>
      <c r="K49" s="17" t="s">
        <v>550</v>
      </c>
      <c r="L49" s="14"/>
      <c r="M49" s="15" t="s">
        <v>551</v>
      </c>
      <c r="N49" s="14"/>
      <c r="O49" s="14" t="s">
        <v>552</v>
      </c>
      <c r="P49" s="14"/>
      <c r="Q49" s="14"/>
      <c r="R49" s="14"/>
      <c r="S49" s="14"/>
      <c r="T49" s="14"/>
      <c r="U49" s="14"/>
      <c r="V49" s="14" t="s">
        <v>222</v>
      </c>
      <c r="W49" s="14"/>
      <c r="X49" s="18"/>
      <c r="Y49" s="18"/>
      <c r="Z49" s="18"/>
      <c r="AA49" s="18"/>
      <c r="AB49" s="18"/>
      <c r="AC49" s="18"/>
      <c r="AD49" s="18"/>
    </row>
    <row r="50" ht="24.75" customHeight="1">
      <c r="A50" s="36" t="s">
        <v>553</v>
      </c>
      <c r="B50" s="14" t="s">
        <v>554</v>
      </c>
      <c r="C50" s="14" t="s">
        <v>555</v>
      </c>
      <c r="D50" s="14" t="s">
        <v>527</v>
      </c>
      <c r="E50" s="14" t="s">
        <v>27</v>
      </c>
      <c r="F50" s="15" t="s">
        <v>89</v>
      </c>
      <c r="G50" s="14" t="s">
        <v>466</v>
      </c>
      <c r="H50" s="14" t="s">
        <v>556</v>
      </c>
      <c r="I50" s="14" t="s">
        <v>557</v>
      </c>
      <c r="J50" s="14"/>
      <c r="K50" s="14" t="s">
        <v>558</v>
      </c>
      <c r="L50" s="14">
        <v>2.19593895E8</v>
      </c>
      <c r="M50" s="15" t="s">
        <v>559</v>
      </c>
      <c r="N50" s="15" t="s">
        <v>560</v>
      </c>
      <c r="O50" s="15" t="s">
        <v>561</v>
      </c>
      <c r="P50" s="14" t="s">
        <v>562</v>
      </c>
      <c r="Q50" s="14"/>
      <c r="R50" s="14"/>
      <c r="S50" s="14"/>
      <c r="T50" s="14"/>
      <c r="U50" s="14"/>
      <c r="V50" s="14" t="s">
        <v>190</v>
      </c>
      <c r="W50" s="14"/>
      <c r="X50" s="18"/>
      <c r="Y50" s="18"/>
      <c r="Z50" s="18"/>
      <c r="AA50" s="18"/>
      <c r="AB50" s="18"/>
      <c r="AC50" s="18"/>
      <c r="AD50" s="18"/>
    </row>
    <row r="51" ht="24.75" customHeight="1">
      <c r="A51" s="36" t="s">
        <v>563</v>
      </c>
      <c r="B51" s="14" t="s">
        <v>564</v>
      </c>
      <c r="C51" s="14" t="s">
        <v>565</v>
      </c>
      <c r="D51" s="14" t="s">
        <v>464</v>
      </c>
      <c r="E51" s="14" t="s">
        <v>465</v>
      </c>
      <c r="F51" s="15" t="s">
        <v>41</v>
      </c>
      <c r="G51" s="14" t="s">
        <v>466</v>
      </c>
      <c r="H51" s="14" t="s">
        <v>566</v>
      </c>
      <c r="I51" s="14" t="s">
        <v>567</v>
      </c>
      <c r="J51" s="14" t="s">
        <v>568</v>
      </c>
      <c r="K51" s="15" t="s">
        <v>569</v>
      </c>
      <c r="L51" s="14" t="s">
        <v>570</v>
      </c>
      <c r="M51" s="14" t="s">
        <v>571</v>
      </c>
      <c r="N51" s="14"/>
      <c r="O51" s="14" t="s">
        <v>572</v>
      </c>
      <c r="P51" s="14"/>
      <c r="Q51" s="14"/>
      <c r="R51" s="14"/>
      <c r="S51" s="14"/>
      <c r="T51" s="14"/>
      <c r="U51" s="14"/>
      <c r="V51" s="15" t="s">
        <v>573</v>
      </c>
      <c r="W51" s="14" t="s">
        <v>574</v>
      </c>
      <c r="X51" s="18"/>
      <c r="Y51" s="18"/>
      <c r="Z51" s="18"/>
      <c r="AA51" s="18"/>
      <c r="AB51" s="18"/>
      <c r="AC51" s="18"/>
      <c r="AD51" s="18"/>
    </row>
    <row r="52" ht="24.75" customHeight="1">
      <c r="A52" s="36" t="s">
        <v>575</v>
      </c>
      <c r="B52" s="14" t="s">
        <v>576</v>
      </c>
      <c r="C52" s="14" t="s">
        <v>577</v>
      </c>
      <c r="D52" s="14" t="s">
        <v>182</v>
      </c>
      <c r="E52" s="14" t="s">
        <v>183</v>
      </c>
      <c r="F52" s="15" t="s">
        <v>41</v>
      </c>
      <c r="G52" s="14" t="s">
        <v>466</v>
      </c>
      <c r="H52" s="14" t="s">
        <v>184</v>
      </c>
      <c r="I52" s="14" t="s">
        <v>578</v>
      </c>
      <c r="J52" s="14"/>
      <c r="K52" s="17" t="s">
        <v>579</v>
      </c>
      <c r="L52" s="14"/>
      <c r="M52" s="14" t="s">
        <v>580</v>
      </c>
      <c r="N52" s="14"/>
      <c r="O52" s="14"/>
      <c r="P52" s="14"/>
      <c r="Q52" s="14"/>
      <c r="R52" s="14"/>
      <c r="S52" s="14"/>
      <c r="T52" s="14"/>
      <c r="U52" s="14"/>
      <c r="V52" s="14" t="s">
        <v>581</v>
      </c>
      <c r="W52" s="14"/>
      <c r="X52" s="18"/>
      <c r="Y52" s="18"/>
      <c r="Z52" s="18"/>
      <c r="AA52" s="18"/>
      <c r="AB52" s="18"/>
      <c r="AC52" s="18"/>
      <c r="AD52" s="18"/>
    </row>
    <row r="53" ht="24.75" customHeight="1">
      <c r="A53" s="36" t="s">
        <v>582</v>
      </c>
      <c r="B53" s="14" t="s">
        <v>583</v>
      </c>
      <c r="C53" s="14" t="s">
        <v>192</v>
      </c>
      <c r="D53" s="14" t="s">
        <v>584</v>
      </c>
      <c r="E53" s="14" t="s">
        <v>54</v>
      </c>
      <c r="F53" s="15" t="s">
        <v>41</v>
      </c>
      <c r="G53" s="14" t="s">
        <v>466</v>
      </c>
      <c r="H53" s="14" t="s">
        <v>585</v>
      </c>
      <c r="I53" s="14" t="s">
        <v>586</v>
      </c>
      <c r="J53" s="14"/>
      <c r="K53" s="14" t="s">
        <v>587</v>
      </c>
      <c r="L53" s="14" t="s">
        <v>588</v>
      </c>
      <c r="M53" s="14" t="s">
        <v>589</v>
      </c>
      <c r="N53" s="14" t="s">
        <v>590</v>
      </c>
      <c r="O53" s="15" t="s">
        <v>591</v>
      </c>
      <c r="P53" s="14"/>
      <c r="Q53" s="15"/>
      <c r="R53" s="15"/>
      <c r="S53" s="15"/>
      <c r="T53" s="15" t="s">
        <v>592</v>
      </c>
      <c r="U53" s="15" t="s">
        <v>593</v>
      </c>
      <c r="V53" s="15" t="s">
        <v>594</v>
      </c>
      <c r="W53" s="15" t="s">
        <v>595</v>
      </c>
      <c r="X53" s="18"/>
      <c r="Y53" s="18"/>
      <c r="Z53" s="18"/>
      <c r="AA53" s="18"/>
      <c r="AB53" s="18"/>
      <c r="AC53" s="18"/>
      <c r="AD53" s="18"/>
    </row>
    <row r="54" ht="24.75" customHeight="1">
      <c r="A54" s="28" t="s">
        <v>596</v>
      </c>
      <c r="B54" s="23" t="s">
        <v>597</v>
      </c>
      <c r="C54" s="23" t="s">
        <v>598</v>
      </c>
      <c r="D54" s="23" t="s">
        <v>159</v>
      </c>
      <c r="E54" s="23" t="s">
        <v>54</v>
      </c>
      <c r="F54" s="24" t="s">
        <v>41</v>
      </c>
      <c r="G54" s="23" t="s">
        <v>599</v>
      </c>
      <c r="H54" s="23" t="s">
        <v>600</v>
      </c>
      <c r="I54" s="23" t="s">
        <v>601</v>
      </c>
      <c r="J54" s="23"/>
      <c r="K54" s="23" t="s">
        <v>602</v>
      </c>
      <c r="L54" s="23" t="s">
        <v>603</v>
      </c>
      <c r="M54" s="23" t="s">
        <v>604</v>
      </c>
      <c r="N54" s="23"/>
      <c r="O54" s="23" t="s">
        <v>605</v>
      </c>
      <c r="P54" s="23"/>
      <c r="Q54" s="24"/>
      <c r="R54" s="24"/>
      <c r="S54" s="24"/>
      <c r="T54" s="24" t="s">
        <v>606</v>
      </c>
      <c r="U54" s="23"/>
      <c r="V54" s="23" t="s">
        <v>190</v>
      </c>
      <c r="W54" s="23"/>
      <c r="X54" s="26"/>
      <c r="Y54" s="26"/>
      <c r="Z54" s="26"/>
      <c r="AA54" s="26"/>
      <c r="AB54" s="26"/>
      <c r="AC54" s="26"/>
      <c r="AD54" s="26"/>
    </row>
    <row r="55" ht="24.75" customHeight="1">
      <c r="A55" s="28" t="s">
        <v>607</v>
      </c>
      <c r="B55" s="24" t="s">
        <v>608</v>
      </c>
      <c r="C55" s="23" t="s">
        <v>609</v>
      </c>
      <c r="D55" s="23" t="s">
        <v>159</v>
      </c>
      <c r="E55" s="23" t="s">
        <v>54</v>
      </c>
      <c r="F55" s="24" t="s">
        <v>89</v>
      </c>
      <c r="G55" s="23" t="s">
        <v>599</v>
      </c>
      <c r="H55" s="23" t="s">
        <v>610</v>
      </c>
      <c r="I55" s="23" t="s">
        <v>611</v>
      </c>
      <c r="J55" s="23"/>
      <c r="K55" s="25" t="s">
        <v>612</v>
      </c>
      <c r="L55" s="23" t="s">
        <v>613</v>
      </c>
      <c r="M55" s="23" t="s">
        <v>614</v>
      </c>
      <c r="N55" s="23" t="s">
        <v>615</v>
      </c>
      <c r="O55" s="23" t="s">
        <v>616</v>
      </c>
      <c r="P55" s="23"/>
      <c r="Q55" s="23"/>
      <c r="R55" s="23"/>
      <c r="S55" s="23"/>
      <c r="T55" s="23" t="s">
        <v>617</v>
      </c>
      <c r="U55" s="24" t="s">
        <v>618</v>
      </c>
      <c r="V55" s="24" t="s">
        <v>619</v>
      </c>
      <c r="W55" s="23"/>
      <c r="X55" s="26"/>
      <c r="Y55" s="26"/>
      <c r="Z55" s="26"/>
      <c r="AA55" s="26"/>
      <c r="AB55" s="26"/>
      <c r="AC55" s="26"/>
      <c r="AD55" s="26"/>
    </row>
    <row r="56" ht="24.75" customHeight="1">
      <c r="A56" s="28" t="s">
        <v>620</v>
      </c>
      <c r="B56" s="23" t="s">
        <v>621</v>
      </c>
      <c r="C56" s="23" t="s">
        <v>622</v>
      </c>
      <c r="D56" s="23" t="s">
        <v>159</v>
      </c>
      <c r="E56" s="23" t="s">
        <v>54</v>
      </c>
      <c r="F56" s="24" t="s">
        <v>89</v>
      </c>
      <c r="G56" s="23" t="s">
        <v>599</v>
      </c>
      <c r="H56" s="23" t="s">
        <v>243</v>
      </c>
      <c r="I56" s="23" t="s">
        <v>623</v>
      </c>
      <c r="J56" s="23"/>
      <c r="K56" s="23" t="s">
        <v>624</v>
      </c>
      <c r="L56" s="23" t="s">
        <v>625</v>
      </c>
      <c r="M56" s="23" t="s">
        <v>626</v>
      </c>
      <c r="N56" s="23" t="s">
        <v>627</v>
      </c>
      <c r="O56" s="23" t="s">
        <v>628</v>
      </c>
      <c r="P56" s="23"/>
      <c r="Q56" s="23"/>
      <c r="R56" s="23"/>
      <c r="S56" s="23"/>
      <c r="T56" s="23"/>
      <c r="U56" s="23"/>
      <c r="V56" s="24" t="s">
        <v>629</v>
      </c>
      <c r="W56" s="23" t="s">
        <v>630</v>
      </c>
      <c r="X56" s="26"/>
      <c r="Y56" s="26"/>
      <c r="Z56" s="26"/>
      <c r="AA56" s="26"/>
      <c r="AB56" s="26"/>
      <c r="AC56" s="26"/>
      <c r="AD56" s="26"/>
    </row>
    <row r="57" ht="24.75" customHeight="1">
      <c r="A57" s="28" t="s">
        <v>631</v>
      </c>
      <c r="B57" s="23" t="s">
        <v>632</v>
      </c>
      <c r="C57" s="23" t="s">
        <v>598</v>
      </c>
      <c r="D57" s="23" t="s">
        <v>464</v>
      </c>
      <c r="E57" s="23" t="s">
        <v>465</v>
      </c>
      <c r="F57" s="24" t="s">
        <v>41</v>
      </c>
      <c r="G57" s="23" t="s">
        <v>599</v>
      </c>
      <c r="H57" s="23" t="s">
        <v>633</v>
      </c>
      <c r="I57" s="23" t="s">
        <v>634</v>
      </c>
      <c r="J57" s="23" t="s">
        <v>635</v>
      </c>
      <c r="K57" s="25" t="s">
        <v>636</v>
      </c>
      <c r="L57" s="23" t="s">
        <v>637</v>
      </c>
      <c r="M57" s="23" t="s">
        <v>638</v>
      </c>
      <c r="N57" s="23"/>
      <c r="O57" s="23"/>
      <c r="P57" s="23"/>
      <c r="Q57" s="24"/>
      <c r="R57" s="24"/>
      <c r="S57" s="24"/>
      <c r="T57" s="24" t="s">
        <v>639</v>
      </c>
      <c r="U57" s="24" t="s">
        <v>640</v>
      </c>
      <c r="V57" s="24" t="s">
        <v>641</v>
      </c>
      <c r="W57" s="23"/>
      <c r="X57" s="26"/>
      <c r="Y57" s="26"/>
      <c r="Z57" s="26"/>
      <c r="AA57" s="26"/>
      <c r="AB57" s="26"/>
      <c r="AC57" s="26"/>
      <c r="AD57" s="26"/>
    </row>
    <row r="58" ht="24.75" customHeight="1">
      <c r="A58" s="28" t="s">
        <v>642</v>
      </c>
      <c r="B58" s="23" t="s">
        <v>643</v>
      </c>
      <c r="C58" s="23" t="s">
        <v>644</v>
      </c>
      <c r="D58" s="23" t="s">
        <v>182</v>
      </c>
      <c r="E58" s="23" t="s">
        <v>183</v>
      </c>
      <c r="F58" s="24" t="s">
        <v>89</v>
      </c>
      <c r="G58" s="23" t="s">
        <v>599</v>
      </c>
      <c r="H58" s="23" t="s">
        <v>217</v>
      </c>
      <c r="I58" s="23" t="s">
        <v>226</v>
      </c>
      <c r="J58" s="23"/>
      <c r="K58" s="24" t="s">
        <v>645</v>
      </c>
      <c r="L58" s="23">
        <v>2.316982629E9</v>
      </c>
      <c r="M58" s="23" t="s">
        <v>646</v>
      </c>
      <c r="N58" s="24" t="s">
        <v>647</v>
      </c>
      <c r="O58" s="24" t="s">
        <v>648</v>
      </c>
      <c r="P58" s="23"/>
      <c r="Q58" s="23"/>
      <c r="R58" s="23"/>
      <c r="S58" s="23"/>
      <c r="T58" s="23"/>
      <c r="U58" s="23"/>
      <c r="V58" s="24" t="s">
        <v>649</v>
      </c>
      <c r="W58" s="23" t="s">
        <v>650</v>
      </c>
      <c r="X58" s="26"/>
      <c r="Y58" s="26"/>
      <c r="Z58" s="26"/>
      <c r="AA58" s="26"/>
      <c r="AB58" s="26"/>
      <c r="AC58" s="26"/>
      <c r="AD58" s="26"/>
    </row>
    <row r="59" ht="24.75" customHeight="1">
      <c r="A59" s="28" t="s">
        <v>651</v>
      </c>
      <c r="B59" s="23" t="s">
        <v>652</v>
      </c>
      <c r="C59" s="23" t="s">
        <v>653</v>
      </c>
      <c r="D59" s="23" t="s">
        <v>182</v>
      </c>
      <c r="E59" s="23" t="s">
        <v>183</v>
      </c>
      <c r="F59" s="24" t="s">
        <v>41</v>
      </c>
      <c r="G59" s="23" t="s">
        <v>599</v>
      </c>
      <c r="H59" s="23" t="s">
        <v>654</v>
      </c>
      <c r="I59" s="23" t="s">
        <v>655</v>
      </c>
      <c r="J59" s="23"/>
      <c r="K59" s="23" t="s">
        <v>656</v>
      </c>
      <c r="L59" s="23" t="s">
        <v>657</v>
      </c>
      <c r="M59" s="23" t="s">
        <v>658</v>
      </c>
      <c r="N59" s="23"/>
      <c r="O59" s="23" t="s">
        <v>659</v>
      </c>
      <c r="P59" s="23"/>
      <c r="Q59" s="23"/>
      <c r="R59" s="23"/>
      <c r="S59" s="23"/>
      <c r="T59" s="23"/>
      <c r="U59" s="23"/>
      <c r="V59" s="23" t="s">
        <v>190</v>
      </c>
      <c r="W59" s="23"/>
      <c r="X59" s="26"/>
      <c r="Y59" s="26"/>
      <c r="Z59" s="26"/>
      <c r="AA59" s="26"/>
      <c r="AB59" s="26"/>
      <c r="AC59" s="26"/>
      <c r="AD59" s="26"/>
    </row>
    <row r="60" ht="24.75" customHeight="1">
      <c r="A60" s="28" t="s">
        <v>660</v>
      </c>
      <c r="B60" s="23" t="s">
        <v>661</v>
      </c>
      <c r="C60" s="23" t="s">
        <v>662</v>
      </c>
      <c r="D60" s="23" t="s">
        <v>309</v>
      </c>
      <c r="E60" s="23" t="s">
        <v>27</v>
      </c>
      <c r="F60" s="24" t="s">
        <v>89</v>
      </c>
      <c r="G60" s="23" t="s">
        <v>599</v>
      </c>
      <c r="H60" s="23" t="s">
        <v>663</v>
      </c>
      <c r="I60" s="23" t="s">
        <v>64</v>
      </c>
      <c r="J60" s="23" t="s">
        <v>664</v>
      </c>
      <c r="K60" s="23" t="s">
        <v>665</v>
      </c>
      <c r="L60" s="23" t="s">
        <v>666</v>
      </c>
      <c r="M60" s="23" t="s">
        <v>667</v>
      </c>
      <c r="N60" s="23"/>
      <c r="O60" s="23" t="s">
        <v>668</v>
      </c>
      <c r="P60" s="23" t="s">
        <v>669</v>
      </c>
      <c r="Q60" s="23"/>
      <c r="R60" s="23"/>
      <c r="S60" s="23"/>
      <c r="T60" s="23" t="s">
        <v>670</v>
      </c>
      <c r="U60" s="24" t="s">
        <v>671</v>
      </c>
      <c r="V60" s="24" t="s">
        <v>672</v>
      </c>
      <c r="W60" s="23" t="s">
        <v>673</v>
      </c>
      <c r="X60" s="26"/>
      <c r="Y60" s="26"/>
      <c r="Z60" s="26"/>
      <c r="AA60" s="26"/>
      <c r="AB60" s="26"/>
      <c r="AC60" s="26"/>
      <c r="AD60" s="26"/>
    </row>
    <row r="61" ht="24.75" customHeight="1">
      <c r="A61" s="28" t="s">
        <v>674</v>
      </c>
      <c r="B61" s="23" t="s">
        <v>675</v>
      </c>
      <c r="C61" s="23" t="s">
        <v>676</v>
      </c>
      <c r="D61" s="23" t="s">
        <v>527</v>
      </c>
      <c r="E61" s="23" t="s">
        <v>27</v>
      </c>
      <c r="F61" s="24" t="s">
        <v>41</v>
      </c>
      <c r="G61" s="23" t="s">
        <v>599</v>
      </c>
      <c r="H61" s="23" t="s">
        <v>677</v>
      </c>
      <c r="I61" s="23"/>
      <c r="J61" s="23"/>
      <c r="K61" s="23" t="s">
        <v>678</v>
      </c>
      <c r="L61" s="23" t="s">
        <v>679</v>
      </c>
      <c r="M61" s="23" t="s">
        <v>680</v>
      </c>
      <c r="N61" s="23"/>
      <c r="O61" s="23"/>
      <c r="P61" s="23"/>
      <c r="Q61" s="23"/>
      <c r="R61" s="23"/>
      <c r="S61" s="23"/>
      <c r="T61" s="23" t="s">
        <v>681</v>
      </c>
      <c r="U61" s="24" t="s">
        <v>682</v>
      </c>
      <c r="V61" s="24" t="s">
        <v>683</v>
      </c>
      <c r="W61" s="23"/>
      <c r="X61" s="26"/>
      <c r="Y61" s="26"/>
      <c r="Z61" s="26"/>
      <c r="AA61" s="26"/>
      <c r="AB61" s="26"/>
      <c r="AC61" s="26"/>
      <c r="AD61" s="26"/>
    </row>
    <row r="62" ht="24.75" customHeight="1">
      <c r="A62" s="28" t="s">
        <v>684</v>
      </c>
      <c r="B62" s="23" t="s">
        <v>685</v>
      </c>
      <c r="C62" s="23" t="s">
        <v>686</v>
      </c>
      <c r="D62" s="23" t="s">
        <v>464</v>
      </c>
      <c r="E62" s="23" t="s">
        <v>465</v>
      </c>
      <c r="F62" s="24" t="s">
        <v>89</v>
      </c>
      <c r="G62" s="23" t="s">
        <v>599</v>
      </c>
      <c r="H62" s="23" t="s">
        <v>687</v>
      </c>
      <c r="I62" s="23" t="s">
        <v>688</v>
      </c>
      <c r="J62" s="23"/>
      <c r="K62" s="23" t="s">
        <v>689</v>
      </c>
      <c r="L62" s="23" t="s">
        <v>690</v>
      </c>
      <c r="M62" s="23" t="s">
        <v>691</v>
      </c>
      <c r="N62" s="24" t="s">
        <v>692</v>
      </c>
      <c r="O62" s="23" t="s">
        <v>693</v>
      </c>
      <c r="P62" s="23"/>
      <c r="Q62" s="23"/>
      <c r="R62" s="23"/>
      <c r="S62" s="23"/>
      <c r="T62" s="23"/>
      <c r="U62" s="23"/>
      <c r="V62" s="23" t="s">
        <v>222</v>
      </c>
      <c r="W62" s="23"/>
      <c r="X62" s="26"/>
      <c r="Y62" s="26"/>
      <c r="Z62" s="26"/>
      <c r="AA62" s="26"/>
      <c r="AB62" s="26"/>
      <c r="AC62" s="26"/>
      <c r="AD62" s="26"/>
    </row>
    <row r="63" ht="24.75" customHeight="1">
      <c r="A63" s="28" t="s">
        <v>694</v>
      </c>
      <c r="B63" s="23" t="s">
        <v>695</v>
      </c>
      <c r="C63" s="23" t="s">
        <v>696</v>
      </c>
      <c r="D63" s="23" t="s">
        <v>294</v>
      </c>
      <c r="E63" s="23" t="s">
        <v>27</v>
      </c>
      <c r="F63" s="24" t="s">
        <v>89</v>
      </c>
      <c r="G63" s="23" t="s">
        <v>599</v>
      </c>
      <c r="H63" s="23" t="s">
        <v>697</v>
      </c>
      <c r="I63" s="23" t="s">
        <v>698</v>
      </c>
      <c r="J63" s="23"/>
      <c r="K63" s="23" t="s">
        <v>699</v>
      </c>
      <c r="L63" s="23" t="s">
        <v>700</v>
      </c>
      <c r="M63" s="23" t="s">
        <v>701</v>
      </c>
      <c r="N63" s="23"/>
      <c r="O63" s="23"/>
      <c r="P63" s="23"/>
      <c r="Q63" s="24"/>
      <c r="R63" s="24"/>
      <c r="S63" s="24"/>
      <c r="T63" s="24" t="s">
        <v>702</v>
      </c>
      <c r="U63" s="23"/>
      <c r="V63" s="24" t="s">
        <v>703</v>
      </c>
      <c r="W63" s="23"/>
      <c r="X63" s="26"/>
      <c r="Y63" s="26"/>
      <c r="Z63" s="26"/>
      <c r="AA63" s="26"/>
      <c r="AB63" s="26"/>
      <c r="AC63" s="26"/>
      <c r="AD63" s="26"/>
    </row>
    <row r="64" ht="24.75" customHeight="1">
      <c r="A64" s="28" t="s">
        <v>704</v>
      </c>
      <c r="B64" s="23" t="s">
        <v>705</v>
      </c>
      <c r="C64" s="23" t="s">
        <v>706</v>
      </c>
      <c r="D64" s="23" t="s">
        <v>53</v>
      </c>
      <c r="E64" s="23" t="s">
        <v>54</v>
      </c>
      <c r="F64" s="24" t="s">
        <v>89</v>
      </c>
      <c r="G64" s="23" t="s">
        <v>599</v>
      </c>
      <c r="H64" s="23" t="s">
        <v>90</v>
      </c>
      <c r="I64" s="23" t="s">
        <v>244</v>
      </c>
      <c r="J64" s="23"/>
      <c r="K64" s="25" t="s">
        <v>707</v>
      </c>
      <c r="L64" s="24" t="s">
        <v>708</v>
      </c>
      <c r="M64" s="23" t="s">
        <v>709</v>
      </c>
      <c r="N64" s="24" t="s">
        <v>710</v>
      </c>
      <c r="O64" s="23"/>
      <c r="P64" s="23"/>
      <c r="Q64" s="24"/>
      <c r="R64" s="24"/>
      <c r="S64" s="24"/>
      <c r="T64" s="24" t="s">
        <v>711</v>
      </c>
      <c r="U64" s="23" t="s">
        <v>712</v>
      </c>
      <c r="V64" s="24" t="s">
        <v>713</v>
      </c>
      <c r="W64" s="23"/>
      <c r="X64" s="26"/>
      <c r="Y64" s="26"/>
      <c r="Z64" s="26"/>
      <c r="AA64" s="26"/>
      <c r="AB64" s="26"/>
      <c r="AC64" s="26"/>
      <c r="AD64" s="26"/>
    </row>
    <row r="65" ht="24.75" customHeight="1">
      <c r="A65" s="29" t="s">
        <v>714</v>
      </c>
      <c r="B65" s="30" t="s">
        <v>715</v>
      </c>
      <c r="C65" s="30" t="s">
        <v>716</v>
      </c>
      <c r="D65" s="30" t="s">
        <v>53</v>
      </c>
      <c r="E65" s="30" t="s">
        <v>54</v>
      </c>
      <c r="F65" s="31" t="s">
        <v>89</v>
      </c>
      <c r="G65" s="30" t="s">
        <v>717</v>
      </c>
      <c r="H65" s="30" t="s">
        <v>718</v>
      </c>
      <c r="I65" s="30" t="s">
        <v>719</v>
      </c>
      <c r="J65" s="30"/>
      <c r="K65" s="30" t="s">
        <v>720</v>
      </c>
      <c r="L65" s="44">
        <v>2.33208402413E11</v>
      </c>
      <c r="M65" s="30" t="s">
        <v>721</v>
      </c>
      <c r="N65" s="45" t="s">
        <v>722</v>
      </c>
      <c r="O65" s="30" t="s">
        <v>723</v>
      </c>
      <c r="P65" s="30"/>
      <c r="Q65" s="30"/>
      <c r="R65" s="30"/>
      <c r="S65" s="30"/>
      <c r="T65" s="30"/>
      <c r="U65" s="30"/>
      <c r="V65" s="30" t="s">
        <v>190</v>
      </c>
      <c r="W65" s="30"/>
      <c r="X65" s="33"/>
      <c r="Y65" s="33"/>
      <c r="Z65" s="33"/>
      <c r="AA65" s="33"/>
      <c r="AB65" s="33"/>
      <c r="AC65" s="33"/>
      <c r="AD65" s="33"/>
    </row>
    <row r="66" ht="24.75" customHeight="1">
      <c r="A66" s="29" t="s">
        <v>724</v>
      </c>
      <c r="B66" s="30" t="s">
        <v>725</v>
      </c>
      <c r="C66" s="30" t="s">
        <v>726</v>
      </c>
      <c r="D66" s="30" t="s">
        <v>53</v>
      </c>
      <c r="E66" s="30" t="s">
        <v>54</v>
      </c>
      <c r="F66" s="31" t="s">
        <v>41</v>
      </c>
      <c r="G66" s="30" t="s">
        <v>717</v>
      </c>
      <c r="H66" s="30" t="s">
        <v>727</v>
      </c>
      <c r="I66" s="30" t="s">
        <v>728</v>
      </c>
      <c r="J66" s="30"/>
      <c r="K66" s="30" t="s">
        <v>729</v>
      </c>
      <c r="L66" s="44" t="s">
        <v>730</v>
      </c>
      <c r="M66" s="30" t="s">
        <v>731</v>
      </c>
      <c r="N66" s="30"/>
      <c r="O66" s="30"/>
      <c r="P66" s="30"/>
      <c r="Q66" s="30"/>
      <c r="R66" s="30"/>
      <c r="S66" s="30"/>
      <c r="T66" s="30"/>
      <c r="U66" s="30"/>
      <c r="V66" s="31" t="s">
        <v>732</v>
      </c>
      <c r="W66" s="31" t="s">
        <v>733</v>
      </c>
      <c r="X66" s="33"/>
      <c r="Y66" s="33"/>
      <c r="Z66" s="33"/>
      <c r="AA66" s="33"/>
      <c r="AB66" s="33"/>
      <c r="AC66" s="33"/>
      <c r="AD66" s="33"/>
    </row>
    <row r="67" ht="24.75" customHeight="1">
      <c r="A67" s="29" t="s">
        <v>734</v>
      </c>
      <c r="B67" s="30" t="s">
        <v>735</v>
      </c>
      <c r="C67" s="30" t="s">
        <v>736</v>
      </c>
      <c r="D67" s="30" t="s">
        <v>737</v>
      </c>
      <c r="E67" s="30" t="s">
        <v>54</v>
      </c>
      <c r="F67" s="31" t="s">
        <v>41</v>
      </c>
      <c r="G67" s="30" t="s">
        <v>717</v>
      </c>
      <c r="H67" s="30" t="s">
        <v>738</v>
      </c>
      <c r="I67" s="30" t="s">
        <v>739</v>
      </c>
      <c r="J67" s="30"/>
      <c r="K67" s="30" t="s">
        <v>740</v>
      </c>
      <c r="L67" s="44">
        <v>2.7798021532E10</v>
      </c>
      <c r="M67" s="30" t="s">
        <v>741</v>
      </c>
      <c r="N67" s="31" t="s">
        <v>742</v>
      </c>
      <c r="O67" s="31" t="s">
        <v>743</v>
      </c>
      <c r="P67" s="30"/>
      <c r="Q67" s="31"/>
      <c r="R67" s="31"/>
      <c r="S67" s="31"/>
      <c r="T67" s="31" t="s">
        <v>744</v>
      </c>
      <c r="U67" s="31" t="s">
        <v>745</v>
      </c>
      <c r="V67" s="31" t="s">
        <v>746</v>
      </c>
      <c r="W67" s="30"/>
      <c r="X67" s="30"/>
      <c r="Y67" s="30"/>
      <c r="Z67" s="30"/>
      <c r="AA67" s="30"/>
      <c r="AB67" s="30"/>
      <c r="AC67" s="30"/>
      <c r="AD67" s="30"/>
    </row>
    <row r="68" ht="24.75" customHeight="1">
      <c r="A68" s="29" t="s">
        <v>747</v>
      </c>
      <c r="B68" s="30" t="s">
        <v>748</v>
      </c>
      <c r="C68" s="30" t="s">
        <v>331</v>
      </c>
      <c r="D68" s="30" t="s">
        <v>584</v>
      </c>
      <c r="E68" s="30" t="s">
        <v>54</v>
      </c>
      <c r="F68" s="31" t="s">
        <v>89</v>
      </c>
      <c r="G68" s="30" t="s">
        <v>717</v>
      </c>
      <c r="H68" s="30" t="s">
        <v>749</v>
      </c>
      <c r="I68" s="30" t="s">
        <v>750</v>
      </c>
      <c r="J68" s="30"/>
      <c r="K68" s="30" t="s">
        <v>751</v>
      </c>
      <c r="L68" s="44" t="s">
        <v>752</v>
      </c>
      <c r="M68" s="30" t="s">
        <v>753</v>
      </c>
      <c r="N68" s="31" t="s">
        <v>754</v>
      </c>
      <c r="O68" s="31" t="s">
        <v>755</v>
      </c>
      <c r="P68" s="30"/>
      <c r="Q68" s="30"/>
      <c r="R68" s="30"/>
      <c r="S68" s="30"/>
      <c r="T68" s="30" t="s">
        <v>756</v>
      </c>
      <c r="U68" s="30" t="s">
        <v>757</v>
      </c>
      <c r="V68" s="31" t="s">
        <v>758</v>
      </c>
      <c r="W68" s="31" t="s">
        <v>759</v>
      </c>
      <c r="X68" s="33"/>
      <c r="Y68" s="33"/>
      <c r="Z68" s="33"/>
      <c r="AA68" s="33"/>
      <c r="AB68" s="33"/>
      <c r="AC68" s="33"/>
      <c r="AD68" s="33"/>
    </row>
    <row r="69" ht="24.75" customHeight="1">
      <c r="A69" s="29" t="s">
        <v>760</v>
      </c>
      <c r="B69" s="31" t="s">
        <v>761</v>
      </c>
      <c r="C69" s="30" t="s">
        <v>762</v>
      </c>
      <c r="D69" s="30" t="s">
        <v>159</v>
      </c>
      <c r="E69" s="30" t="s">
        <v>54</v>
      </c>
      <c r="F69" s="31" t="s">
        <v>89</v>
      </c>
      <c r="G69" s="30" t="s">
        <v>717</v>
      </c>
      <c r="H69" s="30" t="s">
        <v>763</v>
      </c>
      <c r="I69" s="30" t="s">
        <v>764</v>
      </c>
      <c r="J69" s="30"/>
      <c r="K69" s="32" t="s">
        <v>765</v>
      </c>
      <c r="L69" s="44">
        <v>2.33200315879E11</v>
      </c>
      <c r="M69" s="30" t="s">
        <v>766</v>
      </c>
      <c r="N69" s="30" t="s">
        <v>767</v>
      </c>
      <c r="O69" s="31" t="s">
        <v>768</v>
      </c>
      <c r="P69" s="30"/>
      <c r="Q69" s="30"/>
      <c r="R69" s="30"/>
      <c r="S69" s="30"/>
      <c r="T69" s="30"/>
      <c r="U69" s="30"/>
      <c r="V69" s="30" t="s">
        <v>190</v>
      </c>
      <c r="W69" s="30"/>
      <c r="X69" s="33"/>
      <c r="Y69" s="33"/>
      <c r="Z69" s="33"/>
      <c r="AA69" s="33"/>
      <c r="AB69" s="33"/>
      <c r="AC69" s="33"/>
      <c r="AD69" s="33"/>
    </row>
    <row r="70" ht="24.75" customHeight="1">
      <c r="A70" s="29" t="s">
        <v>769</v>
      </c>
      <c r="B70" s="30" t="s">
        <v>770</v>
      </c>
      <c r="C70" s="30" t="s">
        <v>598</v>
      </c>
      <c r="D70" s="30" t="s">
        <v>159</v>
      </c>
      <c r="E70" s="30" t="s">
        <v>54</v>
      </c>
      <c r="F70" s="31" t="s">
        <v>41</v>
      </c>
      <c r="G70" s="30" t="s">
        <v>717</v>
      </c>
      <c r="H70" s="30" t="s">
        <v>771</v>
      </c>
      <c r="I70" s="30" t="s">
        <v>772</v>
      </c>
      <c r="J70" s="30" t="s">
        <v>773</v>
      </c>
      <c r="K70" s="30" t="s">
        <v>774</v>
      </c>
      <c r="L70" s="44">
        <v>2.33207457532E11</v>
      </c>
      <c r="M70" s="30" t="s">
        <v>775</v>
      </c>
      <c r="N70" s="31" t="s">
        <v>776</v>
      </c>
      <c r="O70" s="30"/>
      <c r="P70" s="30"/>
      <c r="Q70" s="31">
        <v>0.0</v>
      </c>
      <c r="R70" s="31">
        <v>0.0</v>
      </c>
      <c r="S70" s="31" t="s">
        <v>777</v>
      </c>
      <c r="T70" s="31" t="s">
        <v>778</v>
      </c>
      <c r="U70" s="31" t="s">
        <v>779</v>
      </c>
      <c r="V70" s="31" t="s">
        <v>780</v>
      </c>
      <c r="W70" s="30"/>
      <c r="X70" s="33"/>
      <c r="Y70" s="33"/>
      <c r="Z70" s="33"/>
      <c r="AA70" s="33"/>
      <c r="AB70" s="33"/>
      <c r="AC70" s="33"/>
      <c r="AD70" s="33"/>
    </row>
    <row r="71" ht="24.75" customHeight="1">
      <c r="A71" s="29" t="s">
        <v>781</v>
      </c>
      <c r="B71" s="30" t="s">
        <v>782</v>
      </c>
      <c r="C71" s="30" t="s">
        <v>783</v>
      </c>
      <c r="D71" s="30" t="s">
        <v>309</v>
      </c>
      <c r="E71" s="30" t="s">
        <v>27</v>
      </c>
      <c r="F71" s="31" t="s">
        <v>41</v>
      </c>
      <c r="G71" s="30" t="s">
        <v>717</v>
      </c>
      <c r="H71" s="30" t="s">
        <v>784</v>
      </c>
      <c r="I71" s="30" t="s">
        <v>785</v>
      </c>
      <c r="J71" s="30" t="s">
        <v>786</v>
      </c>
      <c r="K71" s="32" t="s">
        <v>787</v>
      </c>
      <c r="L71" s="46" t="s">
        <v>788</v>
      </c>
      <c r="M71" s="30" t="s">
        <v>789</v>
      </c>
      <c r="N71" s="30"/>
      <c r="O71" s="30" t="s">
        <v>790</v>
      </c>
      <c r="P71" s="30"/>
      <c r="Q71" s="31"/>
      <c r="R71" s="31"/>
      <c r="S71" s="31"/>
      <c r="T71" s="31" t="s">
        <v>791</v>
      </c>
      <c r="U71" s="30"/>
      <c r="V71" s="31" t="s">
        <v>792</v>
      </c>
      <c r="W71" s="31" t="s">
        <v>793</v>
      </c>
      <c r="X71" s="33"/>
      <c r="Y71" s="33"/>
      <c r="Z71" s="33"/>
      <c r="AA71" s="33"/>
      <c r="AB71" s="33"/>
      <c r="AC71" s="33"/>
      <c r="AD71" s="33"/>
    </row>
    <row r="72" ht="24.75" customHeight="1">
      <c r="A72" s="29" t="s">
        <v>794</v>
      </c>
      <c r="B72" s="30" t="s">
        <v>795</v>
      </c>
      <c r="C72" s="30" t="s">
        <v>796</v>
      </c>
      <c r="D72" s="30" t="s">
        <v>182</v>
      </c>
      <c r="E72" s="30" t="s">
        <v>183</v>
      </c>
      <c r="F72" s="31" t="s">
        <v>41</v>
      </c>
      <c r="G72" s="30" t="s">
        <v>717</v>
      </c>
      <c r="H72" s="30" t="s">
        <v>797</v>
      </c>
      <c r="I72" s="30" t="s">
        <v>798</v>
      </c>
      <c r="J72" s="30"/>
      <c r="K72" s="45" t="s">
        <v>799</v>
      </c>
      <c r="L72" s="44">
        <v>2.31886592341E11</v>
      </c>
      <c r="M72" s="30" t="s">
        <v>800</v>
      </c>
      <c r="N72" s="31" t="s">
        <v>801</v>
      </c>
      <c r="O72" s="31" t="s">
        <v>802</v>
      </c>
      <c r="P72" s="30"/>
      <c r="Q72" s="30"/>
      <c r="R72" s="30"/>
      <c r="S72" s="30"/>
      <c r="T72" s="30"/>
      <c r="U72" s="30"/>
      <c r="V72" s="30" t="s">
        <v>222</v>
      </c>
      <c r="W72" s="30"/>
      <c r="X72" s="33"/>
      <c r="Y72" s="33"/>
      <c r="Z72" s="33"/>
      <c r="AA72" s="33"/>
      <c r="AB72" s="33"/>
      <c r="AC72" s="33"/>
      <c r="AD72" s="33"/>
    </row>
    <row r="73" ht="24.75" customHeight="1">
      <c r="A73" s="29" t="s">
        <v>803</v>
      </c>
      <c r="B73" s="30" t="s">
        <v>804</v>
      </c>
      <c r="C73" s="30" t="s">
        <v>331</v>
      </c>
      <c r="D73" s="30" t="s">
        <v>464</v>
      </c>
      <c r="E73" s="30" t="s">
        <v>465</v>
      </c>
      <c r="F73" s="31" t="s">
        <v>89</v>
      </c>
      <c r="G73" s="30" t="s">
        <v>717</v>
      </c>
      <c r="H73" s="30" t="s">
        <v>805</v>
      </c>
      <c r="I73" s="30" t="s">
        <v>806</v>
      </c>
      <c r="J73" s="30"/>
      <c r="K73" s="31" t="s">
        <v>807</v>
      </c>
      <c r="L73" s="44">
        <v>2.56772407885E11</v>
      </c>
      <c r="M73" s="30" t="s">
        <v>808</v>
      </c>
      <c r="N73" s="30"/>
      <c r="O73" s="31" t="s">
        <v>809</v>
      </c>
      <c r="P73" s="30"/>
      <c r="Q73" s="30"/>
      <c r="R73" s="30"/>
      <c r="S73" s="30"/>
      <c r="T73" s="30"/>
      <c r="U73" s="30"/>
      <c r="V73" s="31" t="s">
        <v>810</v>
      </c>
      <c r="W73" s="30"/>
      <c r="X73" s="33"/>
      <c r="Y73" s="33"/>
      <c r="Z73" s="33"/>
      <c r="AA73" s="33"/>
      <c r="AB73" s="33"/>
      <c r="AC73" s="33"/>
      <c r="AD73" s="33"/>
    </row>
    <row r="74" ht="24.75" customHeight="1">
      <c r="A74" s="29" t="s">
        <v>811</v>
      </c>
      <c r="B74" s="30" t="s">
        <v>812</v>
      </c>
      <c r="C74" s="30" t="s">
        <v>813</v>
      </c>
      <c r="D74" s="30" t="s">
        <v>527</v>
      </c>
      <c r="E74" s="30" t="s">
        <v>27</v>
      </c>
      <c r="F74" s="31" t="s">
        <v>89</v>
      </c>
      <c r="G74" s="30" t="s">
        <v>717</v>
      </c>
      <c r="H74" s="30" t="s">
        <v>814</v>
      </c>
      <c r="I74" s="30" t="s">
        <v>815</v>
      </c>
      <c r="J74" s="30"/>
      <c r="K74" s="30" t="s">
        <v>816</v>
      </c>
      <c r="L74" s="44" t="s">
        <v>817</v>
      </c>
      <c r="M74" s="30" t="s">
        <v>818</v>
      </c>
      <c r="N74" s="30"/>
      <c r="O74" s="30"/>
      <c r="P74" s="30"/>
      <c r="Q74" s="30"/>
      <c r="R74" s="30"/>
      <c r="S74" s="30"/>
      <c r="T74" s="30" t="s">
        <v>819</v>
      </c>
      <c r="U74" s="31" t="s">
        <v>820</v>
      </c>
      <c r="V74" s="31" t="s">
        <v>821</v>
      </c>
      <c r="W74" s="30"/>
      <c r="X74" s="33"/>
      <c r="Y74" s="33"/>
      <c r="Z74" s="33"/>
      <c r="AA74" s="33"/>
      <c r="AB74" s="33"/>
      <c r="AC74" s="33"/>
      <c r="AD74" s="33"/>
    </row>
    <row r="75" ht="24.75" customHeight="1">
      <c r="A75" s="29" t="s">
        <v>822</v>
      </c>
      <c r="B75" s="30" t="s">
        <v>823</v>
      </c>
      <c r="C75" s="30" t="s">
        <v>824</v>
      </c>
      <c r="D75" s="30" t="s">
        <v>825</v>
      </c>
      <c r="E75" s="30" t="s">
        <v>465</v>
      </c>
      <c r="F75" s="31" t="s">
        <v>41</v>
      </c>
      <c r="G75" s="30" t="s">
        <v>717</v>
      </c>
      <c r="H75" s="30" t="s">
        <v>826</v>
      </c>
      <c r="I75" s="30" t="s">
        <v>149</v>
      </c>
      <c r="J75" s="30" t="s">
        <v>827</v>
      </c>
      <c r="K75" s="30" t="s">
        <v>828</v>
      </c>
      <c r="L75" s="44">
        <v>2.5677543008E10</v>
      </c>
      <c r="M75" s="30" t="s">
        <v>829</v>
      </c>
      <c r="N75" s="31" t="s">
        <v>830</v>
      </c>
      <c r="O75" s="31" t="s">
        <v>831</v>
      </c>
      <c r="P75" s="30"/>
      <c r="Q75" s="30"/>
      <c r="R75" s="30"/>
      <c r="S75" s="30"/>
      <c r="T75" s="30"/>
      <c r="U75" s="30"/>
      <c r="V75" s="31" t="s">
        <v>832</v>
      </c>
      <c r="W75" s="30"/>
      <c r="X75" s="33"/>
      <c r="Y75" s="33"/>
      <c r="Z75" s="33"/>
      <c r="AA75" s="33"/>
      <c r="AB75" s="33"/>
      <c r="AC75" s="33"/>
      <c r="AD75" s="33"/>
    </row>
    <row r="76" ht="24.75" customHeight="1">
      <c r="A76" s="29" t="s">
        <v>833</v>
      </c>
      <c r="B76" s="30" t="s">
        <v>834</v>
      </c>
      <c r="C76" s="30" t="s">
        <v>835</v>
      </c>
      <c r="D76" s="30" t="s">
        <v>182</v>
      </c>
      <c r="E76" s="30" t="s">
        <v>183</v>
      </c>
      <c r="F76" s="31" t="s">
        <v>41</v>
      </c>
      <c r="G76" s="30" t="s">
        <v>717</v>
      </c>
      <c r="H76" s="30" t="s">
        <v>836</v>
      </c>
      <c r="I76" s="30" t="s">
        <v>837</v>
      </c>
      <c r="J76" s="30"/>
      <c r="K76" s="32" t="s">
        <v>838</v>
      </c>
      <c r="L76" s="44"/>
      <c r="M76" s="30" t="s">
        <v>839</v>
      </c>
      <c r="N76" s="30"/>
      <c r="O76" s="30" t="s">
        <v>840</v>
      </c>
      <c r="P76" s="30"/>
      <c r="Q76" s="30"/>
      <c r="R76" s="30"/>
      <c r="S76" s="30"/>
      <c r="T76" s="30"/>
      <c r="U76" s="30"/>
      <c r="V76" s="30" t="s">
        <v>190</v>
      </c>
      <c r="W76" s="30" t="s">
        <v>841</v>
      </c>
      <c r="X76" s="33"/>
      <c r="Y76" s="33"/>
      <c r="Z76" s="33"/>
      <c r="AA76" s="33"/>
      <c r="AB76" s="33"/>
      <c r="AC76" s="33"/>
      <c r="AD76" s="33"/>
    </row>
    <row r="77" ht="24.75" customHeight="1">
      <c r="A77" s="36" t="s">
        <v>842</v>
      </c>
      <c r="B77" s="14" t="s">
        <v>843</v>
      </c>
      <c r="C77" s="14" t="s">
        <v>844</v>
      </c>
      <c r="D77" s="14" t="s">
        <v>159</v>
      </c>
      <c r="E77" s="14" t="s">
        <v>54</v>
      </c>
      <c r="F77" s="15" t="s">
        <v>89</v>
      </c>
      <c r="G77" s="14" t="s">
        <v>845</v>
      </c>
      <c r="H77" s="14" t="s">
        <v>846</v>
      </c>
      <c r="I77" s="14" t="s">
        <v>847</v>
      </c>
      <c r="J77" s="14"/>
      <c r="K77" s="17" t="s">
        <v>848</v>
      </c>
      <c r="L77" s="14"/>
      <c r="M77" s="15" t="s">
        <v>849</v>
      </c>
      <c r="N77" s="15" t="s">
        <v>850</v>
      </c>
      <c r="O77" s="14" t="s">
        <v>851</v>
      </c>
      <c r="P77" s="14"/>
      <c r="Q77" s="14"/>
      <c r="R77" s="14"/>
      <c r="S77" s="14"/>
      <c r="T77" s="14" t="s">
        <v>852</v>
      </c>
      <c r="U77" s="15" t="s">
        <v>853</v>
      </c>
      <c r="V77" s="15" t="s">
        <v>854</v>
      </c>
      <c r="W77" s="14"/>
      <c r="X77" s="18"/>
      <c r="Y77" s="18"/>
      <c r="Z77" s="18"/>
      <c r="AA77" s="18"/>
      <c r="AB77" s="18"/>
      <c r="AC77" s="18"/>
      <c r="AD77" s="18"/>
    </row>
    <row r="78" ht="24.75" customHeight="1">
      <c r="A78" s="36" t="s">
        <v>855</v>
      </c>
      <c r="B78" s="16" t="s">
        <v>748</v>
      </c>
      <c r="C78" s="16" t="s">
        <v>856</v>
      </c>
      <c r="D78" s="14" t="s">
        <v>53</v>
      </c>
      <c r="E78" s="14" t="s">
        <v>54</v>
      </c>
      <c r="F78" s="15" t="s">
        <v>41</v>
      </c>
      <c r="G78" s="14" t="s">
        <v>845</v>
      </c>
      <c r="H78" s="14" t="s">
        <v>857</v>
      </c>
      <c r="I78" s="14" t="s">
        <v>858</v>
      </c>
      <c r="J78" s="14"/>
      <c r="K78" s="15" t="s">
        <v>859</v>
      </c>
      <c r="L78" s="14"/>
      <c r="M78" s="14" t="s">
        <v>860</v>
      </c>
      <c r="N78" s="14"/>
      <c r="O78" s="14" t="s">
        <v>861</v>
      </c>
      <c r="P78" s="14"/>
      <c r="Q78" s="15"/>
      <c r="R78" s="15"/>
      <c r="S78" s="15"/>
      <c r="T78" s="15" t="s">
        <v>862</v>
      </c>
      <c r="U78" s="15" t="s">
        <v>863</v>
      </c>
      <c r="V78" s="15" t="s">
        <v>864</v>
      </c>
      <c r="W78" s="15" t="s">
        <v>865</v>
      </c>
      <c r="X78" s="18"/>
      <c r="Y78" s="18"/>
      <c r="Z78" s="18"/>
      <c r="AA78" s="18"/>
      <c r="AB78" s="18"/>
      <c r="AC78" s="18"/>
      <c r="AD78" s="18"/>
    </row>
    <row r="79" ht="24.75" customHeight="1">
      <c r="A79" s="36" t="s">
        <v>866</v>
      </c>
      <c r="B79" s="47" t="s">
        <v>867</v>
      </c>
      <c r="C79" s="47" t="s">
        <v>868</v>
      </c>
      <c r="D79" s="14" t="s">
        <v>737</v>
      </c>
      <c r="E79" s="14" t="s">
        <v>54</v>
      </c>
      <c r="F79" s="15" t="s">
        <v>41</v>
      </c>
      <c r="G79" s="14" t="s">
        <v>845</v>
      </c>
      <c r="H79" s="14" t="s">
        <v>869</v>
      </c>
      <c r="I79" s="14" t="s">
        <v>870</v>
      </c>
      <c r="J79" s="14"/>
      <c r="K79" s="17" t="s">
        <v>871</v>
      </c>
      <c r="L79" s="14"/>
      <c r="M79" s="14" t="s">
        <v>872</v>
      </c>
      <c r="N79" s="15" t="s">
        <v>873</v>
      </c>
      <c r="O79" s="14" t="s">
        <v>874</v>
      </c>
      <c r="P79" s="14"/>
      <c r="Q79" s="14"/>
      <c r="R79" s="14"/>
      <c r="S79" s="14"/>
      <c r="T79" s="15" t="s">
        <v>875</v>
      </c>
      <c r="U79" s="14"/>
      <c r="V79" s="14" t="s">
        <v>876</v>
      </c>
      <c r="W79" s="14"/>
      <c r="X79" s="18"/>
      <c r="Y79" s="18"/>
      <c r="Z79" s="18"/>
      <c r="AA79" s="18"/>
      <c r="AB79" s="18"/>
      <c r="AC79" s="18"/>
      <c r="AD79" s="18"/>
    </row>
    <row r="80" ht="24.75" customHeight="1">
      <c r="A80" s="36" t="s">
        <v>877</v>
      </c>
      <c r="B80" s="16" t="s">
        <v>878</v>
      </c>
      <c r="C80" s="16" t="s">
        <v>879</v>
      </c>
      <c r="D80" s="14" t="s">
        <v>309</v>
      </c>
      <c r="E80" s="14" t="s">
        <v>27</v>
      </c>
      <c r="F80" s="15" t="s">
        <v>89</v>
      </c>
      <c r="G80" s="14" t="s">
        <v>845</v>
      </c>
      <c r="H80" s="14" t="s">
        <v>880</v>
      </c>
      <c r="I80" s="14" t="s">
        <v>881</v>
      </c>
      <c r="J80" s="14"/>
      <c r="K80" s="17" t="s">
        <v>882</v>
      </c>
      <c r="L80" s="14"/>
      <c r="M80" s="14" t="s">
        <v>883</v>
      </c>
      <c r="N80" s="14"/>
      <c r="O80" s="14" t="s">
        <v>884</v>
      </c>
      <c r="P80" s="14"/>
      <c r="Q80" s="15"/>
      <c r="R80" s="15"/>
      <c r="S80" s="15"/>
      <c r="T80" s="15" t="s">
        <v>885</v>
      </c>
      <c r="U80" s="15" t="s">
        <v>886</v>
      </c>
      <c r="V80" s="15" t="s">
        <v>887</v>
      </c>
      <c r="W80" s="15" t="s">
        <v>888</v>
      </c>
      <c r="X80" s="18"/>
      <c r="Y80" s="18"/>
      <c r="Z80" s="18"/>
      <c r="AA80" s="18"/>
      <c r="AB80" s="18"/>
      <c r="AC80" s="18"/>
      <c r="AD80" s="18"/>
    </row>
    <row r="81" ht="24.75" customHeight="1">
      <c r="A81" s="36" t="s">
        <v>889</v>
      </c>
      <c r="B81" s="16" t="s">
        <v>890</v>
      </c>
      <c r="C81" s="16" t="s">
        <v>891</v>
      </c>
      <c r="D81" s="14" t="s">
        <v>159</v>
      </c>
      <c r="E81" s="14" t="s">
        <v>54</v>
      </c>
      <c r="F81" s="15" t="s">
        <v>89</v>
      </c>
      <c r="G81" s="14" t="s">
        <v>845</v>
      </c>
      <c r="H81" s="14" t="s">
        <v>892</v>
      </c>
      <c r="I81" s="14" t="s">
        <v>893</v>
      </c>
      <c r="J81" s="14"/>
      <c r="K81" s="17" t="s">
        <v>894</v>
      </c>
      <c r="L81" s="14"/>
      <c r="M81" s="14" t="s">
        <v>895</v>
      </c>
      <c r="N81" s="14"/>
      <c r="O81" s="14" t="s">
        <v>896</v>
      </c>
      <c r="P81" s="14"/>
      <c r="Q81" s="15"/>
      <c r="R81" s="15"/>
      <c r="S81" s="15"/>
      <c r="T81" s="15" t="s">
        <v>897</v>
      </c>
      <c r="U81" s="14"/>
      <c r="V81" s="15" t="s">
        <v>898</v>
      </c>
      <c r="W81" s="14"/>
      <c r="X81" s="18"/>
      <c r="Y81" s="18"/>
      <c r="Z81" s="18"/>
      <c r="AA81" s="18"/>
      <c r="AB81" s="18"/>
      <c r="AC81" s="18"/>
      <c r="AD81" s="18"/>
    </row>
    <row r="82" ht="24.75" customHeight="1">
      <c r="A82" s="36" t="s">
        <v>899</v>
      </c>
      <c r="B82" s="14" t="s">
        <v>900</v>
      </c>
      <c r="C82" s="14" t="s">
        <v>901</v>
      </c>
      <c r="D82" s="14" t="s">
        <v>182</v>
      </c>
      <c r="E82" s="14" t="s">
        <v>183</v>
      </c>
      <c r="F82" s="15" t="s">
        <v>89</v>
      </c>
      <c r="G82" s="14" t="s">
        <v>845</v>
      </c>
      <c r="H82" s="14" t="s">
        <v>902</v>
      </c>
      <c r="I82" s="14" t="s">
        <v>903</v>
      </c>
      <c r="J82" s="14"/>
      <c r="K82" s="17" t="s">
        <v>904</v>
      </c>
      <c r="L82" s="14"/>
      <c r="M82" s="14" t="s">
        <v>905</v>
      </c>
      <c r="N82" s="14"/>
      <c r="O82" s="14" t="s">
        <v>906</v>
      </c>
      <c r="P82" s="14"/>
      <c r="Q82" s="14"/>
      <c r="R82" s="14"/>
      <c r="S82" s="14"/>
      <c r="T82" s="14"/>
      <c r="U82" s="14"/>
      <c r="V82" s="14" t="s">
        <v>907</v>
      </c>
      <c r="W82" s="14"/>
      <c r="X82" s="14"/>
      <c r="Y82" s="14"/>
      <c r="Z82" s="14"/>
      <c r="AA82" s="14"/>
      <c r="AB82" s="14"/>
      <c r="AC82" s="14"/>
      <c r="AD82" s="14"/>
    </row>
    <row r="83" ht="24.75" customHeight="1">
      <c r="A83" s="36" t="s">
        <v>908</v>
      </c>
      <c r="B83" s="16" t="s">
        <v>909</v>
      </c>
      <c r="C83" s="16" t="s">
        <v>868</v>
      </c>
      <c r="D83" s="14" t="s">
        <v>76</v>
      </c>
      <c r="E83" s="14" t="s">
        <v>27</v>
      </c>
      <c r="F83" s="15" t="s">
        <v>41</v>
      </c>
      <c r="G83" s="14" t="s">
        <v>845</v>
      </c>
      <c r="H83" s="14" t="s">
        <v>910</v>
      </c>
      <c r="I83" s="14" t="s">
        <v>911</v>
      </c>
      <c r="J83" s="14"/>
      <c r="K83" s="15" t="s">
        <v>912</v>
      </c>
      <c r="L83" s="15" t="s">
        <v>913</v>
      </c>
      <c r="M83" s="14" t="s">
        <v>914</v>
      </c>
      <c r="N83" s="15" t="s">
        <v>915</v>
      </c>
      <c r="O83" s="15" t="s">
        <v>916</v>
      </c>
      <c r="P83" s="14"/>
      <c r="Q83" s="14"/>
      <c r="R83" s="14"/>
      <c r="S83" s="14"/>
      <c r="T83" s="14"/>
      <c r="U83" s="14"/>
      <c r="V83" s="15" t="s">
        <v>917</v>
      </c>
      <c r="W83" s="15" t="s">
        <v>918</v>
      </c>
      <c r="X83" s="18"/>
      <c r="Y83" s="18"/>
      <c r="Z83" s="18"/>
      <c r="AA83" s="18"/>
      <c r="AB83" s="18"/>
      <c r="AC83" s="18"/>
      <c r="AD83" s="18"/>
    </row>
    <row r="84" ht="24.75" customHeight="1">
      <c r="A84" s="36" t="s">
        <v>919</v>
      </c>
      <c r="B84" s="14" t="s">
        <v>920</v>
      </c>
      <c r="C84" s="14" t="s">
        <v>921</v>
      </c>
      <c r="D84" s="14" t="s">
        <v>182</v>
      </c>
      <c r="E84" s="14" t="s">
        <v>183</v>
      </c>
      <c r="F84" s="15" t="s">
        <v>41</v>
      </c>
      <c r="G84" s="14" t="s">
        <v>845</v>
      </c>
      <c r="H84" s="14" t="s">
        <v>922</v>
      </c>
      <c r="I84" s="14" t="s">
        <v>923</v>
      </c>
      <c r="J84" s="14"/>
      <c r="K84" s="14" t="s">
        <v>924</v>
      </c>
      <c r="L84" s="14"/>
      <c r="M84" s="14" t="s">
        <v>925</v>
      </c>
      <c r="N84" s="14"/>
      <c r="O84" s="14" t="s">
        <v>926</v>
      </c>
      <c r="P84" s="14"/>
      <c r="Q84" s="14"/>
      <c r="R84" s="14"/>
      <c r="S84" s="14"/>
      <c r="T84" s="14"/>
      <c r="U84" s="14"/>
      <c r="V84" s="14" t="s">
        <v>190</v>
      </c>
      <c r="W84" s="14"/>
      <c r="X84" s="18"/>
      <c r="Y84" s="18"/>
      <c r="Z84" s="18"/>
      <c r="AA84" s="18"/>
      <c r="AB84" s="18"/>
      <c r="AC84" s="18"/>
      <c r="AD84" s="18"/>
    </row>
    <row r="85" ht="24.75" customHeight="1">
      <c r="A85" s="36" t="s">
        <v>927</v>
      </c>
      <c r="B85" s="14" t="s">
        <v>928</v>
      </c>
      <c r="C85" s="14" t="s">
        <v>929</v>
      </c>
      <c r="D85" s="15" t="s">
        <v>930</v>
      </c>
      <c r="E85" s="14" t="s">
        <v>27</v>
      </c>
      <c r="F85" s="15" t="s">
        <v>41</v>
      </c>
      <c r="G85" s="14" t="s">
        <v>845</v>
      </c>
      <c r="H85" s="14" t="s">
        <v>931</v>
      </c>
      <c r="I85" s="14" t="s">
        <v>932</v>
      </c>
      <c r="J85" s="14" t="s">
        <v>933</v>
      </c>
      <c r="K85" s="15" t="s">
        <v>934</v>
      </c>
      <c r="L85" s="15" t="s">
        <v>935</v>
      </c>
      <c r="M85" s="14" t="s">
        <v>936</v>
      </c>
      <c r="N85" s="15"/>
      <c r="O85" s="15" t="s">
        <v>937</v>
      </c>
      <c r="P85" s="14"/>
      <c r="Q85" s="48"/>
      <c r="R85" s="48"/>
      <c r="S85" s="48"/>
      <c r="T85" s="48" t="s">
        <v>938</v>
      </c>
      <c r="U85" s="17" t="s">
        <v>939</v>
      </c>
      <c r="V85" s="15" t="s">
        <v>940</v>
      </c>
      <c r="W85" s="14" t="s">
        <v>941</v>
      </c>
      <c r="X85" s="18"/>
      <c r="Y85" s="18"/>
      <c r="Z85" s="18"/>
      <c r="AA85" s="18"/>
      <c r="AB85" s="18"/>
      <c r="AC85" s="18"/>
      <c r="AD85" s="18"/>
    </row>
    <row r="86" ht="24.75" customHeight="1">
      <c r="A86" s="36" t="s">
        <v>942</v>
      </c>
      <c r="B86" s="49" t="s">
        <v>943</v>
      </c>
      <c r="C86" s="14" t="s">
        <v>944</v>
      </c>
      <c r="D86" s="15" t="s">
        <v>945</v>
      </c>
      <c r="E86" s="14" t="s">
        <v>27</v>
      </c>
      <c r="F86" s="15" t="s">
        <v>89</v>
      </c>
      <c r="G86" s="14" t="s">
        <v>845</v>
      </c>
      <c r="H86" s="14" t="s">
        <v>946</v>
      </c>
      <c r="I86" s="14" t="s">
        <v>947</v>
      </c>
      <c r="J86" s="14" t="s">
        <v>948</v>
      </c>
      <c r="K86" s="17" t="s">
        <v>949</v>
      </c>
      <c r="L86" s="14"/>
      <c r="M86" s="14" t="s">
        <v>950</v>
      </c>
      <c r="N86" s="14"/>
      <c r="O86" s="14" t="s">
        <v>951</v>
      </c>
      <c r="P86" s="14"/>
      <c r="Q86" s="48"/>
      <c r="R86" s="48"/>
      <c r="S86" s="48"/>
      <c r="T86" s="17" t="s">
        <v>952</v>
      </c>
      <c r="U86" s="15" t="s">
        <v>953</v>
      </c>
      <c r="V86" s="15" t="s">
        <v>954</v>
      </c>
      <c r="W86" s="15" t="s">
        <v>955</v>
      </c>
      <c r="X86" s="18"/>
      <c r="Y86" s="18"/>
      <c r="Z86" s="18"/>
      <c r="AA86" s="18"/>
      <c r="AB86" s="18"/>
      <c r="AC86" s="18"/>
      <c r="AD86" s="18"/>
    </row>
    <row r="87" ht="24.75" customHeight="1">
      <c r="A87" s="36" t="s">
        <v>956</v>
      </c>
      <c r="B87" s="14" t="s">
        <v>957</v>
      </c>
      <c r="C87" s="14" t="s">
        <v>158</v>
      </c>
      <c r="D87" s="14" t="s">
        <v>53</v>
      </c>
      <c r="E87" s="14" t="s">
        <v>54</v>
      </c>
      <c r="F87" s="15" t="s">
        <v>41</v>
      </c>
      <c r="G87" s="14" t="s">
        <v>845</v>
      </c>
      <c r="H87" s="14" t="s">
        <v>958</v>
      </c>
      <c r="I87" s="14" t="s">
        <v>959</v>
      </c>
      <c r="J87" s="14" t="s">
        <v>960</v>
      </c>
      <c r="K87" s="17" t="s">
        <v>961</v>
      </c>
      <c r="L87" s="14"/>
      <c r="M87" s="14" t="s">
        <v>962</v>
      </c>
      <c r="N87" s="15" t="s">
        <v>963</v>
      </c>
      <c r="O87" s="14" t="s">
        <v>964</v>
      </c>
      <c r="P87" s="14"/>
      <c r="Q87" s="14"/>
      <c r="R87" s="14"/>
      <c r="S87" s="14"/>
      <c r="T87" s="14" t="s">
        <v>965</v>
      </c>
      <c r="U87" s="14" t="s">
        <v>966</v>
      </c>
      <c r="V87" s="14" t="s">
        <v>967</v>
      </c>
      <c r="W87" s="14"/>
      <c r="X87" s="18"/>
      <c r="Y87" s="18"/>
      <c r="Z87" s="18"/>
      <c r="AA87" s="18"/>
      <c r="AB87" s="18"/>
      <c r="AC87" s="18"/>
      <c r="AD87" s="18"/>
    </row>
    <row r="88" ht="24.75" customHeight="1">
      <c r="A88" s="36" t="s">
        <v>968</v>
      </c>
      <c r="B88" s="14" t="s">
        <v>969</v>
      </c>
      <c r="C88" s="14" t="s">
        <v>970</v>
      </c>
      <c r="D88" s="14" t="s">
        <v>971</v>
      </c>
      <c r="E88" s="14" t="s">
        <v>27</v>
      </c>
      <c r="F88" s="15" t="s">
        <v>89</v>
      </c>
      <c r="G88" s="14" t="s">
        <v>845</v>
      </c>
      <c r="H88" s="14" t="s">
        <v>972</v>
      </c>
      <c r="I88" s="14" t="s">
        <v>973</v>
      </c>
      <c r="J88" s="14"/>
      <c r="K88" s="17" t="s">
        <v>974</v>
      </c>
      <c r="L88" s="14"/>
      <c r="M88" s="14" t="s">
        <v>975</v>
      </c>
      <c r="N88" s="15" t="s">
        <v>976</v>
      </c>
      <c r="O88" s="14" t="s">
        <v>977</v>
      </c>
      <c r="P88" s="14"/>
      <c r="Q88" s="15"/>
      <c r="R88" s="15"/>
      <c r="S88" s="15"/>
      <c r="T88" s="15" t="s">
        <v>978</v>
      </c>
      <c r="U88" s="14"/>
      <c r="V88" s="15" t="s">
        <v>979</v>
      </c>
      <c r="W88" s="14"/>
      <c r="X88" s="18"/>
      <c r="Y88" s="18"/>
      <c r="Z88" s="18"/>
      <c r="AA88" s="18"/>
      <c r="AB88" s="18"/>
      <c r="AC88" s="18"/>
      <c r="AD88" s="18"/>
    </row>
    <row r="89" ht="24.75" customHeight="1">
      <c r="A89" s="36" t="s">
        <v>980</v>
      </c>
      <c r="B89" s="14" t="s">
        <v>981</v>
      </c>
      <c r="C89" s="14" t="s">
        <v>982</v>
      </c>
      <c r="D89" s="14" t="s">
        <v>983</v>
      </c>
      <c r="E89" s="14" t="s">
        <v>54</v>
      </c>
      <c r="F89" s="15" t="s">
        <v>41</v>
      </c>
      <c r="G89" s="14" t="s">
        <v>845</v>
      </c>
      <c r="H89" s="14" t="s">
        <v>984</v>
      </c>
      <c r="I89" s="14" t="s">
        <v>985</v>
      </c>
      <c r="J89" s="14"/>
      <c r="K89" s="17" t="s">
        <v>986</v>
      </c>
      <c r="L89" s="15" t="s">
        <v>987</v>
      </c>
      <c r="M89" s="14" t="s">
        <v>988</v>
      </c>
      <c r="N89" s="14" t="s">
        <v>395</v>
      </c>
      <c r="O89" s="15" t="s">
        <v>989</v>
      </c>
      <c r="P89" s="14"/>
      <c r="Q89" s="15"/>
      <c r="R89" s="15"/>
      <c r="S89" s="15"/>
      <c r="T89" s="15" t="s">
        <v>990</v>
      </c>
      <c r="U89" s="15" t="s">
        <v>991</v>
      </c>
      <c r="V89" s="15" t="s">
        <v>992</v>
      </c>
      <c r="W89" s="14"/>
      <c r="X89" s="18"/>
      <c r="Y89" s="18"/>
      <c r="Z89" s="18"/>
      <c r="AA89" s="18"/>
      <c r="AB89" s="18"/>
      <c r="AC89" s="18"/>
      <c r="AD89" s="18"/>
    </row>
    <row r="90" ht="24.75" customHeight="1">
      <c r="A90" s="36" t="s">
        <v>993</v>
      </c>
      <c r="B90" s="14" t="s">
        <v>994</v>
      </c>
      <c r="C90" s="14" t="s">
        <v>995</v>
      </c>
      <c r="D90" s="14" t="s">
        <v>996</v>
      </c>
      <c r="E90" s="14" t="s">
        <v>27</v>
      </c>
      <c r="F90" s="15" t="s">
        <v>41</v>
      </c>
      <c r="G90" s="14" t="s">
        <v>845</v>
      </c>
      <c r="H90" s="14" t="s">
        <v>997</v>
      </c>
      <c r="I90" s="14" t="s">
        <v>998</v>
      </c>
      <c r="J90" s="14"/>
      <c r="K90" s="17" t="s">
        <v>999</v>
      </c>
      <c r="L90" s="14"/>
      <c r="M90" s="14" t="s">
        <v>1000</v>
      </c>
      <c r="N90" s="15" t="s">
        <v>1001</v>
      </c>
      <c r="O90" s="14" t="s">
        <v>338</v>
      </c>
      <c r="P90" s="14"/>
      <c r="Q90" s="14"/>
      <c r="R90" s="14"/>
      <c r="S90" s="15">
        <v>2.0</v>
      </c>
      <c r="T90" s="15" t="s">
        <v>1002</v>
      </c>
      <c r="U90" s="14"/>
      <c r="V90" s="15" t="s">
        <v>1003</v>
      </c>
      <c r="W90" s="14"/>
      <c r="X90" s="18"/>
      <c r="Y90" s="18"/>
      <c r="Z90" s="18"/>
      <c r="AA90" s="18"/>
      <c r="AB90" s="18"/>
      <c r="AC90" s="18"/>
      <c r="AD90" s="18"/>
    </row>
    <row r="91" ht="24.75" customHeight="1">
      <c r="A91" s="36" t="s">
        <v>1004</v>
      </c>
      <c r="B91" s="14" t="s">
        <v>1005</v>
      </c>
      <c r="C91" s="14" t="s">
        <v>1006</v>
      </c>
      <c r="D91" s="14" t="s">
        <v>1007</v>
      </c>
      <c r="E91" s="14" t="s">
        <v>27</v>
      </c>
      <c r="F91" s="15" t="s">
        <v>41</v>
      </c>
      <c r="G91" s="14" t="s">
        <v>845</v>
      </c>
      <c r="H91" s="14" t="s">
        <v>1008</v>
      </c>
      <c r="I91" s="14" t="s">
        <v>1009</v>
      </c>
      <c r="J91" s="14" t="s">
        <v>948</v>
      </c>
      <c r="K91" s="17" t="s">
        <v>1010</v>
      </c>
      <c r="L91" s="14"/>
      <c r="M91" s="14" t="s">
        <v>1011</v>
      </c>
      <c r="N91" s="14"/>
      <c r="O91" s="14" t="s">
        <v>1012</v>
      </c>
      <c r="P91" s="14"/>
      <c r="Q91" s="14"/>
      <c r="R91" s="14"/>
      <c r="S91" s="14"/>
      <c r="T91" s="15" t="s">
        <v>1013</v>
      </c>
      <c r="U91" s="14"/>
      <c r="V91" s="14" t="s">
        <v>190</v>
      </c>
      <c r="W91" s="14"/>
      <c r="X91" s="18"/>
      <c r="Y91" s="18"/>
      <c r="Z91" s="18"/>
      <c r="AA91" s="18"/>
      <c r="AB91" s="18"/>
      <c r="AC91" s="18"/>
      <c r="AD91" s="18"/>
    </row>
    <row r="92" ht="24.75" customHeight="1">
      <c r="A92" s="28" t="s">
        <v>1014</v>
      </c>
      <c r="B92" s="23" t="s">
        <v>1015</v>
      </c>
      <c r="C92" s="23" t="s">
        <v>1016</v>
      </c>
      <c r="D92" s="24" t="s">
        <v>1017</v>
      </c>
      <c r="E92" s="23" t="s">
        <v>27</v>
      </c>
      <c r="F92" s="23" t="s">
        <v>1018</v>
      </c>
      <c r="G92" s="23" t="s">
        <v>1019</v>
      </c>
      <c r="H92" s="23" t="s">
        <v>1020</v>
      </c>
      <c r="I92" s="23"/>
      <c r="J92" s="23" t="s">
        <v>1021</v>
      </c>
      <c r="K92" s="50"/>
      <c r="L92" s="23" t="s">
        <v>1022</v>
      </c>
      <c r="M92" s="51"/>
      <c r="N92" s="51"/>
      <c r="O92" s="51"/>
      <c r="P92" s="51"/>
      <c r="Q92" s="51"/>
      <c r="R92" s="51"/>
      <c r="S92" s="51"/>
      <c r="T92" s="51"/>
      <c r="U92" s="51"/>
      <c r="V92" s="51"/>
      <c r="W92" s="51"/>
      <c r="X92" s="26"/>
      <c r="Y92" s="26"/>
      <c r="Z92" s="26"/>
      <c r="AA92" s="26"/>
      <c r="AB92" s="26"/>
      <c r="AC92" s="26"/>
      <c r="AD92" s="26"/>
    </row>
    <row r="93" ht="24.75" customHeight="1">
      <c r="A93" s="28" t="s">
        <v>1023</v>
      </c>
      <c r="B93" s="23" t="s">
        <v>1024</v>
      </c>
      <c r="C93" s="23" t="s">
        <v>1025</v>
      </c>
      <c r="D93" s="24" t="s">
        <v>1026</v>
      </c>
      <c r="E93" s="23" t="s">
        <v>27</v>
      </c>
      <c r="F93" s="23" t="s">
        <v>1027</v>
      </c>
      <c r="G93" s="23" t="s">
        <v>1019</v>
      </c>
      <c r="H93" s="23" t="s">
        <v>1028</v>
      </c>
      <c r="I93" s="23"/>
      <c r="J93" s="23" t="s">
        <v>1029</v>
      </c>
      <c r="K93" s="50"/>
      <c r="L93" s="23"/>
      <c r="M93" s="51"/>
      <c r="N93" s="51"/>
      <c r="O93" s="51"/>
      <c r="P93" s="51"/>
      <c r="Q93" s="51"/>
      <c r="R93" s="51"/>
      <c r="S93" s="51"/>
      <c r="T93" s="51"/>
      <c r="U93" s="51"/>
      <c r="V93" s="51"/>
      <c r="W93" s="51"/>
      <c r="X93" s="26"/>
      <c r="Y93" s="26"/>
      <c r="Z93" s="26"/>
      <c r="AA93" s="26"/>
      <c r="AB93" s="26"/>
      <c r="AC93" s="26"/>
      <c r="AD93" s="26"/>
    </row>
    <row r="94" ht="24.75" customHeight="1">
      <c r="A94" s="28" t="s">
        <v>1030</v>
      </c>
      <c r="B94" s="23" t="s">
        <v>1031</v>
      </c>
      <c r="C94" s="23" t="s">
        <v>1032</v>
      </c>
      <c r="D94" s="24" t="s">
        <v>1026</v>
      </c>
      <c r="E94" s="23" t="s">
        <v>27</v>
      </c>
      <c r="F94" s="23" t="s">
        <v>1018</v>
      </c>
      <c r="G94" s="23" t="s">
        <v>1019</v>
      </c>
      <c r="H94" s="23" t="s">
        <v>1033</v>
      </c>
      <c r="I94" s="23"/>
      <c r="J94" s="23" t="s">
        <v>1034</v>
      </c>
      <c r="K94" s="50"/>
      <c r="L94" s="23"/>
      <c r="M94" s="51"/>
      <c r="N94" s="51"/>
      <c r="O94" s="51"/>
      <c r="P94" s="51"/>
      <c r="Q94" s="51"/>
      <c r="R94" s="51"/>
      <c r="S94" s="51"/>
      <c r="T94" s="51"/>
      <c r="U94" s="51"/>
      <c r="V94" s="51"/>
      <c r="W94" s="51"/>
      <c r="X94" s="26"/>
      <c r="Y94" s="26"/>
      <c r="Z94" s="26"/>
      <c r="AA94" s="26"/>
      <c r="AB94" s="26"/>
      <c r="AC94" s="26"/>
      <c r="AD94" s="26"/>
    </row>
    <row r="95" ht="24.75" customHeight="1">
      <c r="A95" s="28" t="s">
        <v>1035</v>
      </c>
      <c r="B95" s="23" t="s">
        <v>1036</v>
      </c>
      <c r="C95" s="23" t="s">
        <v>1037</v>
      </c>
      <c r="D95" s="23" t="s">
        <v>1038</v>
      </c>
      <c r="E95" s="23" t="s">
        <v>1039</v>
      </c>
      <c r="F95" s="24" t="s">
        <v>41</v>
      </c>
      <c r="G95" s="23" t="s">
        <v>1019</v>
      </c>
      <c r="H95" s="23" t="s">
        <v>1040</v>
      </c>
      <c r="I95" s="23" t="s">
        <v>1041</v>
      </c>
      <c r="J95" s="23"/>
      <c r="K95" s="52" t="s">
        <v>1042</v>
      </c>
      <c r="L95" s="23"/>
      <c r="M95" s="23" t="s">
        <v>1043</v>
      </c>
      <c r="N95" s="23"/>
      <c r="O95" s="23" t="s">
        <v>1044</v>
      </c>
      <c r="P95" s="23"/>
      <c r="Q95" s="23"/>
      <c r="R95" s="23"/>
      <c r="S95" s="23"/>
      <c r="T95" s="23"/>
      <c r="U95" s="23"/>
      <c r="V95" s="24" t="s">
        <v>1045</v>
      </c>
      <c r="W95" s="24" t="s">
        <v>1046</v>
      </c>
      <c r="X95" s="26"/>
      <c r="Y95" s="26"/>
      <c r="Z95" s="26"/>
      <c r="AA95" s="26"/>
      <c r="AB95" s="26"/>
      <c r="AC95" s="26"/>
      <c r="AD95" s="26"/>
    </row>
    <row r="96" ht="24.75" customHeight="1">
      <c r="A96" s="28" t="s">
        <v>1047</v>
      </c>
      <c r="B96" s="23" t="s">
        <v>1048</v>
      </c>
      <c r="C96" s="23" t="s">
        <v>1049</v>
      </c>
      <c r="D96" s="23" t="s">
        <v>1038</v>
      </c>
      <c r="E96" s="23" t="s">
        <v>1039</v>
      </c>
      <c r="F96" s="24" t="s">
        <v>41</v>
      </c>
      <c r="G96" s="23" t="s">
        <v>1019</v>
      </c>
      <c r="H96" s="23" t="s">
        <v>1050</v>
      </c>
      <c r="I96" s="23" t="s">
        <v>985</v>
      </c>
      <c r="J96" s="23"/>
      <c r="K96" s="25" t="s">
        <v>1051</v>
      </c>
      <c r="L96" s="23"/>
      <c r="M96" s="23" t="s">
        <v>1052</v>
      </c>
      <c r="N96" s="23"/>
      <c r="O96" s="23" t="s">
        <v>1053</v>
      </c>
      <c r="P96" s="23"/>
      <c r="Q96" s="23"/>
      <c r="R96" s="23"/>
      <c r="S96" s="23"/>
      <c r="T96" s="23"/>
      <c r="U96" s="23"/>
      <c r="V96" s="23" t="s">
        <v>907</v>
      </c>
      <c r="W96" s="23"/>
      <c r="X96" s="26"/>
      <c r="Y96" s="26"/>
      <c r="Z96" s="26"/>
      <c r="AA96" s="26"/>
      <c r="AB96" s="26"/>
      <c r="AC96" s="26"/>
      <c r="AD96" s="26"/>
    </row>
    <row r="97" ht="24.75" customHeight="1">
      <c r="A97" s="28" t="s">
        <v>1054</v>
      </c>
      <c r="B97" s="23" t="s">
        <v>1015</v>
      </c>
      <c r="C97" s="23" t="s">
        <v>1016</v>
      </c>
      <c r="D97" s="23" t="s">
        <v>124</v>
      </c>
      <c r="E97" s="23" t="s">
        <v>27</v>
      </c>
      <c r="F97" s="24" t="s">
        <v>89</v>
      </c>
      <c r="G97" s="23" t="s">
        <v>1019</v>
      </c>
      <c r="H97" s="23" t="s">
        <v>1055</v>
      </c>
      <c r="I97" s="23" t="s">
        <v>881</v>
      </c>
      <c r="J97" s="23"/>
      <c r="K97" s="25" t="s">
        <v>1020</v>
      </c>
      <c r="L97" s="23"/>
      <c r="M97" s="23" t="s">
        <v>1021</v>
      </c>
      <c r="N97" s="23"/>
      <c r="O97" s="23" t="s">
        <v>1056</v>
      </c>
      <c r="P97" s="23"/>
      <c r="Q97" s="23"/>
      <c r="R97" s="23"/>
      <c r="S97" s="23"/>
      <c r="T97" s="23"/>
      <c r="U97" s="23"/>
      <c r="V97" s="24" t="s">
        <v>1057</v>
      </c>
      <c r="W97" s="23"/>
      <c r="X97" s="26"/>
      <c r="Y97" s="26"/>
      <c r="Z97" s="26"/>
      <c r="AA97" s="26"/>
      <c r="AB97" s="26"/>
      <c r="AC97" s="26"/>
      <c r="AD97" s="26"/>
    </row>
    <row r="98" ht="24.75" customHeight="1">
      <c r="A98" s="28" t="s">
        <v>1058</v>
      </c>
      <c r="B98" s="23" t="s">
        <v>1059</v>
      </c>
      <c r="C98" s="23" t="s">
        <v>1060</v>
      </c>
      <c r="D98" s="23" t="s">
        <v>1038</v>
      </c>
      <c r="E98" s="23" t="s">
        <v>1039</v>
      </c>
      <c r="F98" s="24" t="s">
        <v>89</v>
      </c>
      <c r="G98" s="23" t="s">
        <v>1019</v>
      </c>
      <c r="H98" s="23" t="s">
        <v>1061</v>
      </c>
      <c r="I98" s="23" t="s">
        <v>1062</v>
      </c>
      <c r="J98" s="23"/>
      <c r="K98" s="25" t="s">
        <v>1063</v>
      </c>
      <c r="L98" s="23"/>
      <c r="M98" s="23" t="s">
        <v>1064</v>
      </c>
      <c r="N98" s="23"/>
      <c r="O98" s="23" t="s">
        <v>1065</v>
      </c>
      <c r="P98" s="23"/>
      <c r="Q98" s="23"/>
      <c r="R98" s="23"/>
      <c r="S98" s="23"/>
      <c r="T98" s="23"/>
      <c r="U98" s="23"/>
      <c r="V98" s="24" t="s">
        <v>1066</v>
      </c>
      <c r="W98" s="23" t="s">
        <v>1067</v>
      </c>
      <c r="X98" s="26"/>
      <c r="Y98" s="26"/>
      <c r="Z98" s="26"/>
      <c r="AA98" s="26"/>
      <c r="AB98" s="26"/>
      <c r="AC98" s="26"/>
      <c r="AD98" s="26"/>
    </row>
    <row r="99" ht="24.75" customHeight="1">
      <c r="A99" s="28" t="s">
        <v>1068</v>
      </c>
      <c r="B99" s="23" t="s">
        <v>1069</v>
      </c>
      <c r="C99" s="23" t="s">
        <v>1070</v>
      </c>
      <c r="D99" s="23" t="s">
        <v>53</v>
      </c>
      <c r="E99" s="23" t="s">
        <v>54</v>
      </c>
      <c r="F99" s="24" t="s">
        <v>41</v>
      </c>
      <c r="G99" s="23" t="s">
        <v>1019</v>
      </c>
      <c r="H99" s="24" t="s">
        <v>1071</v>
      </c>
      <c r="I99" s="23" t="s">
        <v>1072</v>
      </c>
      <c r="J99" s="23" t="s">
        <v>1073</v>
      </c>
      <c r="K99" s="25" t="s">
        <v>1074</v>
      </c>
      <c r="L99" s="23"/>
      <c r="M99" s="23" t="s">
        <v>1075</v>
      </c>
      <c r="N99" s="23"/>
      <c r="O99" s="23" t="s">
        <v>1076</v>
      </c>
      <c r="P99" s="23"/>
      <c r="Q99" s="24"/>
      <c r="R99" s="24"/>
      <c r="S99" s="24"/>
      <c r="T99" s="24" t="s">
        <v>1077</v>
      </c>
      <c r="U99" s="23"/>
      <c r="V99" s="24" t="s">
        <v>1078</v>
      </c>
      <c r="W99" s="23"/>
      <c r="X99" s="26"/>
      <c r="Y99" s="26"/>
      <c r="Z99" s="26"/>
      <c r="AA99" s="26"/>
      <c r="AB99" s="26"/>
      <c r="AC99" s="26"/>
      <c r="AD99" s="26"/>
    </row>
    <row r="100" ht="24.75" customHeight="1">
      <c r="A100" s="28" t="s">
        <v>1079</v>
      </c>
      <c r="B100" s="23" t="s">
        <v>1024</v>
      </c>
      <c r="C100" s="23" t="s">
        <v>1025</v>
      </c>
      <c r="D100" s="23" t="s">
        <v>527</v>
      </c>
      <c r="E100" s="23" t="s">
        <v>27</v>
      </c>
      <c r="F100" s="24" t="s">
        <v>41</v>
      </c>
      <c r="G100" s="23" t="s">
        <v>1019</v>
      </c>
      <c r="H100" s="23" t="s">
        <v>1080</v>
      </c>
      <c r="I100" s="23" t="s">
        <v>1081</v>
      </c>
      <c r="J100" s="23"/>
      <c r="K100" s="25" t="s">
        <v>1028</v>
      </c>
      <c r="L100" s="23"/>
      <c r="M100" s="23" t="s">
        <v>1029</v>
      </c>
      <c r="N100" s="23"/>
      <c r="O100" s="23"/>
      <c r="P100" s="23"/>
      <c r="Q100" s="24"/>
      <c r="R100" s="24"/>
      <c r="S100" s="24"/>
      <c r="T100" s="24" t="s">
        <v>1082</v>
      </c>
      <c r="U100" s="23" t="s">
        <v>1083</v>
      </c>
      <c r="V100" s="24" t="s">
        <v>1084</v>
      </c>
      <c r="W100" s="23"/>
      <c r="X100" s="26"/>
      <c r="Y100" s="26"/>
      <c r="Z100" s="26"/>
      <c r="AA100" s="26"/>
      <c r="AB100" s="26"/>
      <c r="AC100" s="26"/>
      <c r="AD100" s="26"/>
    </row>
    <row r="101" ht="24.75" customHeight="1">
      <c r="A101" s="28" t="s">
        <v>1085</v>
      </c>
      <c r="B101" s="24" t="s">
        <v>1086</v>
      </c>
      <c r="C101" s="24" t="s">
        <v>1087</v>
      </c>
      <c r="D101" s="23" t="s">
        <v>1038</v>
      </c>
      <c r="E101" s="23" t="s">
        <v>1039</v>
      </c>
      <c r="F101" s="24" t="s">
        <v>41</v>
      </c>
      <c r="G101" s="23" t="s">
        <v>1019</v>
      </c>
      <c r="H101" s="23" t="s">
        <v>1088</v>
      </c>
      <c r="I101" s="23" t="s">
        <v>985</v>
      </c>
      <c r="J101" s="23"/>
      <c r="K101" s="25" t="s">
        <v>1089</v>
      </c>
      <c r="L101" s="23"/>
      <c r="M101" s="23" t="s">
        <v>1090</v>
      </c>
      <c r="N101" s="24" t="s">
        <v>1091</v>
      </c>
      <c r="O101" s="24" t="s">
        <v>1092</v>
      </c>
      <c r="P101" s="23"/>
      <c r="Q101" s="23"/>
      <c r="R101" s="23"/>
      <c r="S101" s="23"/>
      <c r="T101" s="24" t="s">
        <v>1093</v>
      </c>
      <c r="U101" s="23"/>
      <c r="V101" s="23" t="s">
        <v>907</v>
      </c>
      <c r="W101" s="23"/>
      <c r="X101" s="26"/>
      <c r="Y101" s="26"/>
      <c r="Z101" s="26"/>
      <c r="AA101" s="26"/>
      <c r="AB101" s="26"/>
      <c r="AC101" s="26"/>
      <c r="AD101" s="26"/>
    </row>
    <row r="102" ht="24.75" customHeight="1">
      <c r="A102" s="28" t="s">
        <v>1094</v>
      </c>
      <c r="B102" s="23" t="s">
        <v>1095</v>
      </c>
      <c r="C102" s="23" t="s">
        <v>1096</v>
      </c>
      <c r="D102" s="23" t="s">
        <v>464</v>
      </c>
      <c r="E102" s="23" t="s">
        <v>465</v>
      </c>
      <c r="F102" s="24" t="s">
        <v>89</v>
      </c>
      <c r="G102" s="23" t="s">
        <v>1019</v>
      </c>
      <c r="H102" s="23"/>
      <c r="I102" s="23" t="s">
        <v>1097</v>
      </c>
      <c r="J102" s="23"/>
      <c r="K102" s="25" t="s">
        <v>1098</v>
      </c>
      <c r="L102" s="23"/>
      <c r="M102" s="23" t="s">
        <v>1099</v>
      </c>
      <c r="N102" s="24" t="s">
        <v>1100</v>
      </c>
      <c r="O102" s="26"/>
      <c r="P102" s="23"/>
      <c r="Q102" s="23"/>
      <c r="R102" s="23"/>
      <c r="S102" s="23"/>
      <c r="T102" s="24" t="s">
        <v>1101</v>
      </c>
      <c r="U102" s="23"/>
      <c r="V102" s="23" t="s">
        <v>190</v>
      </c>
      <c r="W102" s="23"/>
      <c r="X102" s="26"/>
      <c r="Y102" s="26"/>
      <c r="Z102" s="26"/>
      <c r="AA102" s="26"/>
      <c r="AB102" s="26"/>
      <c r="AC102" s="26"/>
      <c r="AD102" s="26"/>
    </row>
    <row r="103" ht="24.75" customHeight="1">
      <c r="A103" s="28" t="s">
        <v>1102</v>
      </c>
      <c r="B103" s="53" t="s">
        <v>1103</v>
      </c>
      <c r="C103" s="54" t="s">
        <v>1104</v>
      </c>
      <c r="D103" s="23" t="s">
        <v>1105</v>
      </c>
      <c r="E103" s="23" t="s">
        <v>1106</v>
      </c>
      <c r="F103" s="24" t="s">
        <v>89</v>
      </c>
      <c r="G103" s="23" t="s">
        <v>1019</v>
      </c>
      <c r="H103" s="23" t="s">
        <v>1107</v>
      </c>
      <c r="I103" s="23" t="s">
        <v>1108</v>
      </c>
      <c r="J103" s="23"/>
      <c r="K103" s="25" t="s">
        <v>1109</v>
      </c>
      <c r="L103" s="23"/>
      <c r="M103" s="23" t="s">
        <v>1110</v>
      </c>
      <c r="N103" s="23"/>
      <c r="O103" s="23" t="s">
        <v>1111</v>
      </c>
      <c r="P103" s="23"/>
      <c r="Q103" s="23"/>
      <c r="R103" s="23"/>
      <c r="S103" s="23"/>
      <c r="T103" s="24" t="s">
        <v>1112</v>
      </c>
      <c r="U103" s="23"/>
      <c r="V103" s="24" t="s">
        <v>1113</v>
      </c>
      <c r="W103" s="23"/>
      <c r="X103" s="26"/>
      <c r="Y103" s="26"/>
      <c r="Z103" s="26"/>
      <c r="AA103" s="26"/>
      <c r="AB103" s="26"/>
      <c r="AC103" s="26"/>
      <c r="AD103" s="26"/>
    </row>
    <row r="104" ht="24.75" customHeight="1">
      <c r="A104" s="28" t="s">
        <v>1114</v>
      </c>
      <c r="B104" s="23" t="s">
        <v>1115</v>
      </c>
      <c r="C104" s="23" t="s">
        <v>192</v>
      </c>
      <c r="D104" s="23" t="s">
        <v>464</v>
      </c>
      <c r="E104" s="23" t="s">
        <v>465</v>
      </c>
      <c r="F104" s="24" t="s">
        <v>41</v>
      </c>
      <c r="G104" s="23" t="s">
        <v>1019</v>
      </c>
      <c r="H104" s="23" t="s">
        <v>1116</v>
      </c>
      <c r="I104" s="23" t="s">
        <v>1117</v>
      </c>
      <c r="J104" s="23" t="s">
        <v>1118</v>
      </c>
      <c r="K104" s="25" t="s">
        <v>1119</v>
      </c>
      <c r="L104" s="23"/>
      <c r="M104" s="23" t="s">
        <v>1120</v>
      </c>
      <c r="N104" s="24" t="s">
        <v>1121</v>
      </c>
      <c r="O104" s="23" t="s">
        <v>1122</v>
      </c>
      <c r="P104" s="23"/>
      <c r="Q104" s="23"/>
      <c r="R104" s="23"/>
      <c r="S104" s="23"/>
      <c r="T104" s="23"/>
      <c r="U104" s="23"/>
      <c r="V104" s="23" t="s">
        <v>190</v>
      </c>
      <c r="W104" s="23"/>
      <c r="X104" s="26"/>
      <c r="Y104" s="26"/>
      <c r="Z104" s="26"/>
      <c r="AA104" s="26"/>
      <c r="AB104" s="26"/>
      <c r="AC104" s="26"/>
      <c r="AD104" s="26"/>
    </row>
    <row r="105" ht="24.75" customHeight="1">
      <c r="A105" s="28" t="s">
        <v>1123</v>
      </c>
      <c r="B105" s="23" t="s">
        <v>1124</v>
      </c>
      <c r="C105" s="23" t="s">
        <v>1125</v>
      </c>
      <c r="D105" s="23" t="s">
        <v>464</v>
      </c>
      <c r="E105" s="23" t="s">
        <v>465</v>
      </c>
      <c r="F105" s="24" t="s">
        <v>89</v>
      </c>
      <c r="G105" s="23" t="s">
        <v>1019</v>
      </c>
      <c r="H105" s="23" t="s">
        <v>1126</v>
      </c>
      <c r="I105" s="23" t="s">
        <v>1127</v>
      </c>
      <c r="J105" s="23" t="s">
        <v>1128</v>
      </c>
      <c r="K105" s="25" t="s">
        <v>1129</v>
      </c>
      <c r="L105" s="23">
        <f>256772-382377</f>
        <v>-125605</v>
      </c>
      <c r="M105" s="23" t="s">
        <v>1130</v>
      </c>
      <c r="N105" s="24" t="s">
        <v>1131</v>
      </c>
      <c r="O105" s="23" t="s">
        <v>1132</v>
      </c>
      <c r="P105" s="23" t="s">
        <v>669</v>
      </c>
      <c r="Q105" s="24"/>
      <c r="R105" s="24"/>
      <c r="S105" s="24"/>
      <c r="T105" s="24" t="s">
        <v>1133</v>
      </c>
      <c r="U105" s="23"/>
      <c r="V105" s="24" t="s">
        <v>1134</v>
      </c>
      <c r="W105" s="23"/>
      <c r="X105" s="26"/>
      <c r="Y105" s="26"/>
      <c r="Z105" s="26"/>
      <c r="AA105" s="26"/>
      <c r="AB105" s="26"/>
      <c r="AC105" s="26"/>
      <c r="AD105" s="26"/>
    </row>
    <row r="106" ht="24.75" customHeight="1">
      <c r="A106" s="28" t="s">
        <v>1135</v>
      </c>
      <c r="B106" s="23" t="s">
        <v>1136</v>
      </c>
      <c r="C106" s="23" t="s">
        <v>1137</v>
      </c>
      <c r="D106" s="23" t="s">
        <v>159</v>
      </c>
      <c r="E106" s="23" t="s">
        <v>54</v>
      </c>
      <c r="F106" s="24" t="s">
        <v>41</v>
      </c>
      <c r="G106" s="23" t="s">
        <v>1019</v>
      </c>
      <c r="H106" s="23" t="s">
        <v>1138</v>
      </c>
      <c r="I106" s="23" t="s">
        <v>1139</v>
      </c>
      <c r="J106" s="23" t="s">
        <v>1140</v>
      </c>
      <c r="K106" s="25" t="s">
        <v>1141</v>
      </c>
      <c r="L106" s="23"/>
      <c r="M106" s="23" t="s">
        <v>1142</v>
      </c>
      <c r="N106" s="23"/>
      <c r="O106" s="23"/>
      <c r="P106" s="23"/>
      <c r="Q106" s="23"/>
      <c r="R106" s="23"/>
      <c r="S106" s="23"/>
      <c r="T106" s="23" t="s">
        <v>1143</v>
      </c>
      <c r="U106" s="24" t="s">
        <v>1144</v>
      </c>
      <c r="V106" s="24" t="s">
        <v>1145</v>
      </c>
      <c r="W106" s="23"/>
      <c r="X106" s="26"/>
      <c r="Y106" s="26"/>
      <c r="Z106" s="26"/>
      <c r="AA106" s="26"/>
      <c r="AB106" s="26"/>
      <c r="AC106" s="26"/>
      <c r="AD106" s="26"/>
    </row>
    <row r="107" ht="24.75" customHeight="1">
      <c r="A107" s="28" t="s">
        <v>1146</v>
      </c>
      <c r="B107" s="23" t="s">
        <v>1147</v>
      </c>
      <c r="C107" s="23" t="s">
        <v>1148</v>
      </c>
      <c r="D107" s="23" t="s">
        <v>1149</v>
      </c>
      <c r="E107" s="23" t="s">
        <v>465</v>
      </c>
      <c r="F107" s="24" t="s">
        <v>41</v>
      </c>
      <c r="G107" s="23" t="s">
        <v>1019</v>
      </c>
      <c r="H107" s="23" t="s">
        <v>1150</v>
      </c>
      <c r="I107" s="23" t="s">
        <v>932</v>
      </c>
      <c r="J107" s="23" t="s">
        <v>1151</v>
      </c>
      <c r="K107" s="25" t="s">
        <v>1152</v>
      </c>
      <c r="L107" s="23"/>
      <c r="M107" s="23" t="s">
        <v>1153</v>
      </c>
      <c r="N107" s="24" t="s">
        <v>1154</v>
      </c>
      <c r="O107" s="24" t="s">
        <v>1155</v>
      </c>
      <c r="P107" s="23"/>
      <c r="Q107" s="23"/>
      <c r="R107" s="23"/>
      <c r="S107" s="23"/>
      <c r="T107" s="23"/>
      <c r="U107" s="23"/>
      <c r="V107" s="24" t="s">
        <v>1156</v>
      </c>
      <c r="W107" s="23"/>
      <c r="X107" s="26"/>
      <c r="Y107" s="26"/>
      <c r="Z107" s="26"/>
      <c r="AA107" s="26"/>
      <c r="AB107" s="26"/>
      <c r="AC107" s="26"/>
      <c r="AD107" s="26"/>
    </row>
    <row r="108" ht="24.75" customHeight="1">
      <c r="A108" s="28" t="s">
        <v>1157</v>
      </c>
      <c r="B108" s="23" t="s">
        <v>1031</v>
      </c>
      <c r="C108" s="23" t="s">
        <v>1032</v>
      </c>
      <c r="D108" s="23" t="s">
        <v>527</v>
      </c>
      <c r="E108" s="23" t="s">
        <v>27</v>
      </c>
      <c r="F108" s="24" t="s">
        <v>89</v>
      </c>
      <c r="G108" s="23" t="s">
        <v>1019</v>
      </c>
      <c r="H108" s="23" t="s">
        <v>1158</v>
      </c>
      <c r="I108" s="23" t="s">
        <v>1159</v>
      </c>
      <c r="J108" s="23" t="s">
        <v>1160</v>
      </c>
      <c r="K108" s="25" t="s">
        <v>1033</v>
      </c>
      <c r="L108" s="23"/>
      <c r="M108" s="23" t="s">
        <v>1034</v>
      </c>
      <c r="N108" s="23"/>
      <c r="O108" s="23"/>
      <c r="P108" s="23"/>
      <c r="Q108" s="23"/>
      <c r="R108" s="23"/>
      <c r="S108" s="23"/>
      <c r="T108" s="23" t="s">
        <v>1161</v>
      </c>
      <c r="U108" s="23" t="s">
        <v>1162</v>
      </c>
      <c r="V108" s="24" t="s">
        <v>1163</v>
      </c>
      <c r="W108" s="23"/>
      <c r="X108" s="26"/>
      <c r="Y108" s="26"/>
      <c r="Z108" s="26"/>
      <c r="AA108" s="26"/>
      <c r="AB108" s="26"/>
      <c r="AC108" s="26"/>
      <c r="AD108" s="26"/>
    </row>
    <row r="109" ht="24.75" customHeight="1">
      <c r="A109" s="28" t="s">
        <v>1164</v>
      </c>
      <c r="B109" s="23" t="s">
        <v>1165</v>
      </c>
      <c r="C109" s="23" t="s">
        <v>1166</v>
      </c>
      <c r="D109" s="23" t="s">
        <v>1167</v>
      </c>
      <c r="E109" s="23" t="s">
        <v>1106</v>
      </c>
      <c r="F109" s="24" t="s">
        <v>41</v>
      </c>
      <c r="G109" s="23" t="s">
        <v>1019</v>
      </c>
      <c r="H109" s="23" t="s">
        <v>1168</v>
      </c>
      <c r="I109" s="23" t="s">
        <v>1169</v>
      </c>
      <c r="J109" s="23" t="s">
        <v>1170</v>
      </c>
      <c r="K109" s="25" t="s">
        <v>1171</v>
      </c>
      <c r="L109" s="23"/>
      <c r="M109" s="23" t="s">
        <v>1172</v>
      </c>
      <c r="N109" s="23"/>
      <c r="O109" s="23"/>
      <c r="P109" s="23"/>
      <c r="Q109" s="23"/>
      <c r="R109" s="23"/>
      <c r="S109" s="23"/>
      <c r="T109" s="23"/>
      <c r="U109" s="23"/>
      <c r="V109" s="24" t="s">
        <v>1173</v>
      </c>
      <c r="W109" s="23" t="s">
        <v>1174</v>
      </c>
      <c r="X109" s="26"/>
      <c r="Y109" s="26"/>
      <c r="Z109" s="26"/>
      <c r="AA109" s="26"/>
      <c r="AB109" s="26"/>
      <c r="AC109" s="26"/>
      <c r="AD109" s="26"/>
    </row>
    <row r="110" ht="24.75" customHeight="1">
      <c r="A110" s="28" t="s">
        <v>1175</v>
      </c>
      <c r="B110" s="23" t="s">
        <v>1176</v>
      </c>
      <c r="C110" s="23" t="s">
        <v>1177</v>
      </c>
      <c r="D110" s="23" t="s">
        <v>1178</v>
      </c>
      <c r="E110" s="23" t="s">
        <v>1179</v>
      </c>
      <c r="F110" s="24" t="s">
        <v>41</v>
      </c>
      <c r="G110" s="23" t="s">
        <v>1019</v>
      </c>
      <c r="H110" s="23" t="s">
        <v>1180</v>
      </c>
      <c r="I110" s="23" t="s">
        <v>1181</v>
      </c>
      <c r="J110" s="23"/>
      <c r="K110" s="25" t="s">
        <v>1182</v>
      </c>
      <c r="L110" s="23"/>
      <c r="M110" s="23" t="s">
        <v>1183</v>
      </c>
      <c r="N110" s="23"/>
      <c r="O110" s="23"/>
      <c r="P110" s="23"/>
      <c r="Q110" s="23"/>
      <c r="R110" s="24">
        <v>1.0</v>
      </c>
      <c r="S110" s="24">
        <v>1.0</v>
      </c>
      <c r="T110" s="24" t="s">
        <v>1184</v>
      </c>
      <c r="U110" s="23"/>
      <c r="V110" s="23" t="s">
        <v>907</v>
      </c>
      <c r="W110" s="23"/>
      <c r="X110" s="26"/>
      <c r="Y110" s="26"/>
      <c r="Z110" s="26"/>
      <c r="AA110" s="26"/>
      <c r="AB110" s="26"/>
      <c r="AC110" s="26"/>
      <c r="AD110" s="26"/>
    </row>
    <row r="111" ht="24.75" customHeight="1">
      <c r="A111" s="28" t="s">
        <v>1185</v>
      </c>
      <c r="B111" s="23" t="s">
        <v>1186</v>
      </c>
      <c r="C111" s="23" t="s">
        <v>856</v>
      </c>
      <c r="D111" s="23" t="s">
        <v>1187</v>
      </c>
      <c r="E111" s="23" t="s">
        <v>1188</v>
      </c>
      <c r="F111" s="24" t="s">
        <v>41</v>
      </c>
      <c r="G111" s="23" t="s">
        <v>1019</v>
      </c>
      <c r="H111" s="23" t="s">
        <v>1189</v>
      </c>
      <c r="I111" s="23" t="s">
        <v>1190</v>
      </c>
      <c r="J111" s="23"/>
      <c r="K111" s="25" t="s">
        <v>1191</v>
      </c>
      <c r="L111" s="23"/>
      <c r="M111" s="23" t="s">
        <v>1192</v>
      </c>
      <c r="N111" s="23"/>
      <c r="O111" s="23" t="s">
        <v>1193</v>
      </c>
      <c r="P111" s="23"/>
      <c r="Q111" s="23"/>
      <c r="R111" s="23"/>
      <c r="S111" s="23"/>
      <c r="T111" s="23"/>
      <c r="U111" s="23"/>
      <c r="V111" s="23" t="s">
        <v>222</v>
      </c>
      <c r="W111" s="23"/>
      <c r="X111" s="26"/>
      <c r="Y111" s="26"/>
      <c r="Z111" s="26"/>
      <c r="AA111" s="26"/>
      <c r="AB111" s="26"/>
      <c r="AC111" s="26"/>
      <c r="AD111" s="26"/>
    </row>
    <row r="112" ht="24.75" customHeight="1">
      <c r="A112" s="29" t="s">
        <v>1194</v>
      </c>
      <c r="B112" s="30" t="s">
        <v>1195</v>
      </c>
      <c r="C112" s="30" t="s">
        <v>1196</v>
      </c>
      <c r="D112" s="30" t="s">
        <v>1038</v>
      </c>
      <c r="E112" s="30" t="s">
        <v>1039</v>
      </c>
      <c r="F112" s="31" t="s">
        <v>41</v>
      </c>
      <c r="G112" s="30" t="s">
        <v>1197</v>
      </c>
      <c r="H112" s="30" t="s">
        <v>1198</v>
      </c>
      <c r="I112" s="30" t="s">
        <v>1199</v>
      </c>
      <c r="J112" s="30"/>
      <c r="K112" s="32" t="s">
        <v>1200</v>
      </c>
      <c r="L112" s="55" t="s">
        <v>1201</v>
      </c>
      <c r="M112" s="30" t="s">
        <v>1202</v>
      </c>
      <c r="N112" s="31" t="s">
        <v>1203</v>
      </c>
      <c r="O112" s="31" t="s">
        <v>1204</v>
      </c>
      <c r="P112" s="30" t="s">
        <v>669</v>
      </c>
      <c r="Q112" s="30"/>
      <c r="R112" s="30"/>
      <c r="S112" s="30"/>
      <c r="T112" s="30"/>
      <c r="U112" s="30"/>
      <c r="V112" s="30" t="s">
        <v>1205</v>
      </c>
      <c r="W112" s="30"/>
      <c r="X112" s="30"/>
      <c r="Y112" s="30"/>
      <c r="Z112" s="30"/>
      <c r="AA112" s="30"/>
      <c r="AB112" s="30"/>
      <c r="AC112" s="30"/>
      <c r="AD112" s="30"/>
    </row>
    <row r="113" ht="24.75" customHeight="1">
      <c r="A113" s="29" t="s">
        <v>1206</v>
      </c>
      <c r="B113" s="30" t="s">
        <v>1207</v>
      </c>
      <c r="C113" s="30" t="s">
        <v>1208</v>
      </c>
      <c r="D113" s="30" t="s">
        <v>1209</v>
      </c>
      <c r="E113" s="30" t="s">
        <v>27</v>
      </c>
      <c r="F113" s="31" t="s">
        <v>41</v>
      </c>
      <c r="G113" s="30" t="s">
        <v>1197</v>
      </c>
      <c r="H113" s="30" t="s">
        <v>1210</v>
      </c>
      <c r="I113" s="30" t="s">
        <v>1211</v>
      </c>
      <c r="J113" s="30"/>
      <c r="K113" s="30" t="s">
        <v>1212</v>
      </c>
      <c r="L113" s="31" t="s">
        <v>1213</v>
      </c>
      <c r="M113" s="30" t="s">
        <v>1214</v>
      </c>
      <c r="N113" s="30"/>
      <c r="O113" s="31"/>
      <c r="P113" s="30"/>
      <c r="Q113" s="31"/>
      <c r="R113" s="31"/>
      <c r="S113" s="31"/>
      <c r="T113" s="31" t="s">
        <v>1215</v>
      </c>
      <c r="U113" s="31"/>
      <c r="V113" s="30" t="s">
        <v>1205</v>
      </c>
      <c r="W113" s="30"/>
      <c r="X113" s="33"/>
      <c r="Y113" s="33"/>
      <c r="Z113" s="33"/>
      <c r="AA113" s="33"/>
      <c r="AB113" s="33"/>
      <c r="AC113" s="33"/>
      <c r="AD113" s="33"/>
    </row>
    <row r="114" ht="24.75" customHeight="1">
      <c r="A114" s="29" t="s">
        <v>1216</v>
      </c>
      <c r="B114" s="31" t="s">
        <v>1217</v>
      </c>
      <c r="C114" s="30" t="s">
        <v>1218</v>
      </c>
      <c r="D114" s="30" t="s">
        <v>1038</v>
      </c>
      <c r="E114" s="30" t="s">
        <v>1039</v>
      </c>
      <c r="F114" s="31" t="s">
        <v>41</v>
      </c>
      <c r="G114" s="30" t="s">
        <v>1197</v>
      </c>
      <c r="H114" s="30" t="s">
        <v>1219</v>
      </c>
      <c r="I114" s="30" t="s">
        <v>1220</v>
      </c>
      <c r="J114" s="30"/>
      <c r="K114" s="31" t="s">
        <v>1221</v>
      </c>
      <c r="L114" s="55" t="s">
        <v>1222</v>
      </c>
      <c r="M114" s="30" t="s">
        <v>1223</v>
      </c>
      <c r="N114" s="31" t="s">
        <v>1224</v>
      </c>
      <c r="O114" s="30" t="s">
        <v>1225</v>
      </c>
      <c r="P114" s="30"/>
      <c r="Q114" s="30"/>
      <c r="R114" s="30"/>
      <c r="S114" s="30"/>
      <c r="T114" s="30"/>
      <c r="U114" s="30"/>
      <c r="V114" s="30" t="s">
        <v>1205</v>
      </c>
      <c r="W114" s="30"/>
      <c r="X114" s="30"/>
      <c r="Y114" s="30"/>
      <c r="Z114" s="30"/>
      <c r="AA114" s="30"/>
      <c r="AB114" s="30"/>
      <c r="AC114" s="30"/>
      <c r="AD114" s="30"/>
    </row>
    <row r="115" ht="24.75" customHeight="1">
      <c r="A115" s="29" t="s">
        <v>1226</v>
      </c>
      <c r="B115" s="35" t="s">
        <v>1227</v>
      </c>
      <c r="C115" s="35" t="s">
        <v>1228</v>
      </c>
      <c r="D115" s="30" t="s">
        <v>1229</v>
      </c>
      <c r="E115" s="30" t="s">
        <v>183</v>
      </c>
      <c r="F115" s="31" t="s">
        <v>41</v>
      </c>
      <c r="G115" s="30" t="s">
        <v>1197</v>
      </c>
      <c r="H115" s="30" t="s">
        <v>1230</v>
      </c>
      <c r="I115" s="30" t="s">
        <v>1231</v>
      </c>
      <c r="J115" s="30"/>
      <c r="K115" s="31" t="s">
        <v>1232</v>
      </c>
      <c r="L115" s="30" t="s">
        <v>1233</v>
      </c>
      <c r="M115" s="30" t="s">
        <v>1234</v>
      </c>
      <c r="N115" s="30"/>
      <c r="O115" s="30" t="s">
        <v>1235</v>
      </c>
      <c r="P115" s="30"/>
      <c r="Q115" s="31"/>
      <c r="R115" s="31"/>
      <c r="S115" s="31"/>
      <c r="T115" s="31" t="s">
        <v>1236</v>
      </c>
      <c r="U115" s="30"/>
      <c r="V115" s="30" t="s">
        <v>1205</v>
      </c>
      <c r="W115" s="30"/>
      <c r="X115" s="30"/>
      <c r="Y115" s="30"/>
      <c r="Z115" s="30"/>
      <c r="AA115" s="30"/>
      <c r="AB115" s="30"/>
      <c r="AC115" s="30"/>
      <c r="AD115" s="30"/>
    </row>
    <row r="116" ht="24.75" customHeight="1">
      <c r="A116" s="29" t="s">
        <v>1237</v>
      </c>
      <c r="B116" s="30" t="s">
        <v>652</v>
      </c>
      <c r="C116" s="30" t="s">
        <v>158</v>
      </c>
      <c r="D116" s="30" t="s">
        <v>182</v>
      </c>
      <c r="E116" s="30" t="s">
        <v>183</v>
      </c>
      <c r="F116" s="31" t="s">
        <v>41</v>
      </c>
      <c r="G116" s="30" t="s">
        <v>1197</v>
      </c>
      <c r="H116" s="30" t="s">
        <v>1238</v>
      </c>
      <c r="I116" s="30" t="s">
        <v>1239</v>
      </c>
      <c r="J116" s="30"/>
      <c r="K116" s="30" t="s">
        <v>1240</v>
      </c>
      <c r="L116" s="30" t="s">
        <v>1241</v>
      </c>
      <c r="M116" s="30" t="s">
        <v>1242</v>
      </c>
      <c r="N116" s="30"/>
      <c r="O116" s="30" t="s">
        <v>457</v>
      </c>
      <c r="P116" s="30"/>
      <c r="Q116" s="30"/>
      <c r="R116" s="30"/>
      <c r="S116" s="30"/>
      <c r="T116" s="30"/>
      <c r="U116" s="30"/>
      <c r="V116" s="30" t="s">
        <v>1205</v>
      </c>
      <c r="W116" s="30"/>
      <c r="X116" s="30"/>
      <c r="Y116" s="30"/>
      <c r="Z116" s="30"/>
      <c r="AA116" s="30"/>
      <c r="AB116" s="30"/>
      <c r="AC116" s="30"/>
      <c r="AD116" s="30"/>
    </row>
    <row r="117" ht="24.75" customHeight="1">
      <c r="A117" s="29" t="s">
        <v>1243</v>
      </c>
      <c r="B117" s="30" t="s">
        <v>1244</v>
      </c>
      <c r="C117" s="30" t="s">
        <v>1245</v>
      </c>
      <c r="D117" s="30" t="s">
        <v>1187</v>
      </c>
      <c r="E117" s="30" t="s">
        <v>1188</v>
      </c>
      <c r="F117" s="31" t="s">
        <v>41</v>
      </c>
      <c r="G117" s="30" t="s">
        <v>1197</v>
      </c>
      <c r="H117" s="30" t="s">
        <v>1246</v>
      </c>
      <c r="I117" s="30" t="s">
        <v>1247</v>
      </c>
      <c r="J117" s="30"/>
      <c r="K117" s="30" t="s">
        <v>1248</v>
      </c>
      <c r="L117" s="55" t="s">
        <v>1249</v>
      </c>
      <c r="M117" s="30" t="s">
        <v>1250</v>
      </c>
      <c r="N117" s="31" t="s">
        <v>1251</v>
      </c>
      <c r="O117" s="30" t="s">
        <v>1252</v>
      </c>
      <c r="P117" s="30"/>
      <c r="Q117" s="31"/>
      <c r="R117" s="31"/>
      <c r="S117" s="31">
        <v>8.0</v>
      </c>
      <c r="T117" s="31" t="s">
        <v>1253</v>
      </c>
      <c r="U117" s="31" t="s">
        <v>1254</v>
      </c>
      <c r="V117" s="30" t="s">
        <v>1205</v>
      </c>
      <c r="W117" s="30"/>
      <c r="X117" s="33"/>
      <c r="Y117" s="33"/>
      <c r="Z117" s="33"/>
      <c r="AA117" s="33"/>
      <c r="AB117" s="33"/>
      <c r="AC117" s="33"/>
      <c r="AD117" s="33"/>
    </row>
    <row r="118" ht="24.75" customHeight="1">
      <c r="A118" s="29" t="s">
        <v>1255</v>
      </c>
      <c r="B118" s="30" t="s">
        <v>1256</v>
      </c>
      <c r="C118" s="30" t="s">
        <v>1257</v>
      </c>
      <c r="D118" s="30" t="s">
        <v>159</v>
      </c>
      <c r="E118" s="30" t="s">
        <v>54</v>
      </c>
      <c r="F118" s="31" t="s">
        <v>89</v>
      </c>
      <c r="G118" s="30" t="s">
        <v>1197</v>
      </c>
      <c r="H118" s="30" t="s">
        <v>1258</v>
      </c>
      <c r="I118" s="30" t="s">
        <v>1259</v>
      </c>
      <c r="J118" s="30"/>
      <c r="K118" s="30" t="s">
        <v>1260</v>
      </c>
      <c r="L118" s="55" t="s">
        <v>1261</v>
      </c>
      <c r="M118" s="30" t="s">
        <v>1262</v>
      </c>
      <c r="N118" s="30"/>
      <c r="O118" s="30" t="s">
        <v>1263</v>
      </c>
      <c r="P118" s="30"/>
      <c r="Q118" s="30"/>
      <c r="R118" s="30"/>
      <c r="S118" s="30"/>
      <c r="T118" s="30"/>
      <c r="U118" s="30"/>
      <c r="V118" s="30" t="s">
        <v>1205</v>
      </c>
      <c r="W118" s="30"/>
      <c r="X118" s="33"/>
      <c r="Y118" s="33"/>
      <c r="Z118" s="33"/>
      <c r="AA118" s="33"/>
      <c r="AB118" s="33"/>
      <c r="AC118" s="33"/>
      <c r="AD118" s="33"/>
    </row>
    <row r="119" ht="24.75" customHeight="1">
      <c r="A119" s="29" t="s">
        <v>1264</v>
      </c>
      <c r="B119" s="30" t="s">
        <v>1265</v>
      </c>
      <c r="C119" s="30" t="s">
        <v>1266</v>
      </c>
      <c r="D119" s="30" t="s">
        <v>1267</v>
      </c>
      <c r="E119" s="30" t="s">
        <v>1268</v>
      </c>
      <c r="F119" s="31" t="s">
        <v>41</v>
      </c>
      <c r="G119" s="30" t="s">
        <v>1197</v>
      </c>
      <c r="H119" s="30" t="s">
        <v>1269</v>
      </c>
      <c r="I119" s="30" t="s">
        <v>1270</v>
      </c>
      <c r="J119" s="30" t="s">
        <v>1271</v>
      </c>
      <c r="K119" s="30" t="s">
        <v>1272</v>
      </c>
      <c r="L119" s="55" t="s">
        <v>1273</v>
      </c>
      <c r="M119" s="30" t="s">
        <v>1274</v>
      </c>
      <c r="N119" s="30"/>
      <c r="O119" s="30"/>
      <c r="P119" s="30"/>
      <c r="Q119" s="31"/>
      <c r="R119" s="31"/>
      <c r="S119" s="31"/>
      <c r="T119" s="31" t="s">
        <v>1275</v>
      </c>
      <c r="U119" s="30"/>
      <c r="V119" s="30" t="s">
        <v>1205</v>
      </c>
      <c r="W119" s="30"/>
      <c r="X119" s="33"/>
      <c r="Y119" s="33"/>
      <c r="Z119" s="33"/>
      <c r="AA119" s="33"/>
      <c r="AB119" s="33"/>
      <c r="AC119" s="33"/>
      <c r="AD119" s="33"/>
    </row>
    <row r="120" ht="24.75" customHeight="1">
      <c r="A120" s="29" t="s">
        <v>1276</v>
      </c>
      <c r="B120" s="30" t="s">
        <v>1277</v>
      </c>
      <c r="C120" s="30" t="s">
        <v>1278</v>
      </c>
      <c r="D120" s="30" t="s">
        <v>1038</v>
      </c>
      <c r="E120" s="30" t="s">
        <v>1039</v>
      </c>
      <c r="F120" s="31" t="s">
        <v>41</v>
      </c>
      <c r="G120" s="30" t="s">
        <v>1197</v>
      </c>
      <c r="H120" s="30" t="s">
        <v>1279</v>
      </c>
      <c r="I120" s="30" t="s">
        <v>1280</v>
      </c>
      <c r="J120" s="30" t="s">
        <v>486</v>
      </c>
      <c r="K120" s="30" t="s">
        <v>1281</v>
      </c>
      <c r="L120" s="55" t="s">
        <v>1282</v>
      </c>
      <c r="M120" s="30" t="s">
        <v>1283</v>
      </c>
      <c r="N120" s="30"/>
      <c r="O120" s="30" t="s">
        <v>457</v>
      </c>
      <c r="P120" s="30"/>
      <c r="Q120" s="30"/>
      <c r="R120" s="30"/>
      <c r="S120" s="30"/>
      <c r="T120" s="30"/>
      <c r="U120" s="30"/>
      <c r="V120" s="30" t="s">
        <v>1205</v>
      </c>
      <c r="W120" s="30"/>
      <c r="X120" s="33"/>
      <c r="Y120" s="33"/>
      <c r="Z120" s="33"/>
      <c r="AA120" s="33"/>
      <c r="AB120" s="33"/>
      <c r="AC120" s="33"/>
      <c r="AD120" s="33"/>
    </row>
    <row r="121" ht="24.75" customHeight="1">
      <c r="A121" s="29" t="s">
        <v>1284</v>
      </c>
      <c r="B121" s="30" t="s">
        <v>1285</v>
      </c>
      <c r="C121" s="30" t="s">
        <v>1286</v>
      </c>
      <c r="D121" s="30" t="s">
        <v>464</v>
      </c>
      <c r="E121" s="30" t="s">
        <v>465</v>
      </c>
      <c r="F121" s="31" t="s">
        <v>41</v>
      </c>
      <c r="G121" s="30" t="s">
        <v>1197</v>
      </c>
      <c r="H121" s="30" t="s">
        <v>1287</v>
      </c>
      <c r="I121" s="30" t="s">
        <v>1288</v>
      </c>
      <c r="J121" s="30"/>
      <c r="K121" s="32" t="s">
        <v>1289</v>
      </c>
      <c r="L121" s="55" t="s">
        <v>1290</v>
      </c>
      <c r="M121" s="30" t="s">
        <v>1291</v>
      </c>
      <c r="N121" s="31" t="s">
        <v>1292</v>
      </c>
      <c r="O121" s="30" t="s">
        <v>1293</v>
      </c>
      <c r="P121" s="30"/>
      <c r="Q121" s="30"/>
      <c r="R121" s="30"/>
      <c r="S121" s="30"/>
      <c r="T121" s="30"/>
      <c r="U121" s="30"/>
      <c r="V121" s="30" t="s">
        <v>1205</v>
      </c>
      <c r="W121" s="30"/>
      <c r="X121" s="33"/>
      <c r="Y121" s="33"/>
      <c r="Z121" s="33"/>
      <c r="AA121" s="33"/>
      <c r="AB121" s="33"/>
      <c r="AC121" s="33"/>
      <c r="AD121" s="33"/>
    </row>
    <row r="122" ht="24.75" customHeight="1">
      <c r="A122" s="29" t="s">
        <v>1294</v>
      </c>
      <c r="B122" s="30" t="s">
        <v>1295</v>
      </c>
      <c r="C122" s="30" t="s">
        <v>1296</v>
      </c>
      <c r="D122" s="30" t="s">
        <v>1038</v>
      </c>
      <c r="E122" s="30" t="s">
        <v>1039</v>
      </c>
      <c r="F122" s="31" t="s">
        <v>89</v>
      </c>
      <c r="G122" s="30" t="s">
        <v>1197</v>
      </c>
      <c r="H122" s="30" t="s">
        <v>1297</v>
      </c>
      <c r="I122" s="30" t="s">
        <v>1298</v>
      </c>
      <c r="J122" s="30"/>
      <c r="K122" s="30" t="s">
        <v>1299</v>
      </c>
      <c r="L122" s="30" t="s">
        <v>1300</v>
      </c>
      <c r="M122" s="30" t="s">
        <v>1301</v>
      </c>
      <c r="N122" s="31" t="s">
        <v>1302</v>
      </c>
      <c r="O122" s="30" t="s">
        <v>1303</v>
      </c>
      <c r="P122" s="30"/>
      <c r="Q122" s="30"/>
      <c r="R122" s="30"/>
      <c r="S122" s="30"/>
      <c r="T122" s="31" t="s">
        <v>1304</v>
      </c>
      <c r="U122" s="30"/>
      <c r="V122" s="30" t="s">
        <v>1205</v>
      </c>
      <c r="W122" s="30"/>
      <c r="X122" s="30"/>
      <c r="Y122" s="30"/>
      <c r="Z122" s="30"/>
      <c r="AA122" s="30"/>
      <c r="AB122" s="30"/>
      <c r="AC122" s="30"/>
      <c r="AD122" s="30"/>
    </row>
    <row r="123" ht="24.75" customHeight="1">
      <c r="A123" s="29" t="s">
        <v>1305</v>
      </c>
      <c r="B123" s="30" t="s">
        <v>1306</v>
      </c>
      <c r="C123" s="30" t="s">
        <v>1307</v>
      </c>
      <c r="D123" s="30" t="s">
        <v>1038</v>
      </c>
      <c r="E123" s="30" t="s">
        <v>1039</v>
      </c>
      <c r="F123" s="31" t="s">
        <v>41</v>
      </c>
      <c r="G123" s="30" t="s">
        <v>1197</v>
      </c>
      <c r="H123" s="30" t="s">
        <v>1308</v>
      </c>
      <c r="I123" s="30" t="s">
        <v>1309</v>
      </c>
      <c r="J123" s="30"/>
      <c r="K123" s="30" t="s">
        <v>1310</v>
      </c>
      <c r="L123" s="55" t="s">
        <v>1311</v>
      </c>
      <c r="M123" s="30" t="s">
        <v>1312</v>
      </c>
      <c r="N123" s="30" t="s">
        <v>1313</v>
      </c>
      <c r="O123" s="30" t="s">
        <v>1314</v>
      </c>
      <c r="P123" s="30"/>
      <c r="Q123" s="30"/>
      <c r="R123" s="30"/>
      <c r="S123" s="30"/>
      <c r="T123" s="30"/>
      <c r="U123" s="30"/>
      <c r="V123" s="30" t="s">
        <v>1205</v>
      </c>
      <c r="W123" s="30"/>
      <c r="X123" s="33"/>
      <c r="Y123" s="33"/>
      <c r="Z123" s="33"/>
      <c r="AA123" s="33"/>
      <c r="AB123" s="33"/>
      <c r="AC123" s="33"/>
      <c r="AD123" s="33"/>
    </row>
    <row r="124" ht="24.75" customHeight="1">
      <c r="A124" s="36" t="s">
        <v>1315</v>
      </c>
      <c r="B124" s="14" t="s">
        <v>1316</v>
      </c>
      <c r="C124" s="14" t="s">
        <v>1317</v>
      </c>
      <c r="D124" s="15" t="s">
        <v>584</v>
      </c>
      <c r="E124" s="14" t="s">
        <v>54</v>
      </c>
      <c r="F124" s="15" t="s">
        <v>41</v>
      </c>
      <c r="G124" s="14" t="s">
        <v>1318</v>
      </c>
      <c r="H124" s="14" t="s">
        <v>1319</v>
      </c>
      <c r="I124" s="14" t="s">
        <v>1320</v>
      </c>
      <c r="J124" s="14" t="s">
        <v>395</v>
      </c>
      <c r="K124" s="15" t="s">
        <v>1321</v>
      </c>
      <c r="L124" s="14" t="s">
        <v>1322</v>
      </c>
      <c r="M124" s="14" t="s">
        <v>1323</v>
      </c>
      <c r="N124" s="15" t="s">
        <v>1324</v>
      </c>
      <c r="O124" s="15" t="s">
        <v>1325</v>
      </c>
      <c r="P124" s="14" t="s">
        <v>1326</v>
      </c>
      <c r="Q124" s="15"/>
      <c r="R124" s="15"/>
      <c r="S124" s="15"/>
      <c r="T124" s="15" t="s">
        <v>1327</v>
      </c>
      <c r="U124" s="14"/>
      <c r="V124" s="14"/>
      <c r="W124" s="14"/>
      <c r="X124" s="18"/>
      <c r="Y124" s="18"/>
      <c r="Z124" s="18"/>
      <c r="AA124" s="18"/>
      <c r="AB124" s="18"/>
      <c r="AC124" s="18"/>
      <c r="AD124" s="18"/>
    </row>
    <row r="125" ht="24.75" customHeight="1">
      <c r="A125" s="36" t="s">
        <v>1328</v>
      </c>
      <c r="B125" s="14" t="s">
        <v>1329</v>
      </c>
      <c r="C125" s="14" t="s">
        <v>1330</v>
      </c>
      <c r="D125" s="14" t="s">
        <v>1331</v>
      </c>
      <c r="E125" s="14" t="s">
        <v>1039</v>
      </c>
      <c r="F125" s="15" t="s">
        <v>41</v>
      </c>
      <c r="G125" s="14" t="s">
        <v>1318</v>
      </c>
      <c r="H125" s="14" t="s">
        <v>1332</v>
      </c>
      <c r="I125" s="14" t="s">
        <v>1333</v>
      </c>
      <c r="J125" s="14"/>
      <c r="K125" s="17" t="s">
        <v>1334</v>
      </c>
      <c r="L125" s="14"/>
      <c r="M125" s="14" t="s">
        <v>1335</v>
      </c>
      <c r="N125" s="14"/>
      <c r="O125" s="14" t="s">
        <v>1336</v>
      </c>
      <c r="P125" s="14"/>
      <c r="Q125" s="14"/>
      <c r="R125" s="14"/>
      <c r="S125" s="14"/>
      <c r="T125" s="14"/>
      <c r="U125" s="14"/>
      <c r="V125" s="14"/>
      <c r="W125" s="14"/>
      <c r="X125" s="18"/>
      <c r="Y125" s="18"/>
      <c r="Z125" s="18"/>
      <c r="AA125" s="18"/>
      <c r="AB125" s="18"/>
      <c r="AC125" s="18"/>
      <c r="AD125" s="18"/>
    </row>
    <row r="126" ht="24.75" customHeight="1">
      <c r="A126" s="36" t="s">
        <v>1337</v>
      </c>
      <c r="B126" s="14" t="s">
        <v>1338</v>
      </c>
      <c r="C126" s="14" t="s">
        <v>1339</v>
      </c>
      <c r="D126" s="14" t="s">
        <v>464</v>
      </c>
      <c r="E126" s="14" t="s">
        <v>465</v>
      </c>
      <c r="F126" s="15" t="s">
        <v>41</v>
      </c>
      <c r="G126" s="14" t="s">
        <v>1318</v>
      </c>
      <c r="H126" s="14" t="s">
        <v>1340</v>
      </c>
      <c r="I126" s="14" t="s">
        <v>1341</v>
      </c>
      <c r="J126" s="14"/>
      <c r="K126" s="17" t="s">
        <v>1342</v>
      </c>
      <c r="L126" s="14" t="s">
        <v>1343</v>
      </c>
      <c r="M126" s="14" t="s">
        <v>1344</v>
      </c>
      <c r="N126" s="14"/>
      <c r="O126" s="14" t="s">
        <v>1345</v>
      </c>
      <c r="P126" s="15" t="s">
        <v>1346</v>
      </c>
      <c r="Q126" s="14"/>
      <c r="R126" s="14"/>
      <c r="S126" s="14"/>
      <c r="T126" s="14"/>
      <c r="U126" s="14"/>
      <c r="V126" s="14"/>
      <c r="W126" s="14"/>
      <c r="X126" s="18"/>
      <c r="Y126" s="18"/>
      <c r="Z126" s="18"/>
      <c r="AA126" s="18"/>
      <c r="AB126" s="18"/>
      <c r="AC126" s="18"/>
      <c r="AD126" s="18"/>
    </row>
    <row r="127" ht="24.75" customHeight="1">
      <c r="A127" s="36" t="s">
        <v>1347</v>
      </c>
      <c r="B127" s="14" t="s">
        <v>1348</v>
      </c>
      <c r="C127" s="14" t="s">
        <v>1349</v>
      </c>
      <c r="D127" s="14" t="s">
        <v>451</v>
      </c>
      <c r="E127" s="14" t="s">
        <v>183</v>
      </c>
      <c r="F127" s="15" t="s">
        <v>41</v>
      </c>
      <c r="G127" s="14" t="s">
        <v>1318</v>
      </c>
      <c r="H127" s="14" t="s">
        <v>1350</v>
      </c>
      <c r="I127" s="14" t="s">
        <v>1351</v>
      </c>
      <c r="J127" s="14"/>
      <c r="K127" s="17" t="s">
        <v>1352</v>
      </c>
      <c r="L127" s="14" t="s">
        <v>1353</v>
      </c>
      <c r="M127" s="14" t="s">
        <v>1354</v>
      </c>
      <c r="N127" s="14"/>
      <c r="O127" s="14" t="s">
        <v>1345</v>
      </c>
      <c r="P127" s="15" t="s">
        <v>1355</v>
      </c>
      <c r="Q127" s="14"/>
      <c r="R127" s="14"/>
      <c r="S127" s="14"/>
      <c r="T127" s="15" t="s">
        <v>1356</v>
      </c>
      <c r="U127" s="14"/>
      <c r="V127" s="14"/>
      <c r="W127" s="14"/>
      <c r="X127" s="18"/>
      <c r="Y127" s="18"/>
      <c r="Z127" s="18"/>
      <c r="AA127" s="18"/>
      <c r="AB127" s="18"/>
      <c r="AC127" s="18"/>
      <c r="AD127" s="18"/>
    </row>
    <row r="128" ht="24.75" customHeight="1">
      <c r="A128" s="36" t="s">
        <v>1357</v>
      </c>
      <c r="B128" s="14" t="s">
        <v>1358</v>
      </c>
      <c r="C128" s="15" t="s">
        <v>1359</v>
      </c>
      <c r="D128" s="14" t="s">
        <v>159</v>
      </c>
      <c r="E128" s="14" t="s">
        <v>54</v>
      </c>
      <c r="F128" s="15" t="s">
        <v>89</v>
      </c>
      <c r="G128" s="14" t="s">
        <v>1318</v>
      </c>
      <c r="H128" s="14" t="s">
        <v>1360</v>
      </c>
      <c r="I128" s="14" t="s">
        <v>1361</v>
      </c>
      <c r="J128" s="14" t="s">
        <v>1362</v>
      </c>
      <c r="K128" s="17" t="s">
        <v>1363</v>
      </c>
      <c r="L128" s="14" t="s">
        <v>1364</v>
      </c>
      <c r="M128" s="14" t="s">
        <v>1365</v>
      </c>
      <c r="N128" s="14"/>
      <c r="O128" s="14" t="s">
        <v>1366</v>
      </c>
      <c r="P128" s="15" t="s">
        <v>1367</v>
      </c>
      <c r="Q128" s="15"/>
      <c r="R128" s="15"/>
      <c r="S128" s="15"/>
      <c r="T128" s="15"/>
      <c r="U128" s="15" t="s">
        <v>1368</v>
      </c>
      <c r="V128" s="14"/>
      <c r="W128" s="14"/>
      <c r="X128" s="18"/>
      <c r="Y128" s="18"/>
      <c r="Z128" s="18"/>
      <c r="AA128" s="18"/>
      <c r="AB128" s="18"/>
      <c r="AC128" s="18"/>
      <c r="AD128" s="18"/>
    </row>
    <row r="129" ht="24.75" customHeight="1">
      <c r="A129" s="36" t="s">
        <v>1369</v>
      </c>
      <c r="B129" s="14" t="s">
        <v>1370</v>
      </c>
      <c r="C129" s="14" t="s">
        <v>1371</v>
      </c>
      <c r="D129" s="14" t="s">
        <v>527</v>
      </c>
      <c r="E129" s="14" t="s">
        <v>27</v>
      </c>
      <c r="F129" s="15" t="s">
        <v>89</v>
      </c>
      <c r="G129" s="14" t="s">
        <v>1318</v>
      </c>
      <c r="H129" s="14" t="s">
        <v>1372</v>
      </c>
      <c r="I129" s="14" t="s">
        <v>1373</v>
      </c>
      <c r="J129" s="14" t="s">
        <v>1374</v>
      </c>
      <c r="K129" s="14" t="s">
        <v>1375</v>
      </c>
      <c r="L129" s="14" t="s">
        <v>1376</v>
      </c>
      <c r="M129" s="14" t="s">
        <v>1377</v>
      </c>
      <c r="N129" s="14"/>
      <c r="O129" s="14" t="s">
        <v>338</v>
      </c>
      <c r="P129" s="14"/>
      <c r="Q129" s="14"/>
      <c r="R129" s="14"/>
      <c r="S129" s="14"/>
      <c r="T129" s="14" t="s">
        <v>1378</v>
      </c>
      <c r="U129" s="14"/>
      <c r="V129" s="14"/>
      <c r="W129" s="14"/>
      <c r="X129" s="18"/>
      <c r="Y129" s="18"/>
      <c r="Z129" s="18"/>
      <c r="AA129" s="18"/>
      <c r="AB129" s="18"/>
      <c r="AC129" s="18"/>
      <c r="AD129" s="18"/>
    </row>
    <row r="130" ht="24.75" customHeight="1">
      <c r="A130" s="36" t="s">
        <v>1379</v>
      </c>
      <c r="B130" s="14" t="s">
        <v>1380</v>
      </c>
      <c r="C130" s="14" t="s">
        <v>1381</v>
      </c>
      <c r="D130" s="14" t="s">
        <v>1382</v>
      </c>
      <c r="E130" s="14" t="s">
        <v>1383</v>
      </c>
      <c r="F130" s="15" t="s">
        <v>89</v>
      </c>
      <c r="G130" s="14" t="s">
        <v>1318</v>
      </c>
      <c r="H130" s="14" t="s">
        <v>1384</v>
      </c>
      <c r="I130" s="14" t="s">
        <v>1385</v>
      </c>
      <c r="J130" s="14"/>
      <c r="K130" s="15" t="s">
        <v>1386</v>
      </c>
      <c r="L130" s="15" t="s">
        <v>1387</v>
      </c>
      <c r="M130" s="14" t="s">
        <v>1388</v>
      </c>
      <c r="N130" s="14"/>
      <c r="O130" s="15" t="s">
        <v>1389</v>
      </c>
      <c r="P130" s="15" t="s">
        <v>1390</v>
      </c>
      <c r="Q130" s="15"/>
      <c r="R130" s="15"/>
      <c r="S130" s="15"/>
      <c r="T130" s="56" t="s">
        <v>1391</v>
      </c>
      <c r="U130" s="14"/>
      <c r="V130" s="14"/>
      <c r="W130" s="14"/>
      <c r="X130" s="18"/>
      <c r="Y130" s="18"/>
      <c r="Z130" s="18"/>
      <c r="AA130" s="18"/>
      <c r="AB130" s="18"/>
      <c r="AC130" s="18"/>
      <c r="AD130" s="18"/>
    </row>
    <row r="131" ht="24.75" customHeight="1">
      <c r="A131" s="36" t="s">
        <v>1392</v>
      </c>
      <c r="B131" s="14" t="s">
        <v>1393</v>
      </c>
      <c r="C131" s="14" t="s">
        <v>1394</v>
      </c>
      <c r="D131" s="14" t="s">
        <v>464</v>
      </c>
      <c r="E131" s="14" t="s">
        <v>465</v>
      </c>
      <c r="F131" s="15" t="s">
        <v>89</v>
      </c>
      <c r="G131" s="14" t="s">
        <v>1318</v>
      </c>
      <c r="H131" s="15" t="s">
        <v>1395</v>
      </c>
      <c r="I131" s="14" t="s">
        <v>540</v>
      </c>
      <c r="J131" s="14"/>
      <c r="K131" s="17" t="s">
        <v>1396</v>
      </c>
      <c r="L131" s="14" t="s">
        <v>1397</v>
      </c>
      <c r="M131" s="14" t="s">
        <v>1398</v>
      </c>
      <c r="N131" s="14"/>
      <c r="O131" s="14" t="s">
        <v>1399</v>
      </c>
      <c r="P131" s="14" t="s">
        <v>1400</v>
      </c>
      <c r="Q131" s="15"/>
      <c r="R131" s="15"/>
      <c r="S131" s="15"/>
      <c r="T131" s="15" t="s">
        <v>1401</v>
      </c>
      <c r="U131" s="14"/>
      <c r="V131" s="14"/>
      <c r="W131" s="14"/>
      <c r="X131" s="18"/>
      <c r="Y131" s="18"/>
      <c r="Z131" s="18"/>
      <c r="AA131" s="18"/>
      <c r="AB131" s="18"/>
      <c r="AC131" s="18"/>
      <c r="AD131" s="18"/>
    </row>
    <row r="132" ht="24.75" customHeight="1">
      <c r="A132" s="36" t="s">
        <v>1402</v>
      </c>
      <c r="B132" s="14" t="s">
        <v>1403</v>
      </c>
      <c r="C132" s="14" t="s">
        <v>1404</v>
      </c>
      <c r="D132" s="14" t="s">
        <v>1331</v>
      </c>
      <c r="E132" s="14" t="s">
        <v>1039</v>
      </c>
      <c r="F132" s="15" t="s">
        <v>89</v>
      </c>
      <c r="G132" s="14" t="s">
        <v>1318</v>
      </c>
      <c r="H132" s="14" t="s">
        <v>1405</v>
      </c>
      <c r="I132" s="14" t="s">
        <v>1406</v>
      </c>
      <c r="J132" s="14"/>
      <c r="K132" s="17" t="s">
        <v>1407</v>
      </c>
      <c r="L132" s="14"/>
      <c r="M132" s="14" t="s">
        <v>1408</v>
      </c>
      <c r="N132" s="14"/>
      <c r="O132" s="14" t="s">
        <v>1409</v>
      </c>
      <c r="P132" s="14"/>
      <c r="Q132" s="14"/>
      <c r="R132" s="14"/>
      <c r="S132" s="14"/>
      <c r="T132" s="14"/>
      <c r="U132" s="14"/>
      <c r="V132" s="14"/>
      <c r="W132" s="14"/>
      <c r="X132" s="18"/>
      <c r="Y132" s="18"/>
      <c r="Z132" s="18"/>
      <c r="AA132" s="18"/>
      <c r="AB132" s="18"/>
      <c r="AC132" s="18"/>
      <c r="AD132" s="18"/>
    </row>
    <row r="133" ht="24.75" customHeight="1">
      <c r="A133" s="36" t="s">
        <v>1410</v>
      </c>
      <c r="B133" s="14" t="s">
        <v>1411</v>
      </c>
      <c r="C133" s="14" t="s">
        <v>1228</v>
      </c>
      <c r="D133" s="14" t="s">
        <v>825</v>
      </c>
      <c r="E133" s="14" t="s">
        <v>465</v>
      </c>
      <c r="F133" s="15" t="s">
        <v>41</v>
      </c>
      <c r="G133" s="14" t="s">
        <v>1318</v>
      </c>
      <c r="H133" s="15" t="s">
        <v>1412</v>
      </c>
      <c r="I133" s="14" t="s">
        <v>1413</v>
      </c>
      <c r="J133" s="14"/>
      <c r="K133" s="14" t="s">
        <v>1414</v>
      </c>
      <c r="L133" s="14" t="s">
        <v>1415</v>
      </c>
      <c r="M133" s="14" t="s">
        <v>1416</v>
      </c>
      <c r="N133" s="14"/>
      <c r="O133" s="14" t="s">
        <v>1399</v>
      </c>
      <c r="P133" s="14"/>
      <c r="Q133" s="14"/>
      <c r="R133" s="14"/>
      <c r="S133" s="14"/>
      <c r="T133" s="15" t="s">
        <v>1417</v>
      </c>
      <c r="U133" s="14"/>
      <c r="V133" s="14"/>
      <c r="W133" s="14"/>
      <c r="X133" s="18"/>
      <c r="Y133" s="18"/>
      <c r="Z133" s="18"/>
      <c r="AA133" s="18"/>
      <c r="AB133" s="18"/>
      <c r="AC133" s="18"/>
      <c r="AD133" s="18"/>
    </row>
    <row r="134" ht="24.75" customHeight="1">
      <c r="A134" s="36" t="s">
        <v>1418</v>
      </c>
      <c r="B134" s="14" t="s">
        <v>1419</v>
      </c>
      <c r="C134" s="14" t="s">
        <v>1420</v>
      </c>
      <c r="D134" s="14" t="s">
        <v>527</v>
      </c>
      <c r="E134" s="14" t="s">
        <v>27</v>
      </c>
      <c r="F134" s="15" t="s">
        <v>89</v>
      </c>
      <c r="G134" s="14" t="s">
        <v>1318</v>
      </c>
      <c r="H134" s="14" t="s">
        <v>1421</v>
      </c>
      <c r="I134" s="14" t="s">
        <v>1422</v>
      </c>
      <c r="J134" s="14"/>
      <c r="K134" s="17" t="s">
        <v>1423</v>
      </c>
      <c r="L134" s="14">
        <v>2.7813096432E10</v>
      </c>
      <c r="M134" s="14" t="s">
        <v>1424</v>
      </c>
      <c r="N134" s="14"/>
      <c r="O134" s="14" t="s">
        <v>1425</v>
      </c>
      <c r="P134" s="14"/>
      <c r="Q134" s="14"/>
      <c r="R134" s="14"/>
      <c r="S134" s="14"/>
      <c r="T134" s="14"/>
      <c r="U134" s="14"/>
      <c r="V134" s="14"/>
      <c r="W134" s="14"/>
      <c r="X134" s="18"/>
      <c r="Y134" s="18"/>
      <c r="Z134" s="18"/>
      <c r="AA134" s="18"/>
      <c r="AB134" s="18"/>
      <c r="AC134" s="18"/>
      <c r="AD134" s="18"/>
    </row>
    <row r="135" ht="24.75" customHeight="1">
      <c r="A135" s="36" t="s">
        <v>1426</v>
      </c>
      <c r="B135" s="14" t="s">
        <v>1427</v>
      </c>
      <c r="C135" s="14" t="s">
        <v>1428</v>
      </c>
      <c r="D135" s="14" t="s">
        <v>1429</v>
      </c>
      <c r="E135" s="14" t="s">
        <v>1039</v>
      </c>
      <c r="F135" s="15" t="s">
        <v>41</v>
      </c>
      <c r="G135" s="14" t="s">
        <v>1318</v>
      </c>
      <c r="H135" s="14" t="s">
        <v>1430</v>
      </c>
      <c r="I135" s="14" t="s">
        <v>1431</v>
      </c>
      <c r="J135" s="14"/>
      <c r="K135" s="17" t="s">
        <v>1432</v>
      </c>
      <c r="L135" s="14" t="s">
        <v>1433</v>
      </c>
      <c r="M135" s="14" t="s">
        <v>1434</v>
      </c>
      <c r="N135" s="14"/>
      <c r="O135" s="14" t="s">
        <v>1399</v>
      </c>
      <c r="P135" s="14" t="s">
        <v>1435</v>
      </c>
      <c r="Q135" s="14"/>
      <c r="R135" s="14"/>
      <c r="S135" s="14"/>
      <c r="T135" s="15" t="s">
        <v>1436</v>
      </c>
      <c r="U135" s="14"/>
      <c r="V135" s="14"/>
      <c r="W135" s="14"/>
      <c r="X135" s="18"/>
      <c r="Y135" s="18"/>
      <c r="Z135" s="18"/>
      <c r="AA135" s="18"/>
      <c r="AB135" s="18"/>
      <c r="AC135" s="18"/>
      <c r="AD135" s="18"/>
    </row>
    <row r="136" ht="24.75" customHeight="1">
      <c r="A136" s="36" t="s">
        <v>1437</v>
      </c>
      <c r="B136" s="14" t="s">
        <v>1438</v>
      </c>
      <c r="C136" s="14" t="s">
        <v>1439</v>
      </c>
      <c r="D136" s="14" t="s">
        <v>1440</v>
      </c>
      <c r="E136" s="14" t="s">
        <v>1268</v>
      </c>
      <c r="F136" s="15" t="s">
        <v>89</v>
      </c>
      <c r="G136" s="14" t="s">
        <v>1318</v>
      </c>
      <c r="H136" s="15" t="s">
        <v>1441</v>
      </c>
      <c r="I136" s="14" t="s">
        <v>1442</v>
      </c>
      <c r="J136" s="14" t="s">
        <v>1443</v>
      </c>
      <c r="K136" s="17" t="s">
        <v>1444</v>
      </c>
      <c r="L136" s="14" t="s">
        <v>1445</v>
      </c>
      <c r="M136" s="14" t="s">
        <v>1446</v>
      </c>
      <c r="N136" s="14"/>
      <c r="O136" s="14" t="s">
        <v>1447</v>
      </c>
      <c r="P136" s="15" t="s">
        <v>1448</v>
      </c>
      <c r="Q136" s="15"/>
      <c r="R136" s="15"/>
      <c r="S136" s="15"/>
      <c r="T136" s="15" t="s">
        <v>1449</v>
      </c>
      <c r="U136" s="14"/>
      <c r="V136" s="14"/>
      <c r="W136" s="14"/>
      <c r="X136" s="18"/>
      <c r="Y136" s="18"/>
      <c r="Z136" s="18"/>
      <c r="AA136" s="18"/>
      <c r="AB136" s="18"/>
      <c r="AC136" s="18"/>
      <c r="AD136" s="18"/>
    </row>
    <row r="137" ht="24.75" customHeight="1">
      <c r="A137" s="36" t="s">
        <v>1450</v>
      </c>
      <c r="B137" s="14" t="s">
        <v>1451</v>
      </c>
      <c r="C137" s="14" t="s">
        <v>1452</v>
      </c>
      <c r="D137" s="14" t="s">
        <v>1453</v>
      </c>
      <c r="E137" s="14" t="s">
        <v>27</v>
      </c>
      <c r="F137" s="15" t="s">
        <v>41</v>
      </c>
      <c r="G137" s="14" t="s">
        <v>1318</v>
      </c>
      <c r="H137" s="15" t="s">
        <v>1454</v>
      </c>
      <c r="I137" s="14" t="s">
        <v>1455</v>
      </c>
      <c r="J137" s="14"/>
      <c r="K137" s="57" t="s">
        <v>1456</v>
      </c>
      <c r="L137" s="14" t="s">
        <v>1457</v>
      </c>
      <c r="M137" s="14" t="s">
        <v>1458</v>
      </c>
      <c r="N137" s="14"/>
      <c r="O137" s="15" t="s">
        <v>1459</v>
      </c>
      <c r="P137" s="14"/>
      <c r="Q137" s="15"/>
      <c r="R137" s="15"/>
      <c r="S137" s="15"/>
      <c r="T137" s="15" t="s">
        <v>1460</v>
      </c>
      <c r="U137" s="14"/>
      <c r="V137" s="14"/>
      <c r="W137" s="14"/>
      <c r="X137" s="18"/>
      <c r="Y137" s="18"/>
      <c r="Z137" s="18"/>
      <c r="AA137" s="18"/>
      <c r="AB137" s="18"/>
      <c r="AC137" s="18"/>
      <c r="AD137" s="18"/>
    </row>
    <row r="138" ht="24.75" customHeight="1">
      <c r="A138" s="36" t="s">
        <v>1461</v>
      </c>
      <c r="B138" s="14" t="s">
        <v>1462</v>
      </c>
      <c r="C138" s="14" t="s">
        <v>1463</v>
      </c>
      <c r="D138" s="14" t="s">
        <v>1331</v>
      </c>
      <c r="E138" s="14" t="s">
        <v>1039</v>
      </c>
      <c r="F138" s="15" t="s">
        <v>41</v>
      </c>
      <c r="G138" s="14" t="s">
        <v>1318</v>
      </c>
      <c r="H138" s="14" t="s">
        <v>1464</v>
      </c>
      <c r="I138" s="14" t="s">
        <v>1465</v>
      </c>
      <c r="J138" s="14"/>
      <c r="K138" s="17" t="s">
        <v>1466</v>
      </c>
      <c r="L138" s="14"/>
      <c r="M138" s="15" t="s">
        <v>1467</v>
      </c>
      <c r="N138" s="14"/>
      <c r="O138" s="14" t="s">
        <v>1409</v>
      </c>
      <c r="P138" s="14" t="s">
        <v>669</v>
      </c>
      <c r="Q138" s="14"/>
      <c r="R138" s="14"/>
      <c r="S138" s="14"/>
      <c r="T138" s="14"/>
      <c r="U138" s="14"/>
      <c r="V138" s="14"/>
      <c r="W138" s="14"/>
      <c r="X138" s="18"/>
      <c r="Y138" s="18"/>
      <c r="Z138" s="18"/>
      <c r="AA138" s="18"/>
      <c r="AB138" s="18"/>
      <c r="AC138" s="18"/>
      <c r="AD138" s="18"/>
    </row>
    <row r="139" ht="24.75" customHeight="1">
      <c r="A139" s="36" t="s">
        <v>1468</v>
      </c>
      <c r="B139" s="14" t="s">
        <v>1469</v>
      </c>
      <c r="C139" s="14" t="s">
        <v>1470</v>
      </c>
      <c r="D139" s="14" t="s">
        <v>1038</v>
      </c>
      <c r="E139" s="14" t="s">
        <v>1039</v>
      </c>
      <c r="F139" s="15" t="s">
        <v>41</v>
      </c>
      <c r="G139" s="14" t="s">
        <v>1318</v>
      </c>
      <c r="H139" s="14" t="s">
        <v>1471</v>
      </c>
      <c r="I139" s="14" t="s">
        <v>1472</v>
      </c>
      <c r="J139" s="14"/>
      <c r="K139" s="17" t="s">
        <v>1473</v>
      </c>
      <c r="L139" s="14" t="s">
        <v>1474</v>
      </c>
      <c r="M139" s="14" t="s">
        <v>1475</v>
      </c>
      <c r="N139" s="14"/>
      <c r="O139" s="15" t="s">
        <v>1476</v>
      </c>
      <c r="P139" s="14" t="s">
        <v>1477</v>
      </c>
      <c r="Q139" s="14"/>
      <c r="R139" s="14"/>
      <c r="S139" s="14"/>
      <c r="T139" s="14"/>
      <c r="U139" s="14"/>
      <c r="V139" s="14"/>
      <c r="W139" s="14"/>
      <c r="X139" s="18"/>
      <c r="Y139" s="18"/>
      <c r="Z139" s="18"/>
      <c r="AA139" s="18"/>
      <c r="AB139" s="18"/>
      <c r="AC139" s="18"/>
      <c r="AD139" s="18"/>
    </row>
    <row r="140" ht="24.75" customHeight="1">
      <c r="A140" s="36" t="s">
        <v>1478</v>
      </c>
      <c r="B140" s="14" t="s">
        <v>1479</v>
      </c>
      <c r="C140" s="14" t="s">
        <v>1480</v>
      </c>
      <c r="D140" s="14" t="s">
        <v>1331</v>
      </c>
      <c r="E140" s="14" t="s">
        <v>1039</v>
      </c>
      <c r="F140" s="15" t="s">
        <v>41</v>
      </c>
      <c r="G140" s="14" t="s">
        <v>1318</v>
      </c>
      <c r="H140" s="14" t="s">
        <v>1481</v>
      </c>
      <c r="I140" s="14" t="s">
        <v>1482</v>
      </c>
      <c r="J140" s="14"/>
      <c r="K140" s="17" t="s">
        <v>1483</v>
      </c>
      <c r="L140" s="14"/>
      <c r="M140" s="14" t="s">
        <v>1484</v>
      </c>
      <c r="N140" s="14"/>
      <c r="O140" s="14" t="s">
        <v>1336</v>
      </c>
      <c r="P140" s="14"/>
      <c r="Q140" s="14"/>
      <c r="R140" s="14"/>
      <c r="S140" s="14"/>
      <c r="T140" s="14"/>
      <c r="U140" s="14"/>
      <c r="V140" s="14"/>
      <c r="W140" s="14"/>
      <c r="X140" s="14"/>
      <c r="Y140" s="14"/>
      <c r="Z140" s="14"/>
      <c r="AA140" s="14"/>
      <c r="AB140" s="14"/>
      <c r="AC140" s="14"/>
      <c r="AD140" s="14"/>
    </row>
    <row r="141" ht="24.75" customHeight="1">
      <c r="A141" s="28" t="s">
        <v>1485</v>
      </c>
      <c r="B141" s="23" t="s">
        <v>1486</v>
      </c>
      <c r="C141" s="23" t="s">
        <v>1487</v>
      </c>
      <c r="D141" s="23" t="s">
        <v>1488</v>
      </c>
      <c r="E141" s="23" t="s">
        <v>465</v>
      </c>
      <c r="F141" s="23" t="s">
        <v>89</v>
      </c>
      <c r="G141" s="23" t="s">
        <v>1489</v>
      </c>
      <c r="H141" s="23" t="s">
        <v>1490</v>
      </c>
      <c r="I141" s="23" t="s">
        <v>1491</v>
      </c>
      <c r="J141" s="23"/>
      <c r="K141" s="25" t="s">
        <v>1492</v>
      </c>
      <c r="L141" s="23" t="s">
        <v>1493</v>
      </c>
      <c r="M141" s="23" t="s">
        <v>1494</v>
      </c>
      <c r="N141" s="23"/>
      <c r="O141" s="23" t="s">
        <v>1495</v>
      </c>
      <c r="P141" s="23" t="s">
        <v>1496</v>
      </c>
      <c r="Q141" s="23"/>
      <c r="R141" s="23"/>
      <c r="S141" s="23"/>
      <c r="T141" s="23"/>
      <c r="U141" s="23"/>
      <c r="V141" s="23"/>
      <c r="W141" s="23"/>
      <c r="X141" s="26"/>
      <c r="Y141" s="26"/>
      <c r="Z141" s="26"/>
      <c r="AA141" s="26"/>
      <c r="AB141" s="26"/>
      <c r="AC141" s="26"/>
      <c r="AD141" s="26"/>
    </row>
    <row r="142" ht="24.75" customHeight="1">
      <c r="A142" s="28" t="s">
        <v>1497</v>
      </c>
      <c r="B142" s="23" t="s">
        <v>1498</v>
      </c>
      <c r="C142" s="23" t="s">
        <v>1499</v>
      </c>
      <c r="D142" s="23" t="s">
        <v>1500</v>
      </c>
      <c r="E142" s="23" t="s">
        <v>1039</v>
      </c>
      <c r="F142" s="23" t="s">
        <v>89</v>
      </c>
      <c r="G142" s="23" t="s">
        <v>1489</v>
      </c>
      <c r="H142" s="23" t="s">
        <v>1501</v>
      </c>
      <c r="I142" s="23" t="s">
        <v>1502</v>
      </c>
      <c r="J142" s="23"/>
      <c r="K142" s="23" t="s">
        <v>1503</v>
      </c>
      <c r="L142" s="23" t="s">
        <v>1504</v>
      </c>
      <c r="M142" s="23" t="s">
        <v>1505</v>
      </c>
      <c r="N142" s="23"/>
      <c r="O142" s="24" t="s">
        <v>1506</v>
      </c>
      <c r="P142" s="23" t="s">
        <v>1507</v>
      </c>
      <c r="Q142" s="24"/>
      <c r="R142" s="24"/>
      <c r="S142" s="24"/>
      <c r="T142" s="24" t="s">
        <v>1508</v>
      </c>
      <c r="U142" s="23"/>
      <c r="V142" s="23"/>
      <c r="W142" s="23"/>
      <c r="X142" s="26"/>
      <c r="Y142" s="26"/>
      <c r="Z142" s="26"/>
      <c r="AA142" s="26"/>
      <c r="AB142" s="26"/>
      <c r="AC142" s="26"/>
      <c r="AD142" s="26"/>
    </row>
    <row r="143" ht="24.75" customHeight="1">
      <c r="A143" s="28" t="s">
        <v>1509</v>
      </c>
      <c r="B143" s="23" t="s">
        <v>1510</v>
      </c>
      <c r="C143" s="23" t="s">
        <v>342</v>
      </c>
      <c r="D143" s="23" t="s">
        <v>159</v>
      </c>
      <c r="E143" s="23" t="s">
        <v>54</v>
      </c>
      <c r="F143" s="23" t="s">
        <v>41</v>
      </c>
      <c r="G143" s="23" t="s">
        <v>1489</v>
      </c>
      <c r="H143" s="23" t="s">
        <v>1511</v>
      </c>
      <c r="I143" s="23" t="s">
        <v>1220</v>
      </c>
      <c r="J143" s="23"/>
      <c r="K143" s="25" t="s">
        <v>1512</v>
      </c>
      <c r="L143" s="23" t="s">
        <v>1513</v>
      </c>
      <c r="M143" s="23" t="s">
        <v>1514</v>
      </c>
      <c r="N143" s="23"/>
      <c r="O143" s="25" t="s">
        <v>1515</v>
      </c>
      <c r="P143" s="23"/>
      <c r="Q143" s="24"/>
      <c r="R143" s="24"/>
      <c r="S143" s="24"/>
      <c r="T143" s="24" t="s">
        <v>1516</v>
      </c>
      <c r="U143" s="23"/>
      <c r="V143" s="23"/>
      <c r="W143" s="23"/>
      <c r="X143" s="26"/>
      <c r="Y143" s="26"/>
      <c r="Z143" s="26"/>
      <c r="AA143" s="26"/>
      <c r="AB143" s="26"/>
      <c r="AC143" s="26"/>
      <c r="AD143" s="26"/>
    </row>
    <row r="144" ht="24.75" customHeight="1">
      <c r="A144" s="28" t="s">
        <v>1517</v>
      </c>
      <c r="B144" s="23" t="s">
        <v>1518</v>
      </c>
      <c r="C144" s="23" t="s">
        <v>1519</v>
      </c>
      <c r="D144" s="23" t="s">
        <v>1520</v>
      </c>
      <c r="E144" s="23" t="s">
        <v>1521</v>
      </c>
      <c r="F144" s="23" t="s">
        <v>41</v>
      </c>
      <c r="G144" s="23" t="s">
        <v>1489</v>
      </c>
      <c r="H144" s="23" t="s">
        <v>1522</v>
      </c>
      <c r="I144" s="23" t="s">
        <v>1523</v>
      </c>
      <c r="J144" s="23"/>
      <c r="K144" s="23" t="s">
        <v>1524</v>
      </c>
      <c r="L144" s="23" t="s">
        <v>1525</v>
      </c>
      <c r="M144" s="23" t="s">
        <v>1526</v>
      </c>
      <c r="N144" s="24" t="s">
        <v>1527</v>
      </c>
      <c r="O144" s="23" t="s">
        <v>1528</v>
      </c>
      <c r="P144" s="23"/>
      <c r="Q144" s="23"/>
      <c r="R144" s="23"/>
      <c r="S144" s="23"/>
      <c r="T144" s="24" t="s">
        <v>1529</v>
      </c>
      <c r="U144" s="23"/>
      <c r="V144" s="23"/>
      <c r="W144" s="23"/>
      <c r="X144" s="26"/>
      <c r="Y144" s="26"/>
      <c r="Z144" s="26"/>
      <c r="AA144" s="26"/>
      <c r="AB144" s="26"/>
      <c r="AC144" s="26"/>
      <c r="AD144" s="26"/>
    </row>
    <row r="145" ht="24.75" customHeight="1">
      <c r="A145" s="28" t="s">
        <v>1530</v>
      </c>
      <c r="B145" s="23" t="s">
        <v>1531</v>
      </c>
      <c r="C145" s="23" t="s">
        <v>1532</v>
      </c>
      <c r="D145" s="23" t="s">
        <v>1533</v>
      </c>
      <c r="E145" s="23" t="s">
        <v>1534</v>
      </c>
      <c r="F145" s="23" t="s">
        <v>89</v>
      </c>
      <c r="G145" s="23" t="s">
        <v>1489</v>
      </c>
      <c r="H145" s="23" t="s">
        <v>1535</v>
      </c>
      <c r="I145" s="23" t="s">
        <v>1536</v>
      </c>
      <c r="J145" s="23"/>
      <c r="K145" s="25" t="s">
        <v>1537</v>
      </c>
      <c r="L145" s="23">
        <v>2.4105730656E10</v>
      </c>
      <c r="M145" s="23" t="s">
        <v>1538</v>
      </c>
      <c r="N145" s="23"/>
      <c r="O145" s="23"/>
      <c r="P145" s="23"/>
      <c r="Q145" s="23"/>
      <c r="R145" s="23"/>
      <c r="S145" s="23"/>
      <c r="T145" s="24" t="s">
        <v>1539</v>
      </c>
      <c r="U145" s="23"/>
      <c r="V145" s="23"/>
      <c r="W145" s="23"/>
      <c r="X145" s="26"/>
      <c r="Y145" s="26"/>
      <c r="Z145" s="26"/>
      <c r="AA145" s="26"/>
      <c r="AB145" s="26"/>
      <c r="AC145" s="26"/>
      <c r="AD145" s="26"/>
    </row>
    <row r="146" ht="24.75" customHeight="1">
      <c r="A146" s="28" t="s">
        <v>1540</v>
      </c>
      <c r="B146" s="23" t="s">
        <v>1541</v>
      </c>
      <c r="C146" s="23" t="s">
        <v>1542</v>
      </c>
      <c r="D146" s="23" t="s">
        <v>1543</v>
      </c>
      <c r="E146" s="23" t="s">
        <v>1268</v>
      </c>
      <c r="F146" s="24" t="s">
        <v>41</v>
      </c>
      <c r="G146" s="23" t="s">
        <v>1489</v>
      </c>
      <c r="H146" s="23" t="s">
        <v>1544</v>
      </c>
      <c r="I146" s="23" t="s">
        <v>1270</v>
      </c>
      <c r="J146" s="23"/>
      <c r="K146" s="23" t="s">
        <v>1545</v>
      </c>
      <c r="L146" s="23"/>
      <c r="M146" s="23" t="s">
        <v>1546</v>
      </c>
      <c r="N146" s="23"/>
      <c r="O146" s="24" t="s">
        <v>1547</v>
      </c>
      <c r="P146" s="23" t="s">
        <v>1548</v>
      </c>
      <c r="Q146" s="24"/>
      <c r="R146" s="24"/>
      <c r="S146" s="24"/>
      <c r="T146" s="24" t="s">
        <v>1549</v>
      </c>
      <c r="U146" s="23"/>
      <c r="V146" s="23"/>
      <c r="W146" s="23"/>
      <c r="X146" s="26"/>
      <c r="Y146" s="26"/>
      <c r="Z146" s="26"/>
      <c r="AA146" s="26"/>
      <c r="AB146" s="26"/>
      <c r="AC146" s="26"/>
      <c r="AD146" s="26"/>
    </row>
    <row r="147" ht="24.75" customHeight="1">
      <c r="A147" s="28" t="s">
        <v>1550</v>
      </c>
      <c r="B147" s="23" t="s">
        <v>1551</v>
      </c>
      <c r="C147" s="23" t="s">
        <v>1552</v>
      </c>
      <c r="D147" s="23" t="s">
        <v>1553</v>
      </c>
      <c r="E147" s="23" t="s">
        <v>54</v>
      </c>
      <c r="F147" s="23" t="s">
        <v>89</v>
      </c>
      <c r="G147" s="23" t="s">
        <v>1489</v>
      </c>
      <c r="H147" s="23" t="s">
        <v>1554</v>
      </c>
      <c r="I147" s="23" t="s">
        <v>1555</v>
      </c>
      <c r="J147" s="23"/>
      <c r="K147" s="23" t="s">
        <v>1556</v>
      </c>
      <c r="L147" s="23" t="s">
        <v>1557</v>
      </c>
      <c r="M147" s="23" t="s">
        <v>1558</v>
      </c>
      <c r="N147" s="23"/>
      <c r="O147" s="23" t="s">
        <v>1559</v>
      </c>
      <c r="P147" s="23"/>
      <c r="Q147" s="24"/>
      <c r="R147" s="24"/>
      <c r="S147" s="24"/>
      <c r="T147" s="24" t="s">
        <v>1560</v>
      </c>
      <c r="U147" s="23"/>
      <c r="V147" s="23"/>
      <c r="W147" s="23"/>
      <c r="X147" s="26"/>
      <c r="Y147" s="26"/>
      <c r="Z147" s="26"/>
      <c r="AA147" s="26"/>
      <c r="AB147" s="26"/>
      <c r="AC147" s="26"/>
      <c r="AD147" s="26"/>
    </row>
    <row r="148" ht="24.75" customHeight="1">
      <c r="A148" s="28" t="s">
        <v>1561</v>
      </c>
      <c r="B148" s="23" t="s">
        <v>1562</v>
      </c>
      <c r="C148" s="23" t="s">
        <v>1563</v>
      </c>
      <c r="D148" s="23" t="s">
        <v>1564</v>
      </c>
      <c r="E148" s="23" t="s">
        <v>1268</v>
      </c>
      <c r="F148" s="23" t="s">
        <v>41</v>
      </c>
      <c r="G148" s="23" t="s">
        <v>1489</v>
      </c>
      <c r="H148" s="23" t="s">
        <v>1565</v>
      </c>
      <c r="I148" s="23" t="s">
        <v>1566</v>
      </c>
      <c r="J148" s="23"/>
      <c r="K148" s="25" t="s">
        <v>1567</v>
      </c>
      <c r="L148" s="23">
        <v>2.7733423586E10</v>
      </c>
      <c r="M148" s="23" t="s">
        <v>1568</v>
      </c>
      <c r="N148" s="23"/>
      <c r="O148" s="24" t="s">
        <v>1569</v>
      </c>
      <c r="P148" s="23"/>
      <c r="Q148" s="23"/>
      <c r="R148" s="23"/>
      <c r="S148" s="23"/>
      <c r="T148" s="24" t="s">
        <v>1570</v>
      </c>
      <c r="U148" s="23"/>
      <c r="V148" s="23"/>
      <c r="W148" s="23"/>
      <c r="X148" s="26"/>
      <c r="Y148" s="26"/>
      <c r="Z148" s="26"/>
      <c r="AA148" s="26"/>
      <c r="AB148" s="26"/>
      <c r="AC148" s="26"/>
      <c r="AD148" s="26"/>
    </row>
    <row r="149" ht="24.75" customHeight="1">
      <c r="A149" s="28" t="s">
        <v>1571</v>
      </c>
      <c r="B149" s="23" t="s">
        <v>1572</v>
      </c>
      <c r="C149" s="23" t="s">
        <v>1573</v>
      </c>
      <c r="D149" s="23" t="s">
        <v>1520</v>
      </c>
      <c r="E149" s="23" t="s">
        <v>1521</v>
      </c>
      <c r="F149" s="23" t="s">
        <v>89</v>
      </c>
      <c r="G149" s="23" t="s">
        <v>1489</v>
      </c>
      <c r="H149" s="23" t="s">
        <v>1574</v>
      </c>
      <c r="I149" s="23" t="s">
        <v>1575</v>
      </c>
      <c r="J149" s="23"/>
      <c r="K149" s="23" t="s">
        <v>1576</v>
      </c>
      <c r="L149" s="23" t="s">
        <v>1577</v>
      </c>
      <c r="M149" s="23" t="s">
        <v>1578</v>
      </c>
      <c r="N149" s="23"/>
      <c r="O149" s="23"/>
      <c r="P149" s="23"/>
      <c r="Q149" s="23"/>
      <c r="R149" s="23"/>
      <c r="S149" s="23"/>
      <c r="T149" s="24" t="s">
        <v>1579</v>
      </c>
      <c r="U149" s="23"/>
      <c r="V149" s="23"/>
      <c r="W149" s="23"/>
      <c r="X149" s="26"/>
      <c r="Y149" s="26"/>
      <c r="Z149" s="26"/>
      <c r="AA149" s="26"/>
      <c r="AB149" s="26"/>
      <c r="AC149" s="26"/>
      <c r="AD149" s="26"/>
    </row>
    <row r="150" ht="24.75" customHeight="1">
      <c r="A150" s="28" t="s">
        <v>1580</v>
      </c>
      <c r="B150" s="23" t="s">
        <v>1581</v>
      </c>
      <c r="C150" s="23" t="s">
        <v>1582</v>
      </c>
      <c r="D150" s="23" t="s">
        <v>1500</v>
      </c>
      <c r="E150" s="23" t="s">
        <v>1039</v>
      </c>
      <c r="F150" s="23" t="s">
        <v>41</v>
      </c>
      <c r="G150" s="23" t="s">
        <v>1489</v>
      </c>
      <c r="H150" s="23" t="s">
        <v>1583</v>
      </c>
      <c r="I150" s="23" t="s">
        <v>1584</v>
      </c>
      <c r="J150" s="23"/>
      <c r="K150" s="23" t="s">
        <v>1585</v>
      </c>
      <c r="L150" s="23" t="s">
        <v>1586</v>
      </c>
      <c r="M150" s="23" t="s">
        <v>1587</v>
      </c>
      <c r="N150" s="23"/>
      <c r="O150" s="24" t="s">
        <v>1588</v>
      </c>
      <c r="P150" s="23"/>
      <c r="Q150" s="23"/>
      <c r="R150" s="23"/>
      <c r="S150" s="23"/>
      <c r="T150" s="26"/>
      <c r="U150" s="23"/>
      <c r="V150" s="23"/>
      <c r="W150" s="23"/>
      <c r="X150" s="26"/>
      <c r="Y150" s="26"/>
      <c r="Z150" s="26"/>
      <c r="AA150" s="26"/>
      <c r="AB150" s="26"/>
      <c r="AC150" s="26"/>
      <c r="AD150" s="26"/>
    </row>
    <row r="151" ht="24.75" customHeight="1">
      <c r="A151" s="28" t="s">
        <v>1589</v>
      </c>
      <c r="B151" s="24" t="s">
        <v>1590</v>
      </c>
      <c r="C151" s="23" t="s">
        <v>1591</v>
      </c>
      <c r="D151" s="24" t="s">
        <v>1564</v>
      </c>
      <c r="E151" s="23" t="s">
        <v>465</v>
      </c>
      <c r="F151" s="23" t="s">
        <v>41</v>
      </c>
      <c r="G151" s="23" t="s">
        <v>1489</v>
      </c>
      <c r="H151" s="23" t="s">
        <v>1592</v>
      </c>
      <c r="I151" s="23" t="s">
        <v>1593</v>
      </c>
      <c r="J151" s="23"/>
      <c r="K151" s="23" t="s">
        <v>1594</v>
      </c>
      <c r="L151" s="23" t="s">
        <v>1595</v>
      </c>
      <c r="M151" s="24" t="s">
        <v>1596</v>
      </c>
      <c r="N151" s="24" t="s">
        <v>1597</v>
      </c>
      <c r="O151" s="24" t="s">
        <v>1598</v>
      </c>
      <c r="P151" s="23"/>
      <c r="Q151" s="23"/>
      <c r="R151" s="23"/>
      <c r="S151" s="23"/>
      <c r="T151" s="24" t="s">
        <v>1599</v>
      </c>
      <c r="U151" s="23"/>
      <c r="V151" s="23"/>
      <c r="W151" s="23"/>
      <c r="X151" s="26"/>
      <c r="Y151" s="26"/>
      <c r="Z151" s="26"/>
      <c r="AA151" s="26"/>
      <c r="AB151" s="26"/>
      <c r="AC151" s="26"/>
      <c r="AD151" s="26"/>
    </row>
    <row r="152" ht="24.75" customHeight="1">
      <c r="A152" s="28" t="s">
        <v>1600</v>
      </c>
      <c r="B152" s="23" t="s">
        <v>1601</v>
      </c>
      <c r="C152" s="23" t="s">
        <v>1602</v>
      </c>
      <c r="D152" s="23" t="s">
        <v>1603</v>
      </c>
      <c r="E152" s="23" t="s">
        <v>1039</v>
      </c>
      <c r="F152" s="23" t="s">
        <v>41</v>
      </c>
      <c r="G152" s="23" t="s">
        <v>1489</v>
      </c>
      <c r="H152" s="23" t="s">
        <v>1604</v>
      </c>
      <c r="I152" s="23" t="s">
        <v>1605</v>
      </c>
      <c r="J152" s="23"/>
      <c r="K152" s="23" t="s">
        <v>1606</v>
      </c>
      <c r="L152" s="23" t="s">
        <v>1607</v>
      </c>
      <c r="M152" s="23" t="s">
        <v>1608</v>
      </c>
      <c r="N152" s="23"/>
      <c r="O152" s="23"/>
      <c r="P152" s="23" t="s">
        <v>1609</v>
      </c>
      <c r="Q152" s="24"/>
      <c r="R152" s="24"/>
      <c r="S152" s="24"/>
      <c r="T152" s="24" t="s">
        <v>1610</v>
      </c>
      <c r="U152" s="23"/>
      <c r="V152" s="23"/>
      <c r="W152" s="23"/>
      <c r="X152" s="26"/>
      <c r="Y152" s="26"/>
      <c r="Z152" s="26"/>
      <c r="AA152" s="26"/>
      <c r="AB152" s="26"/>
      <c r="AC152" s="26"/>
      <c r="AD152" s="26"/>
    </row>
    <row r="153" ht="24.75" customHeight="1">
      <c r="A153" s="28" t="s">
        <v>1611</v>
      </c>
      <c r="B153" s="23" t="s">
        <v>1612</v>
      </c>
      <c r="C153" s="23" t="s">
        <v>1613</v>
      </c>
      <c r="D153" s="23" t="s">
        <v>1603</v>
      </c>
      <c r="E153" s="23" t="s">
        <v>1039</v>
      </c>
      <c r="F153" s="23" t="s">
        <v>41</v>
      </c>
      <c r="G153" s="23" t="s">
        <v>1489</v>
      </c>
      <c r="H153" s="24" t="s">
        <v>1614</v>
      </c>
      <c r="I153" s="23" t="s">
        <v>1615</v>
      </c>
      <c r="J153" s="23"/>
      <c r="K153" s="23" t="s">
        <v>1616</v>
      </c>
      <c r="L153" s="23" t="s">
        <v>1617</v>
      </c>
      <c r="M153" s="23" t="s">
        <v>1618</v>
      </c>
      <c r="N153" s="23"/>
      <c r="O153" s="23" t="s">
        <v>1619</v>
      </c>
      <c r="P153" s="23"/>
      <c r="Q153" s="23"/>
      <c r="R153" s="23"/>
      <c r="S153" s="23"/>
      <c r="T153" s="23"/>
      <c r="U153" s="23"/>
      <c r="V153" s="23"/>
      <c r="W153" s="23"/>
      <c r="X153" s="26"/>
      <c r="Y153" s="26"/>
      <c r="Z153" s="26"/>
      <c r="AA153" s="26"/>
      <c r="AB153" s="26"/>
      <c r="AC153" s="26"/>
      <c r="AD153" s="26"/>
    </row>
    <row r="154" ht="24.75" customHeight="1">
      <c r="A154" s="28" t="s">
        <v>1620</v>
      </c>
      <c r="B154" s="23" t="s">
        <v>1621</v>
      </c>
      <c r="C154" s="23" t="s">
        <v>1622</v>
      </c>
      <c r="D154" s="23" t="s">
        <v>1623</v>
      </c>
      <c r="E154" s="23" t="s">
        <v>1188</v>
      </c>
      <c r="F154" s="23" t="s">
        <v>89</v>
      </c>
      <c r="G154" s="23" t="s">
        <v>1489</v>
      </c>
      <c r="H154" s="23" t="s">
        <v>1624</v>
      </c>
      <c r="I154" s="24" t="s">
        <v>1625</v>
      </c>
      <c r="J154" s="23"/>
      <c r="K154" s="23" t="s">
        <v>1626</v>
      </c>
      <c r="L154" s="23" t="s">
        <v>1627</v>
      </c>
      <c r="M154" s="23" t="s">
        <v>1628</v>
      </c>
      <c r="N154" s="23"/>
      <c r="O154" s="23" t="s">
        <v>1629</v>
      </c>
      <c r="P154" s="23"/>
      <c r="Q154" s="23"/>
      <c r="R154" s="23"/>
      <c r="S154" s="23"/>
      <c r="T154" s="23"/>
      <c r="U154" s="23"/>
      <c r="V154" s="23"/>
      <c r="W154" s="23"/>
      <c r="X154" s="26"/>
      <c r="Y154" s="26"/>
      <c r="Z154" s="26"/>
      <c r="AA154" s="26"/>
      <c r="AB154" s="26"/>
      <c r="AC154" s="26"/>
      <c r="AD154" s="26"/>
    </row>
    <row r="155" ht="24.75" customHeight="1">
      <c r="A155" s="29" t="s">
        <v>1630</v>
      </c>
      <c r="B155" s="45" t="s">
        <v>1631</v>
      </c>
      <c r="C155" s="45" t="s">
        <v>1632</v>
      </c>
      <c r="D155" s="45" t="s">
        <v>159</v>
      </c>
      <c r="E155" s="45" t="s">
        <v>54</v>
      </c>
      <c r="F155" s="45" t="s">
        <v>89</v>
      </c>
      <c r="G155" s="31" t="s">
        <v>1633</v>
      </c>
      <c r="H155" s="31" t="s">
        <v>1634</v>
      </c>
      <c r="I155" s="31" t="s">
        <v>1635</v>
      </c>
      <c r="J155" s="30"/>
      <c r="K155" s="31" t="s">
        <v>1636</v>
      </c>
      <c r="L155" s="30"/>
      <c r="M155" s="45" t="s">
        <v>1637</v>
      </c>
      <c r="N155" s="30"/>
      <c r="O155" s="31" t="s">
        <v>1638</v>
      </c>
      <c r="P155" s="30"/>
      <c r="Q155" s="30"/>
      <c r="R155" s="30"/>
      <c r="S155" s="30"/>
      <c r="T155" s="30"/>
      <c r="U155" s="33"/>
      <c r="V155" s="33"/>
      <c r="W155" s="33"/>
      <c r="X155" s="33"/>
      <c r="Y155" s="33"/>
      <c r="Z155" s="33"/>
      <c r="AA155" s="33"/>
      <c r="AB155" s="33"/>
      <c r="AC155" s="33"/>
      <c r="AD155" s="33"/>
    </row>
    <row r="156" ht="24.75" customHeight="1">
      <c r="A156" s="29" t="s">
        <v>1639</v>
      </c>
      <c r="B156" s="45" t="s">
        <v>364</v>
      </c>
      <c r="C156" s="45" t="s">
        <v>1640</v>
      </c>
      <c r="D156" s="45" t="s">
        <v>1641</v>
      </c>
      <c r="E156" s="45" t="s">
        <v>183</v>
      </c>
      <c r="F156" s="45" t="s">
        <v>41</v>
      </c>
      <c r="G156" s="31" t="s">
        <v>1633</v>
      </c>
      <c r="H156" s="31" t="s">
        <v>1642</v>
      </c>
      <c r="I156" s="31" t="s">
        <v>1643</v>
      </c>
      <c r="J156" s="30"/>
      <c r="K156" s="31" t="s">
        <v>1644</v>
      </c>
      <c r="L156" s="30"/>
      <c r="M156" s="45" t="s">
        <v>1645</v>
      </c>
      <c r="N156" s="30"/>
      <c r="O156" s="30"/>
      <c r="P156" s="30"/>
      <c r="Q156" s="31"/>
      <c r="R156" s="31"/>
      <c r="S156" s="31"/>
      <c r="T156" s="31" t="s">
        <v>1646</v>
      </c>
      <c r="U156" s="33"/>
      <c r="V156" s="33"/>
      <c r="W156" s="33"/>
      <c r="X156" s="33"/>
      <c r="Y156" s="33"/>
      <c r="Z156" s="33"/>
      <c r="AA156" s="33"/>
      <c r="AB156" s="33"/>
      <c r="AC156" s="33"/>
      <c r="AD156" s="33"/>
    </row>
    <row r="157" ht="24.75" customHeight="1">
      <c r="A157" s="29" t="s">
        <v>1647</v>
      </c>
      <c r="B157" s="45" t="s">
        <v>1059</v>
      </c>
      <c r="C157" s="45" t="s">
        <v>1648</v>
      </c>
      <c r="D157" s="45" t="s">
        <v>1649</v>
      </c>
      <c r="E157" s="45" t="s">
        <v>1039</v>
      </c>
      <c r="F157" s="45" t="s">
        <v>89</v>
      </c>
      <c r="G157" s="31" t="s">
        <v>1633</v>
      </c>
      <c r="H157" s="31" t="s">
        <v>1650</v>
      </c>
      <c r="I157" s="31" t="s">
        <v>1651</v>
      </c>
      <c r="J157" s="30"/>
      <c r="K157" s="31" t="s">
        <v>1652</v>
      </c>
      <c r="L157" s="30"/>
      <c r="M157" s="45" t="s">
        <v>1653</v>
      </c>
      <c r="N157" s="30"/>
      <c r="O157" s="30"/>
      <c r="P157" s="30"/>
      <c r="Q157" s="30"/>
      <c r="R157" s="30"/>
      <c r="S157" s="30"/>
      <c r="T157" s="30"/>
      <c r="U157" s="33"/>
      <c r="V157" s="33"/>
      <c r="W157" s="33"/>
      <c r="X157" s="33"/>
      <c r="Y157" s="33"/>
      <c r="Z157" s="33"/>
      <c r="AA157" s="33"/>
      <c r="AB157" s="33"/>
      <c r="AC157" s="33"/>
      <c r="AD157" s="33"/>
    </row>
    <row r="158" ht="24.75" customHeight="1">
      <c r="A158" s="29" t="s">
        <v>1654</v>
      </c>
      <c r="B158" s="45" t="s">
        <v>1655</v>
      </c>
      <c r="C158" s="45" t="s">
        <v>1656</v>
      </c>
      <c r="D158" s="45" t="s">
        <v>159</v>
      </c>
      <c r="E158" s="45" t="s">
        <v>54</v>
      </c>
      <c r="F158" s="45" t="s">
        <v>41</v>
      </c>
      <c r="G158" s="31" t="s">
        <v>1633</v>
      </c>
      <c r="H158" s="31" t="s">
        <v>1657</v>
      </c>
      <c r="I158" s="31" t="s">
        <v>1658</v>
      </c>
      <c r="J158" s="30"/>
      <c r="K158" s="31" t="s">
        <v>1659</v>
      </c>
      <c r="L158" s="31" t="s">
        <v>1660</v>
      </c>
      <c r="M158" s="45" t="s">
        <v>1661</v>
      </c>
      <c r="N158" s="30"/>
      <c r="O158" s="31" t="s">
        <v>1662</v>
      </c>
      <c r="P158" s="30"/>
      <c r="Q158" s="30"/>
      <c r="R158" s="30"/>
      <c r="S158" s="30"/>
      <c r="T158" s="30"/>
      <c r="U158" s="33"/>
      <c r="V158" s="33"/>
      <c r="W158" s="33"/>
      <c r="X158" s="33"/>
      <c r="Y158" s="33"/>
      <c r="Z158" s="33"/>
      <c r="AA158" s="33"/>
      <c r="AB158" s="33"/>
      <c r="AC158" s="33"/>
      <c r="AD158" s="33"/>
    </row>
    <row r="159" ht="24.75" customHeight="1">
      <c r="A159" s="29" t="s">
        <v>1663</v>
      </c>
      <c r="B159" s="45" t="s">
        <v>1664</v>
      </c>
      <c r="C159" s="45" t="s">
        <v>1665</v>
      </c>
      <c r="D159" s="45" t="s">
        <v>1666</v>
      </c>
      <c r="E159" s="45" t="s">
        <v>1039</v>
      </c>
      <c r="F159" s="45" t="s">
        <v>41</v>
      </c>
      <c r="G159" s="31" t="s">
        <v>1633</v>
      </c>
      <c r="H159" s="31" t="s">
        <v>1667</v>
      </c>
      <c r="I159" s="31" t="s">
        <v>1668</v>
      </c>
      <c r="J159" s="30"/>
      <c r="K159" s="31" t="s">
        <v>1669</v>
      </c>
      <c r="L159" s="30"/>
      <c r="M159" s="45" t="s">
        <v>1670</v>
      </c>
      <c r="N159" s="30"/>
      <c r="O159" s="31" t="s">
        <v>1671</v>
      </c>
      <c r="P159" s="30"/>
      <c r="Q159" s="30"/>
      <c r="R159" s="30"/>
      <c r="S159" s="30"/>
      <c r="T159" s="30"/>
      <c r="U159" s="33"/>
      <c r="V159" s="33"/>
      <c r="W159" s="33"/>
      <c r="X159" s="33"/>
      <c r="Y159" s="33"/>
      <c r="Z159" s="33"/>
      <c r="AA159" s="33"/>
      <c r="AB159" s="33"/>
      <c r="AC159" s="33"/>
      <c r="AD159" s="33"/>
    </row>
    <row r="160" ht="24.75" customHeight="1">
      <c r="A160" s="29" t="s">
        <v>1672</v>
      </c>
      <c r="B160" s="45" t="s">
        <v>1673</v>
      </c>
      <c r="C160" s="45" t="s">
        <v>856</v>
      </c>
      <c r="D160" s="45" t="s">
        <v>1641</v>
      </c>
      <c r="E160" s="45" t="s">
        <v>183</v>
      </c>
      <c r="F160" s="45" t="s">
        <v>41</v>
      </c>
      <c r="G160" s="31" t="s">
        <v>1633</v>
      </c>
      <c r="H160" s="31" t="s">
        <v>1674</v>
      </c>
      <c r="I160" s="31" t="s">
        <v>1675</v>
      </c>
      <c r="J160" s="30"/>
      <c r="K160" s="31" t="s">
        <v>1676</v>
      </c>
      <c r="L160" s="30"/>
      <c r="M160" s="45" t="s">
        <v>1677</v>
      </c>
      <c r="N160" s="30"/>
      <c r="O160" s="31" t="s">
        <v>1678</v>
      </c>
      <c r="P160" s="30"/>
      <c r="Q160" s="30"/>
      <c r="R160" s="30"/>
      <c r="S160" s="30"/>
      <c r="T160" s="30"/>
      <c r="U160" s="33"/>
      <c r="V160" s="33"/>
      <c r="W160" s="33"/>
      <c r="X160" s="33"/>
      <c r="Y160" s="33"/>
      <c r="Z160" s="33"/>
      <c r="AA160" s="33"/>
      <c r="AB160" s="33"/>
      <c r="AC160" s="33"/>
      <c r="AD160" s="33"/>
    </row>
    <row r="161" ht="24.75" customHeight="1">
      <c r="A161" s="29" t="s">
        <v>1679</v>
      </c>
      <c r="B161" s="45" t="s">
        <v>1680</v>
      </c>
      <c r="C161" s="45" t="s">
        <v>1681</v>
      </c>
      <c r="D161" s="45" t="s">
        <v>527</v>
      </c>
      <c r="E161" s="45" t="s">
        <v>27</v>
      </c>
      <c r="F161" s="45" t="s">
        <v>89</v>
      </c>
      <c r="G161" s="31" t="s">
        <v>1633</v>
      </c>
      <c r="H161" s="31" t="s">
        <v>1682</v>
      </c>
      <c r="I161" s="31" t="s">
        <v>1683</v>
      </c>
      <c r="J161" s="30"/>
      <c r="K161" s="31" t="s">
        <v>1684</v>
      </c>
      <c r="L161" s="30"/>
      <c r="M161" s="45" t="s">
        <v>1685</v>
      </c>
      <c r="N161" s="30"/>
      <c r="O161" s="30"/>
      <c r="P161" s="30"/>
      <c r="Q161" s="30"/>
      <c r="R161" s="30"/>
      <c r="S161" s="30"/>
      <c r="T161" s="30"/>
      <c r="U161" s="33"/>
      <c r="V161" s="33"/>
      <c r="W161" s="33"/>
      <c r="X161" s="33"/>
      <c r="Y161" s="33"/>
      <c r="Z161" s="33"/>
      <c r="AA161" s="33"/>
      <c r="AB161" s="33"/>
      <c r="AC161" s="33"/>
      <c r="AD161" s="33"/>
    </row>
    <row r="162" ht="24.75" customHeight="1">
      <c r="A162" s="29" t="s">
        <v>1686</v>
      </c>
      <c r="B162" s="45" t="s">
        <v>1687</v>
      </c>
      <c r="C162" s="45" t="s">
        <v>1688</v>
      </c>
      <c r="D162" s="45" t="s">
        <v>1689</v>
      </c>
      <c r="E162" s="45" t="s">
        <v>465</v>
      </c>
      <c r="F162" s="45" t="s">
        <v>41</v>
      </c>
      <c r="G162" s="31" t="s">
        <v>1633</v>
      </c>
      <c r="H162" s="31" t="s">
        <v>1690</v>
      </c>
      <c r="I162" s="31" t="s">
        <v>1691</v>
      </c>
      <c r="J162" s="30"/>
      <c r="K162" s="31" t="s">
        <v>1692</v>
      </c>
      <c r="L162" s="30"/>
      <c r="M162" s="45" t="s">
        <v>1693</v>
      </c>
      <c r="N162" s="31" t="s">
        <v>1694</v>
      </c>
      <c r="O162" s="31" t="s">
        <v>1671</v>
      </c>
      <c r="P162" s="30"/>
      <c r="Q162" s="30"/>
      <c r="R162" s="30"/>
      <c r="S162" s="30"/>
      <c r="T162" s="30"/>
      <c r="U162" s="33"/>
      <c r="V162" s="33"/>
      <c r="W162" s="33"/>
      <c r="X162" s="33"/>
      <c r="Y162" s="33"/>
      <c r="Z162" s="33"/>
      <c r="AA162" s="33"/>
      <c r="AB162" s="33"/>
      <c r="AC162" s="33"/>
      <c r="AD162" s="33"/>
    </row>
    <row r="163" ht="24.75" customHeight="1">
      <c r="A163" s="29" t="s">
        <v>1695</v>
      </c>
      <c r="B163" s="45" t="s">
        <v>1696</v>
      </c>
      <c r="C163" s="45" t="s">
        <v>1697</v>
      </c>
      <c r="D163" s="45" t="s">
        <v>294</v>
      </c>
      <c r="E163" s="45" t="s">
        <v>27</v>
      </c>
      <c r="F163" s="45" t="s">
        <v>89</v>
      </c>
      <c r="G163" s="31" t="s">
        <v>1633</v>
      </c>
      <c r="H163" s="31" t="s">
        <v>1698</v>
      </c>
      <c r="I163" s="31" t="s">
        <v>1699</v>
      </c>
      <c r="J163" s="30"/>
      <c r="K163" s="31" t="s">
        <v>1700</v>
      </c>
      <c r="L163" s="30"/>
      <c r="M163" s="45" t="s">
        <v>1701</v>
      </c>
      <c r="N163" s="30"/>
      <c r="O163" s="30"/>
      <c r="P163" s="30"/>
      <c r="Q163" s="30"/>
      <c r="R163" s="30"/>
      <c r="S163" s="30"/>
      <c r="T163" s="31" t="s">
        <v>1702</v>
      </c>
      <c r="U163" s="33"/>
      <c r="V163" s="33"/>
      <c r="W163" s="33"/>
      <c r="X163" s="33"/>
      <c r="Y163" s="33"/>
      <c r="Z163" s="33"/>
      <c r="AA163" s="33"/>
      <c r="AB163" s="33"/>
      <c r="AC163" s="33"/>
      <c r="AD163" s="33"/>
    </row>
    <row r="164" ht="24.75" customHeight="1">
      <c r="A164" s="29" t="s">
        <v>1703</v>
      </c>
      <c r="B164" s="45" t="s">
        <v>1704</v>
      </c>
      <c r="C164" s="45" t="s">
        <v>1705</v>
      </c>
      <c r="D164" s="30" t="s">
        <v>1520</v>
      </c>
      <c r="E164" s="45" t="s">
        <v>27</v>
      </c>
      <c r="F164" s="45" t="s">
        <v>89</v>
      </c>
      <c r="G164" s="31" t="s">
        <v>1633</v>
      </c>
      <c r="H164" s="31" t="s">
        <v>1706</v>
      </c>
      <c r="I164" s="31" t="s">
        <v>1707</v>
      </c>
      <c r="J164" s="30"/>
      <c r="K164" s="31" t="s">
        <v>1708</v>
      </c>
      <c r="L164" s="30"/>
      <c r="M164" s="45" t="s">
        <v>1709</v>
      </c>
      <c r="N164" s="30"/>
      <c r="O164" s="31" t="s">
        <v>1710</v>
      </c>
      <c r="P164" s="30"/>
      <c r="Q164" s="30"/>
      <c r="R164" s="30"/>
      <c r="S164" s="30"/>
      <c r="T164" s="30"/>
      <c r="U164" s="33"/>
      <c r="V164" s="33"/>
      <c r="W164" s="33"/>
      <c r="X164" s="33"/>
      <c r="Y164" s="33"/>
      <c r="Z164" s="33"/>
      <c r="AA164" s="33"/>
      <c r="AB164" s="33"/>
      <c r="AC164" s="33"/>
      <c r="AD164" s="33"/>
    </row>
    <row r="165" ht="24.75" customHeight="1">
      <c r="A165" s="29" t="s">
        <v>1711</v>
      </c>
      <c r="B165" s="45" t="s">
        <v>1712</v>
      </c>
      <c r="C165" s="45" t="s">
        <v>1713</v>
      </c>
      <c r="D165" s="45" t="s">
        <v>1666</v>
      </c>
      <c r="E165" s="45" t="s">
        <v>1039</v>
      </c>
      <c r="F165" s="45" t="s">
        <v>89</v>
      </c>
      <c r="G165" s="31" t="s">
        <v>1633</v>
      </c>
      <c r="H165" s="31" t="s">
        <v>1714</v>
      </c>
      <c r="I165" s="31" t="s">
        <v>1715</v>
      </c>
      <c r="J165" s="30"/>
      <c r="K165" s="31" t="s">
        <v>1669</v>
      </c>
      <c r="L165" s="30"/>
      <c r="M165" s="45" t="s">
        <v>1716</v>
      </c>
      <c r="N165" s="30"/>
      <c r="O165" s="31" t="s">
        <v>1717</v>
      </c>
      <c r="P165" s="30"/>
      <c r="Q165" s="30"/>
      <c r="R165" s="30"/>
      <c r="S165" s="30"/>
      <c r="T165" s="30"/>
      <c r="U165" s="33"/>
      <c r="V165" s="33"/>
      <c r="W165" s="33"/>
      <c r="X165" s="33"/>
      <c r="Y165" s="33"/>
      <c r="Z165" s="33"/>
      <c r="AA165" s="33"/>
      <c r="AB165" s="33"/>
      <c r="AC165" s="33"/>
      <c r="AD165" s="33"/>
    </row>
    <row r="166" ht="24.75" customHeight="1">
      <c r="A166" s="29" t="s">
        <v>1718</v>
      </c>
      <c r="B166" s="45" t="s">
        <v>1719</v>
      </c>
      <c r="C166" s="45" t="s">
        <v>1720</v>
      </c>
      <c r="D166" s="45" t="s">
        <v>1721</v>
      </c>
      <c r="E166" s="45" t="s">
        <v>1268</v>
      </c>
      <c r="F166" s="45" t="s">
        <v>41</v>
      </c>
      <c r="G166" s="31" t="s">
        <v>1633</v>
      </c>
      <c r="H166" s="31" t="s">
        <v>1722</v>
      </c>
      <c r="I166" s="31" t="s">
        <v>1723</v>
      </c>
      <c r="J166" s="30"/>
      <c r="K166" s="31" t="s">
        <v>1724</v>
      </c>
      <c r="L166" s="30"/>
      <c r="M166" s="45" t="s">
        <v>1725</v>
      </c>
      <c r="N166" s="30"/>
      <c r="O166" s="30"/>
      <c r="P166" s="30"/>
      <c r="Q166" s="30"/>
      <c r="R166" s="30"/>
      <c r="S166" s="30"/>
      <c r="T166" s="30"/>
      <c r="U166" s="33"/>
      <c r="V166" s="33"/>
      <c r="W166" s="33"/>
      <c r="X166" s="33"/>
      <c r="Y166" s="33"/>
      <c r="Z166" s="33"/>
      <c r="AA166" s="33"/>
      <c r="AB166" s="33"/>
      <c r="AC166" s="33"/>
      <c r="AD166" s="33"/>
    </row>
    <row r="167" ht="24.75" customHeight="1">
      <c r="A167" s="29" t="s">
        <v>1726</v>
      </c>
      <c r="B167" s="45" t="s">
        <v>1727</v>
      </c>
      <c r="C167" s="45" t="s">
        <v>1728</v>
      </c>
      <c r="D167" s="45" t="s">
        <v>1666</v>
      </c>
      <c r="E167" s="45" t="s">
        <v>1039</v>
      </c>
      <c r="F167" s="45" t="s">
        <v>41</v>
      </c>
      <c r="G167" s="31" t="s">
        <v>1633</v>
      </c>
      <c r="H167" s="31" t="s">
        <v>1729</v>
      </c>
      <c r="I167" s="31" t="s">
        <v>1730</v>
      </c>
      <c r="J167" s="30"/>
      <c r="K167" s="31" t="s">
        <v>1731</v>
      </c>
      <c r="L167" s="30"/>
      <c r="M167" s="45" t="s">
        <v>1732</v>
      </c>
      <c r="N167" s="30"/>
      <c r="O167" s="45"/>
      <c r="P167" s="30"/>
      <c r="Q167" s="30"/>
      <c r="R167" s="30"/>
      <c r="S167" s="30"/>
      <c r="T167" s="30"/>
      <c r="U167" s="33"/>
      <c r="V167" s="33"/>
      <c r="W167" s="33"/>
      <c r="X167" s="33"/>
      <c r="Y167" s="33"/>
      <c r="Z167" s="33"/>
      <c r="AA167" s="33"/>
      <c r="AB167" s="33"/>
      <c r="AC167" s="33"/>
      <c r="AD167" s="33"/>
    </row>
    <row r="168" ht="30.0" customHeight="1">
      <c r="A168" s="36" t="s">
        <v>1733</v>
      </c>
      <c r="B168" s="49" t="s">
        <v>1734</v>
      </c>
      <c r="C168" s="49" t="s">
        <v>355</v>
      </c>
      <c r="D168" s="49" t="s">
        <v>1735</v>
      </c>
      <c r="E168" s="49" t="s">
        <v>1736</v>
      </c>
      <c r="F168" s="49" t="s">
        <v>41</v>
      </c>
      <c r="G168" s="49" t="s">
        <v>1737</v>
      </c>
      <c r="H168" s="15" t="s">
        <v>1738</v>
      </c>
      <c r="I168" s="49" t="s">
        <v>1739</v>
      </c>
      <c r="J168" s="21"/>
      <c r="K168" s="16" t="s">
        <v>1740</v>
      </c>
      <c r="L168" s="14"/>
      <c r="M168" s="14"/>
      <c r="N168" s="14"/>
      <c r="O168" s="14"/>
      <c r="P168" s="14"/>
      <c r="Q168" s="18"/>
      <c r="R168" s="18"/>
      <c r="S168" s="18"/>
      <c r="T168" s="18"/>
      <c r="U168" s="18"/>
      <c r="V168" s="18"/>
      <c r="W168" s="18"/>
      <c r="X168" s="18"/>
      <c r="Y168" s="18"/>
      <c r="Z168" s="18"/>
      <c r="AA168" s="58"/>
      <c r="AB168" s="58"/>
      <c r="AC168" s="58"/>
      <c r="AD168" s="58"/>
    </row>
    <row r="169" ht="30.0" customHeight="1">
      <c r="A169" s="36" t="s">
        <v>1741</v>
      </c>
      <c r="B169" s="15" t="s">
        <v>1742</v>
      </c>
      <c r="C169" s="21" t="s">
        <v>1743</v>
      </c>
      <c r="D169" s="15" t="s">
        <v>1744</v>
      </c>
      <c r="E169" s="15" t="s">
        <v>1039</v>
      </c>
      <c r="F169" s="15" t="s">
        <v>41</v>
      </c>
      <c r="G169" s="49" t="s">
        <v>1737</v>
      </c>
      <c r="H169" s="15" t="s">
        <v>1745</v>
      </c>
      <c r="I169" s="15" t="s">
        <v>1746</v>
      </c>
      <c r="J169" s="56"/>
      <c r="K169" s="14" t="s">
        <v>1747</v>
      </c>
      <c r="L169" s="15" t="s">
        <v>1748</v>
      </c>
      <c r="M169" s="14"/>
      <c r="N169" s="14"/>
      <c r="O169" s="14"/>
      <c r="P169" s="14"/>
      <c r="Q169" s="14"/>
      <c r="R169" s="14"/>
      <c r="S169" s="18"/>
      <c r="T169" s="18"/>
      <c r="U169" s="18"/>
      <c r="V169" s="18"/>
      <c r="W169" s="18"/>
      <c r="X169" s="18"/>
      <c r="Y169" s="18"/>
      <c r="Z169" s="18"/>
      <c r="AA169" s="58"/>
      <c r="AB169" s="58"/>
      <c r="AC169" s="58"/>
      <c r="AD169" s="58"/>
    </row>
    <row r="170" ht="30.0" customHeight="1">
      <c r="A170" s="36" t="s">
        <v>1749</v>
      </c>
      <c r="B170" s="49" t="s">
        <v>1750</v>
      </c>
      <c r="C170" s="49" t="s">
        <v>1751</v>
      </c>
      <c r="D170" s="49" t="s">
        <v>1017</v>
      </c>
      <c r="E170" s="49" t="s">
        <v>27</v>
      </c>
      <c r="F170" s="49" t="s">
        <v>89</v>
      </c>
      <c r="G170" s="49" t="s">
        <v>1737</v>
      </c>
      <c r="H170" s="15" t="s">
        <v>1752</v>
      </c>
      <c r="I170" s="49" t="s">
        <v>1081</v>
      </c>
      <c r="J170" s="59"/>
      <c r="K170" s="59" t="s">
        <v>1753</v>
      </c>
      <c r="L170" s="18"/>
      <c r="M170" s="14"/>
      <c r="N170" s="14"/>
      <c r="O170" s="14"/>
      <c r="P170" s="14"/>
      <c r="Q170" s="18"/>
      <c r="R170" s="18"/>
      <c r="S170" s="18"/>
      <c r="T170" s="18"/>
      <c r="U170" s="18"/>
      <c r="V170" s="18"/>
      <c r="W170" s="18"/>
      <c r="X170" s="18"/>
      <c r="Y170" s="18"/>
      <c r="Z170" s="18"/>
      <c r="AA170" s="18"/>
      <c r="AB170" s="18"/>
      <c r="AC170" s="18"/>
      <c r="AD170" s="18"/>
    </row>
    <row r="171" ht="30.0" customHeight="1">
      <c r="A171" s="36" t="s">
        <v>1754</v>
      </c>
      <c r="B171" s="15" t="s">
        <v>1755</v>
      </c>
      <c r="C171" s="21" t="s">
        <v>1756</v>
      </c>
      <c r="D171" s="15" t="s">
        <v>1757</v>
      </c>
      <c r="E171" s="15" t="s">
        <v>1758</v>
      </c>
      <c r="F171" s="15" t="s">
        <v>41</v>
      </c>
      <c r="G171" s="49" t="s">
        <v>1737</v>
      </c>
      <c r="H171" s="15" t="s">
        <v>1759</v>
      </c>
      <c r="I171" s="15" t="s">
        <v>1760</v>
      </c>
      <c r="J171" s="56"/>
      <c r="K171" s="14" t="s">
        <v>1761</v>
      </c>
      <c r="L171" s="15" t="s">
        <v>1762</v>
      </c>
      <c r="M171" s="14"/>
      <c r="N171" s="14"/>
      <c r="O171" s="14"/>
      <c r="P171" s="14"/>
      <c r="Q171" s="14"/>
      <c r="R171" s="14"/>
      <c r="S171" s="18"/>
      <c r="T171" s="18"/>
      <c r="U171" s="18"/>
      <c r="V171" s="18"/>
      <c r="W171" s="18"/>
      <c r="X171" s="18"/>
      <c r="Y171" s="18"/>
      <c r="Z171" s="18"/>
      <c r="AA171" s="18"/>
      <c r="AB171" s="18"/>
      <c r="AC171" s="18"/>
      <c r="AD171" s="18"/>
    </row>
    <row r="172" ht="30.0" customHeight="1">
      <c r="A172" s="36" t="s">
        <v>1763</v>
      </c>
      <c r="B172" s="15" t="s">
        <v>1764</v>
      </c>
      <c r="C172" s="21" t="s">
        <v>1765</v>
      </c>
      <c r="D172" s="15" t="s">
        <v>1766</v>
      </c>
      <c r="E172" s="15" t="s">
        <v>1268</v>
      </c>
      <c r="F172" s="15" t="s">
        <v>89</v>
      </c>
      <c r="G172" s="49" t="s">
        <v>1737</v>
      </c>
      <c r="H172" s="15" t="s">
        <v>1767</v>
      </c>
      <c r="I172" s="15" t="s">
        <v>1768</v>
      </c>
      <c r="J172" s="56"/>
      <c r="K172" s="14" t="s">
        <v>1769</v>
      </c>
      <c r="L172" s="15" t="s">
        <v>1770</v>
      </c>
      <c r="M172" s="14"/>
      <c r="N172" s="14"/>
      <c r="O172" s="14"/>
      <c r="P172" s="14"/>
      <c r="Q172" s="14"/>
      <c r="R172" s="14"/>
      <c r="S172" s="18"/>
      <c r="T172" s="18"/>
      <c r="U172" s="18"/>
      <c r="V172" s="18"/>
      <c r="W172" s="18"/>
      <c r="X172" s="18"/>
      <c r="Y172" s="18"/>
      <c r="Z172" s="18"/>
      <c r="AA172" s="18"/>
      <c r="AB172" s="18"/>
      <c r="AC172" s="18"/>
      <c r="AD172" s="18"/>
    </row>
    <row r="173" ht="30.0" customHeight="1">
      <c r="A173" s="36" t="s">
        <v>1771</v>
      </c>
      <c r="B173" s="49" t="s">
        <v>1772</v>
      </c>
      <c r="C173" s="49" t="s">
        <v>1773</v>
      </c>
      <c r="D173" s="49" t="s">
        <v>1774</v>
      </c>
      <c r="E173" s="49" t="s">
        <v>54</v>
      </c>
      <c r="F173" s="49" t="s">
        <v>89</v>
      </c>
      <c r="G173" s="49" t="s">
        <v>1737</v>
      </c>
      <c r="H173" s="49" t="s">
        <v>1775</v>
      </c>
      <c r="I173" s="49" t="s">
        <v>1776</v>
      </c>
      <c r="J173" s="60"/>
      <c r="K173" s="61" t="s">
        <v>1777</v>
      </c>
      <c r="L173" s="18"/>
      <c r="M173" s="18"/>
      <c r="N173" s="18"/>
      <c r="O173" s="18"/>
      <c r="P173" s="18"/>
      <c r="Q173" s="18"/>
      <c r="R173" s="18"/>
      <c r="S173" s="18"/>
      <c r="T173" s="18"/>
      <c r="U173" s="18"/>
      <c r="V173" s="18"/>
      <c r="W173" s="18"/>
      <c r="X173" s="18"/>
      <c r="Y173" s="18"/>
      <c r="Z173" s="18"/>
      <c r="AA173" s="18"/>
      <c r="AB173" s="18"/>
      <c r="AC173" s="18"/>
      <c r="AD173" s="18"/>
    </row>
    <row r="174" ht="30.0" customHeight="1">
      <c r="A174" s="36" t="s">
        <v>1778</v>
      </c>
      <c r="B174" s="49" t="s">
        <v>1779</v>
      </c>
      <c r="C174" s="49" t="s">
        <v>1780</v>
      </c>
      <c r="D174" s="49" t="s">
        <v>1429</v>
      </c>
      <c r="E174" s="49" t="s">
        <v>1039</v>
      </c>
      <c r="F174" s="49" t="s">
        <v>41</v>
      </c>
      <c r="G174" s="49" t="s">
        <v>1737</v>
      </c>
      <c r="H174" s="49" t="s">
        <v>1745</v>
      </c>
      <c r="I174" s="49" t="s">
        <v>1781</v>
      </c>
      <c r="J174" s="59"/>
      <c r="K174" s="59" t="s">
        <v>1782</v>
      </c>
      <c r="L174" s="18"/>
      <c r="M174" s="18"/>
      <c r="N174" s="18"/>
      <c r="O174" s="18"/>
      <c r="P174" s="18"/>
      <c r="Q174" s="18"/>
      <c r="R174" s="18"/>
      <c r="S174" s="18"/>
      <c r="T174" s="18"/>
      <c r="U174" s="18"/>
      <c r="V174" s="18"/>
      <c r="W174" s="18"/>
      <c r="X174" s="18"/>
      <c r="Y174" s="18"/>
      <c r="Z174" s="18"/>
      <c r="AA174" s="18"/>
      <c r="AB174" s="18"/>
      <c r="AC174" s="18"/>
      <c r="AD174" s="18"/>
    </row>
    <row r="175" ht="30.0" customHeight="1">
      <c r="A175" s="36" t="s">
        <v>1783</v>
      </c>
      <c r="B175" s="15" t="s">
        <v>1784</v>
      </c>
      <c r="C175" s="15" t="s">
        <v>1785</v>
      </c>
      <c r="D175" s="15" t="s">
        <v>1786</v>
      </c>
      <c r="E175" s="15" t="s">
        <v>54</v>
      </c>
      <c r="F175" s="15" t="s">
        <v>41</v>
      </c>
      <c r="G175" s="49" t="s">
        <v>1737</v>
      </c>
      <c r="H175" s="15" t="s">
        <v>1787</v>
      </c>
      <c r="I175" s="15" t="s">
        <v>1788</v>
      </c>
      <c r="J175" s="56"/>
      <c r="K175" s="14" t="s">
        <v>1789</v>
      </c>
      <c r="L175" s="15" t="s">
        <v>1790</v>
      </c>
      <c r="M175" s="14"/>
      <c r="N175" s="14"/>
      <c r="O175" s="14"/>
      <c r="P175" s="14"/>
      <c r="Q175" s="14"/>
      <c r="R175" s="14"/>
      <c r="S175" s="18"/>
      <c r="T175" s="18"/>
      <c r="U175" s="18"/>
      <c r="V175" s="18"/>
      <c r="W175" s="18"/>
      <c r="X175" s="18"/>
      <c r="Y175" s="18"/>
      <c r="Z175" s="18"/>
      <c r="AA175" s="18"/>
      <c r="AB175" s="18"/>
      <c r="AC175" s="18"/>
      <c r="AD175" s="18"/>
    </row>
    <row r="176" ht="30.0" customHeight="1">
      <c r="A176" s="36" t="s">
        <v>1791</v>
      </c>
      <c r="B176" s="15" t="s">
        <v>1792</v>
      </c>
      <c r="C176" s="15" t="s">
        <v>1793</v>
      </c>
      <c r="D176" s="15" t="s">
        <v>76</v>
      </c>
      <c r="E176" s="15" t="s">
        <v>27</v>
      </c>
      <c r="F176" s="15" t="s">
        <v>89</v>
      </c>
      <c r="G176" s="49" t="s">
        <v>1737</v>
      </c>
      <c r="H176" s="15" t="s">
        <v>1794</v>
      </c>
      <c r="I176" s="15" t="s">
        <v>1795</v>
      </c>
      <c r="J176" s="56"/>
      <c r="K176" s="14" t="s">
        <v>1796</v>
      </c>
      <c r="L176" s="15" t="s">
        <v>1797</v>
      </c>
      <c r="M176" s="14"/>
      <c r="N176" s="14"/>
      <c r="O176" s="14"/>
      <c r="P176" s="14"/>
      <c r="Q176" s="14"/>
      <c r="R176" s="14"/>
      <c r="S176" s="18"/>
      <c r="T176" s="18"/>
      <c r="U176" s="18"/>
      <c r="V176" s="18"/>
      <c r="W176" s="18"/>
      <c r="X176" s="18"/>
      <c r="Y176" s="18"/>
      <c r="Z176" s="18"/>
      <c r="AA176" s="18"/>
      <c r="AB176" s="18"/>
      <c r="AC176" s="18"/>
      <c r="AD176" s="18"/>
    </row>
    <row r="177" ht="30.0" customHeight="1">
      <c r="A177" s="36" t="s">
        <v>1798</v>
      </c>
      <c r="B177" s="15" t="s">
        <v>1799</v>
      </c>
      <c r="C177" s="15" t="s">
        <v>1800</v>
      </c>
      <c r="D177" s="15" t="s">
        <v>1801</v>
      </c>
      <c r="E177" s="15" t="s">
        <v>27</v>
      </c>
      <c r="F177" s="15" t="s">
        <v>41</v>
      </c>
      <c r="G177" s="49" t="s">
        <v>1737</v>
      </c>
      <c r="H177" s="15" t="s">
        <v>217</v>
      </c>
      <c r="I177" s="15" t="s">
        <v>1802</v>
      </c>
      <c r="J177" s="56"/>
      <c r="K177" s="14" t="s">
        <v>1803</v>
      </c>
      <c r="L177" s="15" t="s">
        <v>1804</v>
      </c>
      <c r="M177" s="14"/>
      <c r="N177" s="18"/>
      <c r="O177" s="14"/>
      <c r="P177" s="14"/>
      <c r="Q177" s="14"/>
      <c r="R177" s="14"/>
      <c r="S177" s="18"/>
      <c r="T177" s="18"/>
      <c r="U177" s="18"/>
      <c r="V177" s="18"/>
      <c r="W177" s="18"/>
      <c r="X177" s="18"/>
      <c r="Y177" s="18"/>
      <c r="Z177" s="18"/>
      <c r="AA177" s="18"/>
      <c r="AB177" s="18"/>
      <c r="AC177" s="18"/>
      <c r="AD177" s="18"/>
    </row>
    <row r="178" ht="30.0" customHeight="1">
      <c r="A178" s="36" t="s">
        <v>1805</v>
      </c>
      <c r="B178" s="15" t="s">
        <v>1806</v>
      </c>
      <c r="C178" s="15" t="s">
        <v>1807</v>
      </c>
      <c r="D178" s="15" t="s">
        <v>1808</v>
      </c>
      <c r="E178" s="15" t="s">
        <v>1039</v>
      </c>
      <c r="F178" s="15" t="s">
        <v>89</v>
      </c>
      <c r="G178" s="49" t="s">
        <v>1737</v>
      </c>
      <c r="H178" s="15" t="s">
        <v>1752</v>
      </c>
      <c r="I178" s="15" t="s">
        <v>1809</v>
      </c>
      <c r="J178" s="56"/>
      <c r="K178" s="14" t="s">
        <v>1810</v>
      </c>
      <c r="L178" s="15" t="s">
        <v>1811</v>
      </c>
      <c r="M178" s="14"/>
      <c r="N178" s="14"/>
      <c r="O178" s="14"/>
      <c r="P178" s="14"/>
      <c r="Q178" s="14"/>
      <c r="R178" s="14"/>
      <c r="S178" s="18"/>
      <c r="T178" s="18"/>
      <c r="U178" s="18"/>
      <c r="V178" s="18"/>
      <c r="W178" s="18"/>
      <c r="X178" s="18"/>
      <c r="Y178" s="18"/>
      <c r="Z178" s="18"/>
      <c r="AA178" s="18"/>
      <c r="AB178" s="18"/>
      <c r="AC178" s="18"/>
      <c r="AD178" s="18"/>
    </row>
    <row r="179" ht="30.0" customHeight="1">
      <c r="A179" s="36" t="s">
        <v>1812</v>
      </c>
      <c r="B179" s="15" t="s">
        <v>856</v>
      </c>
      <c r="C179" s="15" t="s">
        <v>1813</v>
      </c>
      <c r="D179" s="15" t="s">
        <v>1814</v>
      </c>
      <c r="E179" s="15" t="s">
        <v>27</v>
      </c>
      <c r="F179" s="15" t="s">
        <v>41</v>
      </c>
      <c r="G179" s="49" t="s">
        <v>1737</v>
      </c>
      <c r="H179" s="15" t="s">
        <v>1815</v>
      </c>
      <c r="I179" s="15" t="s">
        <v>1816</v>
      </c>
      <c r="J179" s="56"/>
      <c r="K179" s="14" t="s">
        <v>1817</v>
      </c>
      <c r="L179" s="15" t="s">
        <v>1818</v>
      </c>
      <c r="M179" s="14"/>
      <c r="N179" s="14"/>
      <c r="O179" s="14"/>
      <c r="P179" s="14"/>
      <c r="Q179" s="18"/>
      <c r="R179" s="18"/>
      <c r="S179" s="18"/>
      <c r="T179" s="18"/>
      <c r="U179" s="18"/>
      <c r="V179" s="18"/>
      <c r="W179" s="18"/>
      <c r="X179" s="18"/>
      <c r="Y179" s="18"/>
      <c r="Z179" s="18"/>
      <c r="AA179" s="18"/>
      <c r="AB179" s="18"/>
      <c r="AC179" s="18"/>
      <c r="AD179" s="18"/>
    </row>
    <row r="180" ht="30.0" customHeight="1">
      <c r="A180" s="36" t="s">
        <v>1819</v>
      </c>
      <c r="B180" s="49" t="s">
        <v>1820</v>
      </c>
      <c r="C180" s="49" t="s">
        <v>1821</v>
      </c>
      <c r="D180" s="49" t="s">
        <v>1822</v>
      </c>
      <c r="E180" s="49" t="s">
        <v>1823</v>
      </c>
      <c r="F180" s="49" t="s">
        <v>41</v>
      </c>
      <c r="G180" s="49" t="s">
        <v>1737</v>
      </c>
      <c r="H180" s="49" t="s">
        <v>217</v>
      </c>
      <c r="I180" s="49" t="s">
        <v>739</v>
      </c>
      <c r="J180" s="14"/>
      <c r="K180" s="59" t="s">
        <v>1824</v>
      </c>
      <c r="L180" s="18"/>
      <c r="M180" s="18"/>
      <c r="N180" s="18"/>
      <c r="O180" s="18"/>
      <c r="P180" s="18"/>
      <c r="Q180" s="18"/>
      <c r="R180" s="18"/>
      <c r="S180" s="18"/>
      <c r="T180" s="18"/>
      <c r="U180" s="18"/>
      <c r="V180" s="18"/>
      <c r="W180" s="18"/>
      <c r="X180" s="18"/>
      <c r="Y180" s="18"/>
      <c r="Z180" s="18"/>
      <c r="AA180" s="18"/>
      <c r="AB180" s="18"/>
      <c r="AC180" s="18"/>
      <c r="AD180" s="18"/>
    </row>
    <row r="181" ht="30.0" customHeight="1">
      <c r="A181" s="36" t="s">
        <v>1825</v>
      </c>
      <c r="B181" s="49" t="s">
        <v>1826</v>
      </c>
      <c r="C181" s="49" t="s">
        <v>1827</v>
      </c>
      <c r="D181" s="49" t="s">
        <v>1828</v>
      </c>
      <c r="E181" s="49" t="s">
        <v>465</v>
      </c>
      <c r="F181" s="49" t="s">
        <v>89</v>
      </c>
      <c r="G181" s="49" t="s">
        <v>1737</v>
      </c>
      <c r="H181" s="15" t="s">
        <v>1829</v>
      </c>
      <c r="I181" s="49" t="s">
        <v>1830</v>
      </c>
      <c r="J181" s="14"/>
      <c r="K181" s="14" t="s">
        <v>1831</v>
      </c>
      <c r="L181" s="14"/>
      <c r="M181" s="14"/>
      <c r="N181" s="14"/>
      <c r="O181" s="14"/>
      <c r="P181" s="14"/>
      <c r="Q181" s="18"/>
      <c r="R181" s="18"/>
      <c r="S181" s="18"/>
      <c r="T181" s="18"/>
      <c r="U181" s="18"/>
      <c r="V181" s="18"/>
      <c r="W181" s="18"/>
      <c r="X181" s="18"/>
      <c r="Y181" s="18"/>
      <c r="Z181" s="18"/>
      <c r="AA181" s="18"/>
      <c r="AB181" s="18"/>
      <c r="AC181" s="18"/>
      <c r="AD181" s="18"/>
    </row>
    <row r="182" ht="30.0" customHeight="1">
      <c r="A182" s="36" t="s">
        <v>1832</v>
      </c>
      <c r="B182" s="49" t="s">
        <v>1833</v>
      </c>
      <c r="C182" s="49" t="s">
        <v>1834</v>
      </c>
      <c r="D182" s="49" t="s">
        <v>1666</v>
      </c>
      <c r="E182" s="49" t="s">
        <v>1039</v>
      </c>
      <c r="F182" s="49" t="s">
        <v>41</v>
      </c>
      <c r="G182" s="49" t="s">
        <v>1737</v>
      </c>
      <c r="H182" s="15" t="s">
        <v>1835</v>
      </c>
      <c r="I182" s="49" t="s">
        <v>1836</v>
      </c>
      <c r="J182" s="59"/>
      <c r="K182" s="14" t="s">
        <v>1837</v>
      </c>
      <c r="L182" s="14"/>
      <c r="M182" s="14"/>
      <c r="N182" s="14"/>
      <c r="O182" s="14"/>
      <c r="P182" s="14"/>
      <c r="Q182" s="18"/>
      <c r="R182" s="18"/>
      <c r="S182" s="18"/>
      <c r="T182" s="18"/>
      <c r="U182" s="18"/>
      <c r="V182" s="18"/>
      <c r="W182" s="18"/>
      <c r="X182" s="18"/>
      <c r="Y182" s="18"/>
      <c r="Z182" s="18"/>
      <c r="AA182" s="18"/>
      <c r="AB182" s="18"/>
      <c r="AC182" s="18"/>
      <c r="AD182" s="18"/>
    </row>
    <row r="183" ht="30.0" customHeight="1">
      <c r="A183" s="36" t="s">
        <v>1838</v>
      </c>
      <c r="B183" s="49" t="s">
        <v>1839</v>
      </c>
      <c r="C183" s="49" t="s">
        <v>1840</v>
      </c>
      <c r="D183" s="49" t="s">
        <v>1841</v>
      </c>
      <c r="E183" s="49" t="s">
        <v>27</v>
      </c>
      <c r="F183" s="49" t="s">
        <v>89</v>
      </c>
      <c r="G183" s="49" t="s">
        <v>1737</v>
      </c>
      <c r="H183" s="49" t="s">
        <v>1842</v>
      </c>
      <c r="I183" s="49" t="s">
        <v>1843</v>
      </c>
      <c r="J183" s="16"/>
      <c r="K183" s="62" t="s">
        <v>1844</v>
      </c>
      <c r="L183" s="18"/>
      <c r="M183" s="18"/>
      <c r="N183" s="18"/>
      <c r="O183" s="18"/>
      <c r="P183" s="18"/>
      <c r="Q183" s="18"/>
      <c r="R183" s="18"/>
      <c r="S183" s="18"/>
      <c r="T183" s="18"/>
      <c r="U183" s="18"/>
      <c r="V183" s="18"/>
      <c r="W183" s="18"/>
      <c r="X183" s="18"/>
      <c r="Y183" s="18"/>
      <c r="Z183" s="18"/>
      <c r="AA183" s="18"/>
      <c r="AB183" s="18"/>
      <c r="AC183" s="18"/>
      <c r="AD183" s="18"/>
    </row>
    <row r="184" ht="30.0" customHeight="1">
      <c r="A184" s="36" t="s">
        <v>1845</v>
      </c>
      <c r="B184" s="49" t="s">
        <v>1846</v>
      </c>
      <c r="C184" s="49" t="s">
        <v>1847</v>
      </c>
      <c r="D184" s="49" t="s">
        <v>1841</v>
      </c>
      <c r="E184" s="49" t="s">
        <v>27</v>
      </c>
      <c r="F184" s="49" t="s">
        <v>41</v>
      </c>
      <c r="G184" s="49" t="s">
        <v>1737</v>
      </c>
      <c r="H184" s="15" t="s">
        <v>1794</v>
      </c>
      <c r="I184" s="49" t="s">
        <v>1117</v>
      </c>
      <c r="J184" s="62"/>
      <c r="K184" s="16" t="s">
        <v>1848</v>
      </c>
      <c r="L184" s="14"/>
      <c r="M184" s="14"/>
      <c r="N184" s="14"/>
      <c r="O184" s="14"/>
      <c r="P184" s="14"/>
      <c r="Q184" s="18"/>
      <c r="R184" s="18"/>
      <c r="S184" s="18"/>
      <c r="T184" s="18"/>
      <c r="U184" s="18"/>
      <c r="V184" s="18"/>
      <c r="W184" s="18"/>
      <c r="X184" s="18"/>
      <c r="Y184" s="18"/>
      <c r="Z184" s="18"/>
      <c r="AA184" s="18"/>
      <c r="AB184" s="18"/>
      <c r="AC184" s="18"/>
      <c r="AD184" s="18"/>
    </row>
    <row r="185" ht="30.0" customHeight="1">
      <c r="A185" s="36" t="s">
        <v>1849</v>
      </c>
      <c r="B185" s="49" t="s">
        <v>1850</v>
      </c>
      <c r="C185" s="49" t="s">
        <v>1851</v>
      </c>
      <c r="D185" s="49" t="s">
        <v>1852</v>
      </c>
      <c r="E185" s="49" t="s">
        <v>465</v>
      </c>
      <c r="F185" s="49" t="s">
        <v>41</v>
      </c>
      <c r="G185" s="49" t="s">
        <v>1737</v>
      </c>
      <c r="H185" s="49" t="s">
        <v>1853</v>
      </c>
      <c r="I185" s="49" t="s">
        <v>1854</v>
      </c>
      <c r="J185" s="56"/>
      <c r="K185" s="59" t="s">
        <v>1855</v>
      </c>
      <c r="L185" s="18"/>
      <c r="M185" s="18"/>
      <c r="N185" s="18"/>
      <c r="O185" s="18"/>
      <c r="P185" s="18"/>
      <c r="Q185" s="18"/>
      <c r="R185" s="18"/>
      <c r="S185" s="18"/>
      <c r="T185" s="18"/>
      <c r="U185" s="18"/>
      <c r="V185" s="18"/>
      <c r="W185" s="18"/>
      <c r="X185" s="18"/>
      <c r="Y185" s="18"/>
      <c r="Z185" s="18"/>
      <c r="AA185" s="18"/>
      <c r="AB185" s="18"/>
      <c r="AC185" s="18"/>
      <c r="AD185" s="18"/>
    </row>
    <row r="186" ht="30.0" customHeight="1">
      <c r="A186" s="36" t="s">
        <v>1856</v>
      </c>
      <c r="B186" s="15" t="s">
        <v>1857</v>
      </c>
      <c r="C186" s="15" t="s">
        <v>1858</v>
      </c>
      <c r="D186" s="15" t="s">
        <v>1859</v>
      </c>
      <c r="E186" s="15" t="s">
        <v>1736</v>
      </c>
      <c r="F186" s="15" t="s">
        <v>89</v>
      </c>
      <c r="G186" s="49" t="s">
        <v>1737</v>
      </c>
      <c r="H186" s="15" t="s">
        <v>1860</v>
      </c>
      <c r="I186" s="15" t="s">
        <v>1861</v>
      </c>
      <c r="J186" s="56"/>
      <c r="K186" s="14" t="s">
        <v>1862</v>
      </c>
      <c r="L186" s="15" t="s">
        <v>1863</v>
      </c>
      <c r="M186" s="14"/>
      <c r="N186" s="14"/>
      <c r="O186" s="14"/>
      <c r="P186" s="14"/>
      <c r="Q186" s="18"/>
      <c r="R186" s="18"/>
      <c r="S186" s="18"/>
      <c r="T186" s="18"/>
      <c r="U186" s="18"/>
      <c r="V186" s="18"/>
      <c r="W186" s="18"/>
      <c r="X186" s="18"/>
      <c r="Y186" s="18"/>
      <c r="Z186" s="18"/>
      <c r="AA186" s="18"/>
      <c r="AB186" s="18"/>
      <c r="AC186" s="18"/>
      <c r="AD186" s="18"/>
    </row>
    <row r="187" ht="30.0" customHeight="1">
      <c r="A187" s="36" t="s">
        <v>1864</v>
      </c>
      <c r="B187" s="15" t="s">
        <v>1865</v>
      </c>
      <c r="C187" s="15" t="s">
        <v>1866</v>
      </c>
      <c r="D187" s="15" t="s">
        <v>1867</v>
      </c>
      <c r="E187" s="15" t="s">
        <v>1268</v>
      </c>
      <c r="F187" s="15" t="s">
        <v>89</v>
      </c>
      <c r="G187" s="49" t="s">
        <v>1737</v>
      </c>
      <c r="H187" s="15" t="s">
        <v>1868</v>
      </c>
      <c r="I187" s="15" t="s">
        <v>1869</v>
      </c>
      <c r="J187" s="56"/>
      <c r="K187" s="14" t="s">
        <v>1870</v>
      </c>
      <c r="L187" s="15" t="s">
        <v>1871</v>
      </c>
      <c r="M187" s="14"/>
      <c r="N187" s="14"/>
      <c r="O187" s="14"/>
      <c r="P187" s="14"/>
      <c r="Q187" s="14"/>
      <c r="R187" s="14"/>
      <c r="S187" s="18"/>
      <c r="T187" s="18"/>
      <c r="U187" s="18"/>
      <c r="V187" s="18"/>
      <c r="W187" s="18"/>
      <c r="X187" s="18"/>
      <c r="Y187" s="18"/>
      <c r="Z187" s="18"/>
      <c r="AA187" s="18"/>
      <c r="AB187" s="18"/>
      <c r="AC187" s="18"/>
      <c r="AD187" s="18"/>
    </row>
    <row r="188" ht="30.0" customHeight="1">
      <c r="A188" s="36" t="s">
        <v>1872</v>
      </c>
      <c r="B188" s="49" t="s">
        <v>1873</v>
      </c>
      <c r="C188" s="49" t="s">
        <v>1874</v>
      </c>
      <c r="D188" s="49" t="s">
        <v>1017</v>
      </c>
      <c r="E188" s="49" t="s">
        <v>27</v>
      </c>
      <c r="F188" s="49" t="s">
        <v>89</v>
      </c>
      <c r="G188" s="49" t="s">
        <v>1737</v>
      </c>
      <c r="H188" s="15" t="s">
        <v>1787</v>
      </c>
      <c r="I188" s="49" t="s">
        <v>1875</v>
      </c>
      <c r="J188" s="59"/>
      <c r="K188" s="14" t="s">
        <v>1876</v>
      </c>
      <c r="L188" s="14"/>
      <c r="M188" s="14"/>
      <c r="N188" s="14"/>
      <c r="O188" s="14"/>
      <c r="P188" s="14"/>
      <c r="Q188" s="18"/>
      <c r="R188" s="18"/>
      <c r="S188" s="18"/>
      <c r="T188" s="18"/>
      <c r="U188" s="18"/>
      <c r="V188" s="18"/>
      <c r="W188" s="18"/>
      <c r="X188" s="18"/>
      <c r="Y188" s="18"/>
      <c r="Z188" s="18"/>
      <c r="AA188" s="18"/>
      <c r="AB188" s="18"/>
      <c r="AC188" s="18"/>
      <c r="AD188" s="18"/>
    </row>
    <row r="189" ht="30.0" customHeight="1">
      <c r="A189" s="36" t="s">
        <v>1877</v>
      </c>
      <c r="B189" s="49" t="s">
        <v>1878</v>
      </c>
      <c r="C189" s="49" t="s">
        <v>1879</v>
      </c>
      <c r="D189" s="49" t="s">
        <v>1852</v>
      </c>
      <c r="E189" s="49" t="s">
        <v>465</v>
      </c>
      <c r="F189" s="49" t="s">
        <v>41</v>
      </c>
      <c r="G189" s="49" t="s">
        <v>1737</v>
      </c>
      <c r="H189" s="49" t="s">
        <v>1853</v>
      </c>
      <c r="I189" s="49" t="s">
        <v>1880</v>
      </c>
      <c r="J189" s="59"/>
      <c r="K189" s="59" t="s">
        <v>1881</v>
      </c>
      <c r="L189" s="18"/>
      <c r="M189" s="18"/>
      <c r="N189" s="18"/>
      <c r="O189" s="18"/>
      <c r="P189" s="18"/>
      <c r="Q189" s="18"/>
      <c r="R189" s="18"/>
      <c r="S189" s="18"/>
      <c r="T189" s="18"/>
      <c r="U189" s="18"/>
      <c r="V189" s="18"/>
      <c r="W189" s="18"/>
      <c r="X189" s="18"/>
      <c r="Y189" s="18"/>
      <c r="Z189" s="18"/>
      <c r="AA189" s="18"/>
      <c r="AB189" s="18"/>
      <c r="AC189" s="18"/>
      <c r="AD189" s="18"/>
    </row>
    <row r="190" ht="24.75" customHeight="1">
      <c r="A190" s="28" t="s">
        <v>1882</v>
      </c>
      <c r="B190" s="53" t="s">
        <v>1883</v>
      </c>
      <c r="C190" s="53" t="s">
        <v>1884</v>
      </c>
      <c r="D190" s="53" t="s">
        <v>1885</v>
      </c>
      <c r="E190" s="26" t="s">
        <v>1736</v>
      </c>
      <c r="F190" s="26" t="s">
        <v>89</v>
      </c>
      <c r="G190" s="63" t="s">
        <v>1886</v>
      </c>
      <c r="H190" s="24" t="s">
        <v>1887</v>
      </c>
      <c r="I190" s="24" t="s">
        <v>1888</v>
      </c>
      <c r="J190" s="54" t="s">
        <v>1889</v>
      </c>
      <c r="K190" s="23"/>
      <c r="L190" s="23"/>
      <c r="M190" s="26"/>
      <c r="N190" s="23"/>
      <c r="O190" s="23"/>
      <c r="P190" s="23"/>
      <c r="Q190" s="23"/>
      <c r="R190" s="23"/>
      <c r="S190" s="23"/>
      <c r="T190" s="23"/>
      <c r="U190" s="26"/>
      <c r="V190" s="26"/>
      <c r="W190" s="26"/>
      <c r="X190" s="26"/>
      <c r="Y190" s="26"/>
      <c r="Z190" s="26"/>
      <c r="AA190" s="26"/>
      <c r="AB190" s="26"/>
      <c r="AC190" s="26"/>
      <c r="AD190" s="26"/>
    </row>
    <row r="191" ht="24.75" customHeight="1">
      <c r="A191" s="28" t="s">
        <v>1890</v>
      </c>
      <c r="B191" s="24" t="s">
        <v>1891</v>
      </c>
      <c r="C191" s="24" t="s">
        <v>1892</v>
      </c>
      <c r="D191" s="53" t="s">
        <v>1774</v>
      </c>
      <c r="E191" s="26" t="s">
        <v>54</v>
      </c>
      <c r="F191" s="26" t="s">
        <v>41</v>
      </c>
      <c r="G191" s="63" t="s">
        <v>1886</v>
      </c>
      <c r="H191" s="24" t="s">
        <v>1893</v>
      </c>
      <c r="I191" s="24" t="s">
        <v>1894</v>
      </c>
      <c r="J191" s="54" t="s">
        <v>1895</v>
      </c>
      <c r="K191" s="23"/>
      <c r="L191" s="23"/>
      <c r="M191" s="26"/>
      <c r="N191" s="23"/>
      <c r="O191" s="23"/>
      <c r="P191" s="23"/>
      <c r="Q191" s="23"/>
      <c r="R191" s="23"/>
      <c r="S191" s="23"/>
      <c r="T191" s="23"/>
      <c r="U191" s="26"/>
      <c r="V191" s="26"/>
      <c r="W191" s="26"/>
      <c r="X191" s="26"/>
      <c r="Y191" s="26"/>
      <c r="Z191" s="26"/>
      <c r="AA191" s="26"/>
      <c r="AB191" s="26"/>
      <c r="AC191" s="26"/>
      <c r="AD191" s="26"/>
    </row>
    <row r="192" ht="24.75" customHeight="1">
      <c r="A192" s="28" t="s">
        <v>1896</v>
      </c>
      <c r="B192" s="53" t="s">
        <v>1897</v>
      </c>
      <c r="C192" s="53" t="s">
        <v>1898</v>
      </c>
      <c r="D192" s="53" t="s">
        <v>1899</v>
      </c>
      <c r="E192" s="26" t="s">
        <v>465</v>
      </c>
      <c r="F192" s="26" t="s">
        <v>89</v>
      </c>
      <c r="G192" s="63" t="s">
        <v>1886</v>
      </c>
      <c r="H192" s="24" t="s">
        <v>1900</v>
      </c>
      <c r="I192" s="24" t="s">
        <v>1901</v>
      </c>
      <c r="J192" s="54" t="s">
        <v>1902</v>
      </c>
      <c r="K192" s="23"/>
      <c r="L192" s="23"/>
      <c r="M192" s="26"/>
      <c r="N192" s="23"/>
      <c r="O192" s="23"/>
      <c r="P192" s="23"/>
      <c r="Q192" s="23"/>
      <c r="R192" s="23"/>
      <c r="S192" s="23"/>
      <c r="T192" s="23"/>
      <c r="U192" s="26"/>
      <c r="V192" s="26"/>
      <c r="W192" s="26"/>
      <c r="X192" s="26"/>
      <c r="Y192" s="26"/>
      <c r="Z192" s="26"/>
      <c r="AA192" s="26"/>
      <c r="AB192" s="26"/>
      <c r="AC192" s="26"/>
      <c r="AD192" s="26"/>
    </row>
    <row r="193" ht="24.75" customHeight="1">
      <c r="A193" s="28" t="s">
        <v>1903</v>
      </c>
      <c r="B193" s="24" t="s">
        <v>1904</v>
      </c>
      <c r="C193" s="24" t="s">
        <v>1905</v>
      </c>
      <c r="D193" s="64" t="s">
        <v>100</v>
      </c>
      <c r="E193" s="26" t="s">
        <v>27</v>
      </c>
      <c r="F193" s="26" t="s">
        <v>89</v>
      </c>
      <c r="G193" s="63" t="s">
        <v>1886</v>
      </c>
      <c r="H193" s="24" t="s">
        <v>1906</v>
      </c>
      <c r="I193" s="64" t="s">
        <v>1907</v>
      </c>
      <c r="J193" s="54" t="s">
        <v>1908</v>
      </c>
      <c r="K193" s="23"/>
      <c r="L193" s="23"/>
      <c r="M193" s="26"/>
      <c r="N193" s="23"/>
      <c r="O193" s="23"/>
      <c r="P193" s="23"/>
      <c r="Q193" s="23"/>
      <c r="R193" s="23"/>
      <c r="S193" s="23"/>
      <c r="T193" s="23"/>
      <c r="U193" s="26"/>
      <c r="V193" s="26"/>
      <c r="W193" s="26"/>
      <c r="X193" s="26"/>
      <c r="Y193" s="26"/>
      <c r="Z193" s="26"/>
      <c r="AA193" s="26"/>
      <c r="AB193" s="26"/>
      <c r="AC193" s="26"/>
      <c r="AD193" s="26"/>
    </row>
    <row r="194" ht="24.75" customHeight="1">
      <c r="A194" s="28" t="s">
        <v>1909</v>
      </c>
      <c r="B194" s="24" t="s">
        <v>1910</v>
      </c>
      <c r="C194" s="24" t="s">
        <v>1911</v>
      </c>
      <c r="D194" s="26" t="s">
        <v>1912</v>
      </c>
      <c r="E194" s="26" t="s">
        <v>27</v>
      </c>
      <c r="F194" s="26" t="s">
        <v>41</v>
      </c>
      <c r="G194" s="63" t="s">
        <v>1886</v>
      </c>
      <c r="H194" s="24" t="s">
        <v>1913</v>
      </c>
      <c r="I194" s="54" t="s">
        <v>1914</v>
      </c>
      <c r="J194" s="54" t="s">
        <v>1915</v>
      </c>
      <c r="K194" s="23"/>
      <c r="L194" s="23"/>
      <c r="M194" s="26"/>
      <c r="N194" s="23"/>
      <c r="O194" s="23"/>
      <c r="P194" s="23"/>
      <c r="Q194" s="23"/>
      <c r="R194" s="23"/>
      <c r="S194" s="23"/>
      <c r="T194" s="23"/>
      <c r="U194" s="26"/>
      <c r="V194" s="26"/>
      <c r="W194" s="26"/>
      <c r="X194" s="26"/>
      <c r="Y194" s="26"/>
      <c r="Z194" s="26"/>
      <c r="AA194" s="26"/>
      <c r="AB194" s="26"/>
      <c r="AC194" s="26"/>
      <c r="AD194" s="26"/>
    </row>
    <row r="195" ht="24.75" customHeight="1">
      <c r="A195" s="28" t="s">
        <v>1916</v>
      </c>
      <c r="B195" s="53" t="s">
        <v>1917</v>
      </c>
      <c r="C195" s="53" t="s">
        <v>1918</v>
      </c>
      <c r="D195" s="26" t="s">
        <v>76</v>
      </c>
      <c r="E195" s="26" t="s">
        <v>27</v>
      </c>
      <c r="F195" s="26" t="s">
        <v>89</v>
      </c>
      <c r="G195" s="63" t="s">
        <v>1886</v>
      </c>
      <c r="H195" s="24" t="s">
        <v>1919</v>
      </c>
      <c r="I195" s="54" t="s">
        <v>1920</v>
      </c>
      <c r="J195" s="54" t="s">
        <v>1921</v>
      </c>
      <c r="K195" s="23"/>
      <c r="L195" s="23"/>
      <c r="M195" s="26"/>
      <c r="N195" s="23"/>
      <c r="O195" s="23"/>
      <c r="P195" s="23"/>
      <c r="Q195" s="23"/>
      <c r="R195" s="23"/>
      <c r="S195" s="23"/>
      <c r="T195" s="23"/>
      <c r="U195" s="26"/>
      <c r="V195" s="26"/>
      <c r="W195" s="26"/>
      <c r="X195" s="26"/>
      <c r="Y195" s="26"/>
      <c r="Z195" s="26"/>
      <c r="AA195" s="26"/>
      <c r="AB195" s="26"/>
      <c r="AC195" s="26"/>
      <c r="AD195" s="26"/>
    </row>
    <row r="196" ht="24.75" customHeight="1">
      <c r="A196" s="28" t="s">
        <v>1922</v>
      </c>
      <c r="B196" s="53" t="s">
        <v>1923</v>
      </c>
      <c r="C196" s="53" t="s">
        <v>1924</v>
      </c>
      <c r="D196" s="26" t="s">
        <v>1925</v>
      </c>
      <c r="E196" s="26" t="s">
        <v>1926</v>
      </c>
      <c r="F196" s="26" t="s">
        <v>41</v>
      </c>
      <c r="G196" s="63" t="s">
        <v>1886</v>
      </c>
      <c r="H196" s="24" t="s">
        <v>1927</v>
      </c>
      <c r="I196" s="54" t="s">
        <v>750</v>
      </c>
      <c r="J196" s="54" t="s">
        <v>1928</v>
      </c>
      <c r="K196" s="23"/>
      <c r="L196" s="23"/>
      <c r="M196" s="26"/>
      <c r="N196" s="23"/>
      <c r="O196" s="23"/>
      <c r="P196" s="23"/>
      <c r="Q196" s="23"/>
      <c r="R196" s="23"/>
      <c r="S196" s="23"/>
      <c r="T196" s="23"/>
      <c r="U196" s="26"/>
      <c r="V196" s="26"/>
      <c r="W196" s="26"/>
      <c r="X196" s="26"/>
      <c r="Y196" s="26"/>
      <c r="Z196" s="26"/>
      <c r="AA196" s="26"/>
      <c r="AB196" s="26"/>
      <c r="AC196" s="26"/>
      <c r="AD196" s="26"/>
    </row>
    <row r="197" ht="24.75" customHeight="1">
      <c r="A197" s="28" t="s">
        <v>1929</v>
      </c>
      <c r="B197" s="24" t="s">
        <v>1930</v>
      </c>
      <c r="C197" s="24" t="s">
        <v>1931</v>
      </c>
      <c r="D197" s="26" t="s">
        <v>1932</v>
      </c>
      <c r="E197" s="26" t="s">
        <v>1106</v>
      </c>
      <c r="F197" s="26" t="s">
        <v>89</v>
      </c>
      <c r="G197" s="63" t="s">
        <v>1886</v>
      </c>
      <c r="H197" s="24" t="s">
        <v>1933</v>
      </c>
      <c r="I197" s="54" t="s">
        <v>1934</v>
      </c>
      <c r="J197" s="54" t="s">
        <v>1935</v>
      </c>
      <c r="K197" s="23"/>
      <c r="L197" s="23"/>
      <c r="M197" s="26"/>
      <c r="N197" s="23"/>
      <c r="O197" s="23"/>
      <c r="P197" s="23"/>
      <c r="Q197" s="23"/>
      <c r="R197" s="23"/>
      <c r="S197" s="23"/>
      <c r="T197" s="23"/>
      <c r="U197" s="26"/>
      <c r="V197" s="26"/>
      <c r="W197" s="26"/>
      <c r="X197" s="26"/>
      <c r="Y197" s="26"/>
      <c r="Z197" s="26"/>
      <c r="AA197" s="26"/>
      <c r="AB197" s="26"/>
      <c r="AC197" s="26"/>
      <c r="AD197" s="26"/>
    </row>
    <row r="198" ht="24.75" customHeight="1">
      <c r="A198" s="28" t="s">
        <v>1936</v>
      </c>
      <c r="B198" s="24" t="s">
        <v>1937</v>
      </c>
      <c r="C198" s="24" t="s">
        <v>1938</v>
      </c>
      <c r="D198" s="26" t="s">
        <v>1939</v>
      </c>
      <c r="E198" s="26" t="s">
        <v>1268</v>
      </c>
      <c r="F198" s="26" t="s">
        <v>89</v>
      </c>
      <c r="G198" s="63" t="s">
        <v>1886</v>
      </c>
      <c r="H198" s="24" t="s">
        <v>1940</v>
      </c>
      <c r="I198" s="54" t="s">
        <v>1941</v>
      </c>
      <c r="J198" s="54" t="s">
        <v>1942</v>
      </c>
      <c r="K198" s="23"/>
      <c r="L198" s="23"/>
      <c r="M198" s="26"/>
      <c r="N198" s="23"/>
      <c r="O198" s="23"/>
      <c r="P198" s="23"/>
      <c r="Q198" s="23"/>
      <c r="R198" s="23"/>
      <c r="S198" s="23"/>
      <c r="T198" s="23"/>
      <c r="U198" s="26"/>
      <c r="V198" s="26"/>
      <c r="W198" s="26"/>
      <c r="X198" s="26"/>
      <c r="Y198" s="26"/>
      <c r="Z198" s="26"/>
      <c r="AA198" s="26"/>
      <c r="AB198" s="26"/>
      <c r="AC198" s="26"/>
      <c r="AD198" s="26"/>
    </row>
    <row r="199" ht="24.75" customHeight="1">
      <c r="A199" s="28" t="s">
        <v>1943</v>
      </c>
      <c r="B199" s="24" t="s">
        <v>1944</v>
      </c>
      <c r="C199" s="24" t="s">
        <v>1945</v>
      </c>
      <c r="D199" s="26" t="s">
        <v>1946</v>
      </c>
      <c r="E199" s="26" t="s">
        <v>1947</v>
      </c>
      <c r="F199" s="26" t="s">
        <v>41</v>
      </c>
      <c r="G199" s="63" t="s">
        <v>1886</v>
      </c>
      <c r="H199" s="24" t="s">
        <v>1948</v>
      </c>
      <c r="I199" s="54" t="s">
        <v>1949</v>
      </c>
      <c r="J199" s="54" t="s">
        <v>1950</v>
      </c>
      <c r="K199" s="23"/>
      <c r="L199" s="23"/>
      <c r="M199" s="26"/>
      <c r="N199" s="23"/>
      <c r="O199" s="23"/>
      <c r="P199" s="23"/>
      <c r="Q199" s="23"/>
      <c r="R199" s="23"/>
      <c r="S199" s="23"/>
      <c r="T199" s="23"/>
      <c r="U199" s="26"/>
      <c r="V199" s="26"/>
      <c r="W199" s="26"/>
      <c r="X199" s="26"/>
      <c r="Y199" s="26"/>
      <c r="Z199" s="26"/>
      <c r="AA199" s="26"/>
      <c r="AB199" s="26"/>
      <c r="AC199" s="26"/>
      <c r="AD199" s="26"/>
    </row>
    <row r="200" ht="24.75" customHeight="1">
      <c r="A200" s="28" t="s">
        <v>1951</v>
      </c>
      <c r="B200" s="24" t="s">
        <v>1952</v>
      </c>
      <c r="C200" s="24" t="s">
        <v>476</v>
      </c>
      <c r="D200" s="26" t="s">
        <v>182</v>
      </c>
      <c r="E200" s="26" t="s">
        <v>183</v>
      </c>
      <c r="F200" s="26" t="s">
        <v>41</v>
      </c>
      <c r="G200" s="63" t="s">
        <v>1886</v>
      </c>
      <c r="H200" s="24" t="s">
        <v>1953</v>
      </c>
      <c r="I200" s="54" t="s">
        <v>1954</v>
      </c>
      <c r="J200" s="54" t="s">
        <v>1955</v>
      </c>
      <c r="K200" s="23"/>
      <c r="L200" s="23"/>
      <c r="M200" s="26"/>
      <c r="N200" s="23"/>
      <c r="O200" s="23"/>
      <c r="P200" s="23"/>
      <c r="Q200" s="23"/>
      <c r="R200" s="23"/>
      <c r="S200" s="23"/>
      <c r="T200" s="23"/>
      <c r="U200" s="26"/>
      <c r="V200" s="26"/>
      <c r="W200" s="26"/>
      <c r="X200" s="26"/>
      <c r="Y200" s="26"/>
      <c r="Z200" s="26"/>
      <c r="AA200" s="26"/>
      <c r="AB200" s="26"/>
      <c r="AC200" s="26"/>
      <c r="AD200" s="26"/>
    </row>
    <row r="201" ht="24.75" customHeight="1">
      <c r="A201" s="28" t="s">
        <v>1956</v>
      </c>
      <c r="B201" s="24" t="s">
        <v>1957</v>
      </c>
      <c r="C201" s="24" t="s">
        <v>158</v>
      </c>
      <c r="D201" s="26" t="s">
        <v>1958</v>
      </c>
      <c r="E201" s="65" t="s">
        <v>54</v>
      </c>
      <c r="F201" s="26" t="s">
        <v>41</v>
      </c>
      <c r="G201" s="63" t="s">
        <v>1886</v>
      </c>
      <c r="H201" s="24" t="s">
        <v>1959</v>
      </c>
      <c r="I201" s="66" t="s">
        <v>1960</v>
      </c>
      <c r="J201" s="54" t="s">
        <v>1961</v>
      </c>
      <c r="K201" s="23"/>
      <c r="L201" s="23"/>
      <c r="M201" s="26"/>
      <c r="N201" s="23"/>
      <c r="O201" s="23"/>
      <c r="P201" s="23"/>
      <c r="Q201" s="23"/>
      <c r="R201" s="23"/>
      <c r="S201" s="23"/>
      <c r="T201" s="23"/>
      <c r="U201" s="26"/>
      <c r="V201" s="26"/>
      <c r="W201" s="26"/>
      <c r="X201" s="26"/>
      <c r="Y201" s="26"/>
      <c r="Z201" s="26"/>
      <c r="AA201" s="26"/>
      <c r="AB201" s="26"/>
      <c r="AC201" s="26"/>
      <c r="AD201" s="26"/>
    </row>
    <row r="202" ht="24.75" customHeight="1">
      <c r="A202" s="29" t="s">
        <v>1962</v>
      </c>
      <c r="B202" s="45" t="s">
        <v>1963</v>
      </c>
      <c r="C202" s="45" t="s">
        <v>1964</v>
      </c>
      <c r="D202" s="35" t="s">
        <v>1965</v>
      </c>
      <c r="E202" s="33" t="s">
        <v>27</v>
      </c>
      <c r="F202" s="33" t="s">
        <v>89</v>
      </c>
      <c r="G202" s="45" t="s">
        <v>1966</v>
      </c>
      <c r="H202" s="35" t="s">
        <v>1965</v>
      </c>
      <c r="I202" s="35" t="s">
        <v>1967</v>
      </c>
      <c r="J202" s="35"/>
      <c r="K202" s="35" t="s">
        <v>1968</v>
      </c>
      <c r="L202" s="33"/>
      <c r="M202" s="35" t="s">
        <v>1969</v>
      </c>
      <c r="N202" s="35"/>
      <c r="O202" s="33"/>
      <c r="P202" s="35"/>
      <c r="Q202" s="35"/>
      <c r="R202" s="35"/>
      <c r="S202" s="35"/>
      <c r="T202" s="35"/>
      <c r="U202" s="33"/>
      <c r="V202" s="33"/>
      <c r="W202" s="33"/>
      <c r="X202" s="33"/>
      <c r="Y202" s="33"/>
      <c r="Z202" s="33"/>
      <c r="AA202" s="33"/>
      <c r="AB202" s="33"/>
      <c r="AC202" s="33"/>
      <c r="AD202" s="33"/>
    </row>
    <row r="203" ht="24.75" customHeight="1">
      <c r="A203" s="29" t="s">
        <v>1970</v>
      </c>
      <c r="B203" s="45" t="s">
        <v>1971</v>
      </c>
      <c r="C203" s="45" t="s">
        <v>1972</v>
      </c>
      <c r="D203" s="35" t="s">
        <v>1973</v>
      </c>
      <c r="E203" s="33" t="s">
        <v>1268</v>
      </c>
      <c r="F203" s="33" t="s">
        <v>41</v>
      </c>
      <c r="G203" s="45" t="s">
        <v>1966</v>
      </c>
      <c r="H203" s="35" t="s">
        <v>1973</v>
      </c>
      <c r="I203" s="35" t="s">
        <v>1974</v>
      </c>
      <c r="J203" s="35"/>
      <c r="K203" s="35" t="s">
        <v>1975</v>
      </c>
      <c r="L203" s="33"/>
      <c r="M203" s="35" t="s">
        <v>1976</v>
      </c>
      <c r="N203" s="35"/>
      <c r="O203" s="33"/>
      <c r="P203" s="35"/>
      <c r="Q203" s="35"/>
      <c r="R203" s="35"/>
      <c r="S203" s="35"/>
      <c r="T203" s="35"/>
      <c r="U203" s="33"/>
      <c r="V203" s="33"/>
      <c r="W203" s="33"/>
      <c r="X203" s="33"/>
      <c r="Y203" s="33"/>
      <c r="Z203" s="33"/>
      <c r="AA203" s="33"/>
      <c r="AB203" s="33"/>
      <c r="AC203" s="33"/>
      <c r="AD203" s="33"/>
    </row>
    <row r="204" ht="24.75" customHeight="1">
      <c r="A204" s="29" t="s">
        <v>1977</v>
      </c>
      <c r="B204" s="45" t="s">
        <v>1978</v>
      </c>
      <c r="C204" s="45" t="s">
        <v>1979</v>
      </c>
      <c r="D204" s="35" t="s">
        <v>1980</v>
      </c>
      <c r="E204" s="33" t="s">
        <v>27</v>
      </c>
      <c r="F204" s="33" t="s">
        <v>41</v>
      </c>
      <c r="G204" s="45" t="s">
        <v>1966</v>
      </c>
      <c r="H204" s="35" t="s">
        <v>1980</v>
      </c>
      <c r="I204" s="35" t="s">
        <v>1981</v>
      </c>
      <c r="J204" s="35"/>
      <c r="K204" s="35" t="s">
        <v>1982</v>
      </c>
      <c r="L204" s="33"/>
      <c r="M204" s="35" t="s">
        <v>1983</v>
      </c>
      <c r="N204" s="35"/>
      <c r="O204" s="33"/>
      <c r="P204" s="35"/>
      <c r="Q204" s="35"/>
      <c r="R204" s="35"/>
      <c r="S204" s="35"/>
      <c r="T204" s="35"/>
      <c r="U204" s="33"/>
      <c r="V204" s="33"/>
      <c r="W204" s="33"/>
      <c r="X204" s="33"/>
      <c r="Y204" s="33"/>
      <c r="Z204" s="33"/>
      <c r="AA204" s="33"/>
      <c r="AB204" s="33"/>
      <c r="AC204" s="33"/>
      <c r="AD204" s="33"/>
    </row>
    <row r="205" ht="24.75" customHeight="1">
      <c r="A205" s="29" t="s">
        <v>1984</v>
      </c>
      <c r="B205" s="45" t="s">
        <v>1985</v>
      </c>
      <c r="C205" s="45" t="s">
        <v>1986</v>
      </c>
      <c r="D205" s="35" t="s">
        <v>1987</v>
      </c>
      <c r="E205" s="33" t="s">
        <v>27</v>
      </c>
      <c r="F205" s="33" t="s">
        <v>89</v>
      </c>
      <c r="G205" s="45" t="s">
        <v>1966</v>
      </c>
      <c r="H205" s="35" t="s">
        <v>1987</v>
      </c>
      <c r="I205" s="35" t="s">
        <v>1988</v>
      </c>
      <c r="J205" s="35"/>
      <c r="K205" s="35" t="s">
        <v>1989</v>
      </c>
      <c r="L205" s="33"/>
      <c r="M205" s="35" t="s">
        <v>1990</v>
      </c>
      <c r="N205" s="35"/>
      <c r="O205" s="33"/>
      <c r="P205" s="35"/>
      <c r="Q205" s="35"/>
      <c r="R205" s="35"/>
      <c r="S205" s="35"/>
      <c r="T205" s="35"/>
      <c r="U205" s="33"/>
      <c r="V205" s="33"/>
      <c r="W205" s="33"/>
      <c r="X205" s="33"/>
      <c r="Y205" s="33"/>
      <c r="Z205" s="33"/>
      <c r="AA205" s="33"/>
      <c r="AB205" s="33"/>
      <c r="AC205" s="33"/>
      <c r="AD205" s="33"/>
    </row>
    <row r="206" ht="24.75" customHeight="1">
      <c r="A206" s="29" t="s">
        <v>1991</v>
      </c>
      <c r="B206" s="45" t="s">
        <v>1992</v>
      </c>
      <c r="C206" s="45" t="s">
        <v>1993</v>
      </c>
      <c r="D206" s="35" t="s">
        <v>1994</v>
      </c>
      <c r="E206" s="33" t="s">
        <v>1039</v>
      </c>
      <c r="F206" s="33" t="s">
        <v>41</v>
      </c>
      <c r="G206" s="45" t="s">
        <v>1966</v>
      </c>
      <c r="H206" s="35" t="s">
        <v>1994</v>
      </c>
      <c r="I206" s="35" t="s">
        <v>1995</v>
      </c>
      <c r="J206" s="35"/>
      <c r="K206" s="35" t="s">
        <v>1996</v>
      </c>
      <c r="L206" s="33"/>
      <c r="M206" s="35"/>
      <c r="N206" s="35"/>
      <c r="O206" s="33"/>
      <c r="P206" s="35"/>
      <c r="Q206" s="35"/>
      <c r="R206" s="35"/>
      <c r="S206" s="35"/>
      <c r="T206" s="35"/>
      <c r="U206" s="33"/>
      <c r="V206" s="33"/>
      <c r="W206" s="33"/>
      <c r="X206" s="33"/>
      <c r="Y206" s="33"/>
      <c r="Z206" s="33"/>
      <c r="AA206" s="33"/>
      <c r="AB206" s="33"/>
      <c r="AC206" s="33"/>
      <c r="AD206" s="33"/>
    </row>
    <row r="207" ht="24.75" customHeight="1">
      <c r="A207" s="29" t="s">
        <v>1997</v>
      </c>
      <c r="B207" s="45" t="s">
        <v>1998</v>
      </c>
      <c r="C207" s="45" t="s">
        <v>1999</v>
      </c>
      <c r="D207" s="35" t="s">
        <v>2000</v>
      </c>
      <c r="E207" s="33" t="s">
        <v>1736</v>
      </c>
      <c r="F207" s="33" t="s">
        <v>89</v>
      </c>
      <c r="G207" s="45" t="s">
        <v>1966</v>
      </c>
      <c r="H207" s="35" t="s">
        <v>2000</v>
      </c>
      <c r="I207" s="35" t="s">
        <v>2001</v>
      </c>
      <c r="J207" s="35"/>
      <c r="K207" s="35" t="s">
        <v>2002</v>
      </c>
      <c r="L207" s="33"/>
      <c r="M207" s="35" t="s">
        <v>2003</v>
      </c>
      <c r="N207" s="35"/>
      <c r="O207" s="33"/>
      <c r="P207" s="35"/>
      <c r="Q207" s="35"/>
      <c r="R207" s="35"/>
      <c r="S207" s="35"/>
      <c r="T207" s="35"/>
      <c r="U207" s="33"/>
      <c r="V207" s="33"/>
      <c r="W207" s="33"/>
      <c r="X207" s="33"/>
      <c r="Y207" s="33"/>
      <c r="Z207" s="33"/>
      <c r="AA207" s="33"/>
      <c r="AB207" s="33"/>
      <c r="AC207" s="33"/>
      <c r="AD207" s="33"/>
    </row>
    <row r="208" ht="24.75" customHeight="1">
      <c r="A208" s="29" t="s">
        <v>2004</v>
      </c>
      <c r="B208" s="45" t="s">
        <v>2005</v>
      </c>
      <c r="C208" s="45" t="s">
        <v>2006</v>
      </c>
      <c r="D208" s="35" t="s">
        <v>2007</v>
      </c>
      <c r="E208" s="33" t="s">
        <v>1947</v>
      </c>
      <c r="F208" s="33" t="s">
        <v>41</v>
      </c>
      <c r="G208" s="45" t="s">
        <v>1966</v>
      </c>
      <c r="H208" s="35" t="s">
        <v>2007</v>
      </c>
      <c r="I208" s="34" t="s">
        <v>655</v>
      </c>
      <c r="J208" s="35"/>
      <c r="K208" s="35" t="s">
        <v>2008</v>
      </c>
      <c r="L208" s="33"/>
      <c r="M208" s="35" t="s">
        <v>2009</v>
      </c>
      <c r="N208" s="35"/>
      <c r="O208" s="33"/>
      <c r="P208" s="35"/>
      <c r="Q208" s="35"/>
      <c r="R208" s="35"/>
      <c r="S208" s="35"/>
      <c r="T208" s="35"/>
      <c r="U208" s="33"/>
      <c r="V208" s="33"/>
      <c r="W208" s="33"/>
      <c r="X208" s="33"/>
      <c r="Y208" s="33"/>
      <c r="Z208" s="33"/>
      <c r="AA208" s="33"/>
      <c r="AB208" s="33"/>
      <c r="AC208" s="33"/>
      <c r="AD208" s="33"/>
    </row>
    <row r="209" ht="24.75" customHeight="1">
      <c r="A209" s="29" t="s">
        <v>2010</v>
      </c>
      <c r="B209" s="45" t="s">
        <v>2011</v>
      </c>
      <c r="C209" s="45" t="s">
        <v>2012</v>
      </c>
      <c r="D209" s="35" t="s">
        <v>2013</v>
      </c>
      <c r="E209" s="33" t="s">
        <v>1736</v>
      </c>
      <c r="F209" s="33" t="s">
        <v>41</v>
      </c>
      <c r="G209" s="45" t="s">
        <v>1966</v>
      </c>
      <c r="H209" s="35" t="s">
        <v>2013</v>
      </c>
      <c r="I209" s="35" t="s">
        <v>2014</v>
      </c>
      <c r="J209" s="35"/>
      <c r="K209" s="35" t="s">
        <v>2015</v>
      </c>
      <c r="L209" s="33"/>
      <c r="M209" s="35" t="s">
        <v>2016</v>
      </c>
      <c r="N209" s="35"/>
      <c r="O209" s="33"/>
      <c r="P209" s="35"/>
      <c r="Q209" s="35"/>
      <c r="R209" s="35"/>
      <c r="S209" s="35"/>
      <c r="T209" s="35"/>
      <c r="U209" s="33"/>
      <c r="V209" s="33"/>
      <c r="W209" s="33"/>
      <c r="X209" s="33"/>
      <c r="Y209" s="33"/>
      <c r="Z209" s="33"/>
      <c r="AA209" s="33"/>
      <c r="AB209" s="33"/>
      <c r="AC209" s="33"/>
      <c r="AD209" s="33"/>
    </row>
    <row r="210" ht="24.75" customHeight="1">
      <c r="A210" s="29" t="s">
        <v>2017</v>
      </c>
      <c r="B210" s="45" t="s">
        <v>2018</v>
      </c>
      <c r="C210" s="45" t="s">
        <v>2019</v>
      </c>
      <c r="D210" s="35" t="s">
        <v>2020</v>
      </c>
      <c r="E210" s="33" t="s">
        <v>1039</v>
      </c>
      <c r="F210" s="33" t="s">
        <v>89</v>
      </c>
      <c r="G210" s="45" t="s">
        <v>1966</v>
      </c>
      <c r="H210" s="35" t="s">
        <v>2020</v>
      </c>
      <c r="I210" s="35" t="s">
        <v>2021</v>
      </c>
      <c r="J210" s="35"/>
      <c r="K210" s="35" t="s">
        <v>2022</v>
      </c>
      <c r="L210" s="33"/>
      <c r="M210" s="35" t="s">
        <v>2023</v>
      </c>
      <c r="N210" s="35"/>
      <c r="O210" s="33"/>
      <c r="P210" s="35"/>
      <c r="Q210" s="35"/>
      <c r="R210" s="35"/>
      <c r="S210" s="35"/>
      <c r="T210" s="35"/>
      <c r="U210" s="33"/>
      <c r="V210" s="33"/>
      <c r="W210" s="33"/>
      <c r="X210" s="33"/>
      <c r="Y210" s="33"/>
      <c r="Z210" s="33"/>
      <c r="AA210" s="33"/>
      <c r="AB210" s="33"/>
      <c r="AC210" s="33"/>
      <c r="AD210" s="33"/>
    </row>
    <row r="211" ht="24.75" customHeight="1">
      <c r="A211" s="29" t="s">
        <v>2024</v>
      </c>
      <c r="B211" s="45" t="s">
        <v>2025</v>
      </c>
      <c r="C211" s="45" t="s">
        <v>2026</v>
      </c>
      <c r="D211" s="35" t="s">
        <v>2020</v>
      </c>
      <c r="E211" s="33" t="s">
        <v>1039</v>
      </c>
      <c r="F211" s="33" t="s">
        <v>89</v>
      </c>
      <c r="G211" s="45" t="s">
        <v>1966</v>
      </c>
      <c r="H211" s="35" t="s">
        <v>2020</v>
      </c>
      <c r="I211" s="35" t="s">
        <v>2027</v>
      </c>
      <c r="J211" s="35"/>
      <c r="K211" s="35" t="s">
        <v>2028</v>
      </c>
      <c r="L211" s="33"/>
      <c r="M211" s="35" t="s">
        <v>2029</v>
      </c>
      <c r="N211" s="35"/>
      <c r="O211" s="33"/>
      <c r="P211" s="35"/>
      <c r="Q211" s="35"/>
      <c r="R211" s="35"/>
      <c r="S211" s="35"/>
      <c r="T211" s="35"/>
      <c r="U211" s="33"/>
      <c r="V211" s="33"/>
      <c r="W211" s="33"/>
      <c r="X211" s="33"/>
      <c r="Y211" s="33"/>
      <c r="Z211" s="33"/>
      <c r="AA211" s="33"/>
      <c r="AB211" s="33"/>
      <c r="AC211" s="33"/>
      <c r="AD211" s="33"/>
    </row>
    <row r="212" ht="24.75" customHeight="1">
      <c r="A212" s="29" t="s">
        <v>2030</v>
      </c>
      <c r="B212" s="45" t="s">
        <v>2031</v>
      </c>
      <c r="C212" s="45" t="s">
        <v>2032</v>
      </c>
      <c r="D212" s="35" t="s">
        <v>2020</v>
      </c>
      <c r="E212" s="33" t="s">
        <v>1039</v>
      </c>
      <c r="F212" s="33" t="s">
        <v>89</v>
      </c>
      <c r="G212" s="45" t="s">
        <v>1966</v>
      </c>
      <c r="H212" s="35" t="s">
        <v>2020</v>
      </c>
      <c r="I212" s="35" t="s">
        <v>2033</v>
      </c>
      <c r="J212" s="35"/>
      <c r="K212" s="35" t="s">
        <v>2034</v>
      </c>
      <c r="L212" s="33"/>
      <c r="M212" s="35" t="s">
        <v>2035</v>
      </c>
      <c r="N212" s="35"/>
      <c r="O212" s="33"/>
      <c r="P212" s="35"/>
      <c r="Q212" s="35"/>
      <c r="R212" s="35"/>
      <c r="S212" s="35"/>
      <c r="T212" s="35"/>
      <c r="U212" s="33"/>
      <c r="V212" s="33"/>
      <c r="W212" s="33"/>
      <c r="X212" s="33"/>
      <c r="Y212" s="33"/>
      <c r="Z212" s="33"/>
      <c r="AA212" s="33"/>
      <c r="AB212" s="33"/>
      <c r="AC212" s="33"/>
      <c r="AD212" s="33"/>
    </row>
    <row r="213" ht="24.75" customHeight="1">
      <c r="A213" s="36" t="s">
        <v>2036</v>
      </c>
      <c r="B213" s="49" t="s">
        <v>2037</v>
      </c>
      <c r="C213" s="15" t="s">
        <v>2038</v>
      </c>
      <c r="D213" s="67" t="s">
        <v>1808</v>
      </c>
      <c r="E213" s="18" t="s">
        <v>1039</v>
      </c>
      <c r="F213" s="18" t="s">
        <v>89</v>
      </c>
      <c r="G213" s="49" t="s">
        <v>2039</v>
      </c>
      <c r="H213" s="67" t="s">
        <v>2040</v>
      </c>
      <c r="I213" s="67" t="s">
        <v>2041</v>
      </c>
      <c r="J213" s="67"/>
      <c r="K213" s="67" t="s">
        <v>2042</v>
      </c>
      <c r="L213" s="18"/>
      <c r="M213" s="67" t="s">
        <v>2043</v>
      </c>
      <c r="N213" s="67"/>
      <c r="O213" s="18"/>
      <c r="P213" s="67"/>
      <c r="Q213" s="67"/>
      <c r="R213" s="67"/>
      <c r="S213" s="67"/>
      <c r="T213" s="67"/>
      <c r="U213" s="18"/>
      <c r="V213" s="18"/>
      <c r="W213" s="18"/>
      <c r="X213" s="18"/>
      <c r="Y213" s="18"/>
      <c r="Z213" s="18"/>
      <c r="AA213" s="18"/>
      <c r="AB213" s="18"/>
      <c r="AC213" s="18"/>
      <c r="AD213" s="18"/>
    </row>
    <row r="214" ht="24.75" customHeight="1">
      <c r="A214" s="36" t="s">
        <v>2044</v>
      </c>
      <c r="B214" s="49" t="s">
        <v>2045</v>
      </c>
      <c r="C214" s="15" t="s">
        <v>476</v>
      </c>
      <c r="D214" s="18" t="s">
        <v>1786</v>
      </c>
      <c r="E214" s="18" t="s">
        <v>54</v>
      </c>
      <c r="F214" s="18" t="s">
        <v>41</v>
      </c>
      <c r="G214" s="49" t="s">
        <v>2039</v>
      </c>
      <c r="H214" s="67" t="s">
        <v>2046</v>
      </c>
      <c r="I214" s="67" t="s">
        <v>2047</v>
      </c>
      <c r="J214" s="14"/>
      <c r="K214" s="67" t="s">
        <v>2048</v>
      </c>
      <c r="L214" s="14"/>
      <c r="M214" s="18" t="s">
        <v>2049</v>
      </c>
      <c r="N214" s="14"/>
      <c r="O214" s="14"/>
      <c r="P214" s="14"/>
      <c r="Q214" s="14"/>
      <c r="R214" s="14"/>
      <c r="S214" s="14"/>
      <c r="T214" s="14"/>
      <c r="U214" s="18"/>
      <c r="V214" s="18"/>
      <c r="W214" s="18"/>
      <c r="X214" s="18"/>
      <c r="Y214" s="18"/>
      <c r="Z214" s="18"/>
      <c r="AA214" s="18"/>
      <c r="AB214" s="18"/>
      <c r="AC214" s="18"/>
      <c r="AD214" s="18"/>
    </row>
    <row r="215" ht="24.75" customHeight="1">
      <c r="A215" s="36" t="s">
        <v>2050</v>
      </c>
      <c r="B215" s="49" t="s">
        <v>2051</v>
      </c>
      <c r="C215" s="15" t="s">
        <v>2052</v>
      </c>
      <c r="D215" s="18" t="s">
        <v>2053</v>
      </c>
      <c r="E215" s="18" t="s">
        <v>1926</v>
      </c>
      <c r="F215" s="18" t="s">
        <v>41</v>
      </c>
      <c r="G215" s="49" t="s">
        <v>2039</v>
      </c>
      <c r="H215" s="67" t="s">
        <v>2040</v>
      </c>
      <c r="I215" s="67" t="s">
        <v>2054</v>
      </c>
      <c r="J215" s="14"/>
      <c r="K215" s="67" t="s">
        <v>2055</v>
      </c>
      <c r="L215" s="14"/>
      <c r="M215" s="18" t="s">
        <v>2056</v>
      </c>
      <c r="N215" s="14"/>
      <c r="O215" s="14"/>
      <c r="P215" s="14"/>
      <c r="Q215" s="14"/>
      <c r="R215" s="14"/>
      <c r="S215" s="14"/>
      <c r="T215" s="14"/>
      <c r="U215" s="18"/>
      <c r="V215" s="18"/>
      <c r="W215" s="18"/>
      <c r="X215" s="18"/>
      <c r="Y215" s="18"/>
      <c r="Z215" s="18"/>
      <c r="AA215" s="18"/>
      <c r="AB215" s="18"/>
      <c r="AC215" s="18"/>
      <c r="AD215" s="18"/>
    </row>
    <row r="216" ht="24.75" customHeight="1">
      <c r="A216" s="36" t="s">
        <v>2057</v>
      </c>
      <c r="B216" s="49" t="s">
        <v>2058</v>
      </c>
      <c r="C216" s="15" t="s">
        <v>2059</v>
      </c>
      <c r="D216" s="18" t="s">
        <v>2060</v>
      </c>
      <c r="E216" s="18" t="s">
        <v>1268</v>
      </c>
      <c r="F216" s="18" t="s">
        <v>41</v>
      </c>
      <c r="G216" s="49" t="s">
        <v>2039</v>
      </c>
      <c r="H216" s="67" t="s">
        <v>2046</v>
      </c>
      <c r="I216" s="67" t="s">
        <v>2061</v>
      </c>
      <c r="J216" s="14"/>
      <c r="K216" s="67" t="s">
        <v>2062</v>
      </c>
      <c r="L216" s="14"/>
      <c r="M216" s="18" t="s">
        <v>2063</v>
      </c>
      <c r="N216" s="14"/>
      <c r="O216" s="14"/>
      <c r="P216" s="14"/>
      <c r="Q216" s="14"/>
      <c r="R216" s="14"/>
      <c r="S216" s="14"/>
      <c r="T216" s="14"/>
      <c r="U216" s="18"/>
      <c r="V216" s="18"/>
      <c r="W216" s="18"/>
      <c r="X216" s="18"/>
      <c r="Y216" s="18"/>
      <c r="Z216" s="18"/>
      <c r="AA216" s="18"/>
      <c r="AB216" s="18"/>
      <c r="AC216" s="18"/>
      <c r="AD216" s="18"/>
    </row>
    <row r="217" ht="24.75" customHeight="1">
      <c r="A217" s="36" t="s">
        <v>2064</v>
      </c>
      <c r="B217" s="49" t="s">
        <v>2065</v>
      </c>
      <c r="C217" s="15" t="s">
        <v>2066</v>
      </c>
      <c r="D217" s="18" t="s">
        <v>1766</v>
      </c>
      <c r="E217" s="18" t="s">
        <v>1268</v>
      </c>
      <c r="F217" s="18" t="s">
        <v>89</v>
      </c>
      <c r="G217" s="49" t="s">
        <v>2039</v>
      </c>
      <c r="H217" s="67" t="s">
        <v>2046</v>
      </c>
      <c r="I217" s="67" t="s">
        <v>44</v>
      </c>
      <c r="J217" s="14"/>
      <c r="K217" s="67" t="s">
        <v>2067</v>
      </c>
      <c r="L217" s="14"/>
      <c r="M217" s="18" t="s">
        <v>2068</v>
      </c>
      <c r="N217" s="14"/>
      <c r="O217" s="14"/>
      <c r="P217" s="14"/>
      <c r="Q217" s="14"/>
      <c r="R217" s="14"/>
      <c r="S217" s="14"/>
      <c r="T217" s="14"/>
      <c r="U217" s="18"/>
      <c r="V217" s="18"/>
      <c r="W217" s="18"/>
      <c r="X217" s="18"/>
      <c r="Y217" s="18"/>
      <c r="Z217" s="18"/>
      <c r="AA217" s="18"/>
      <c r="AB217" s="18"/>
      <c r="AC217" s="18"/>
      <c r="AD217" s="18"/>
    </row>
    <row r="218" ht="24.75" customHeight="1">
      <c r="A218" s="36" t="s">
        <v>2069</v>
      </c>
      <c r="B218" s="49" t="s">
        <v>2070</v>
      </c>
      <c r="C218" s="15" t="s">
        <v>2071</v>
      </c>
      <c r="D218" s="18" t="s">
        <v>2072</v>
      </c>
      <c r="E218" s="18" t="s">
        <v>1947</v>
      </c>
      <c r="F218" s="18" t="s">
        <v>41</v>
      </c>
      <c r="G218" s="49" t="s">
        <v>2039</v>
      </c>
      <c r="H218" s="67" t="s">
        <v>2046</v>
      </c>
      <c r="I218" s="67" t="s">
        <v>2073</v>
      </c>
      <c r="J218" s="14"/>
      <c r="K218" s="67" t="s">
        <v>2074</v>
      </c>
      <c r="L218" s="14"/>
      <c r="M218" s="18" t="s">
        <v>2075</v>
      </c>
      <c r="N218" s="14"/>
      <c r="O218" s="14"/>
      <c r="P218" s="14"/>
      <c r="Q218" s="14"/>
      <c r="R218" s="14"/>
      <c r="S218" s="14"/>
      <c r="T218" s="14"/>
      <c r="U218" s="18"/>
      <c r="V218" s="18"/>
      <c r="W218" s="18"/>
      <c r="X218" s="18"/>
      <c r="Y218" s="18"/>
      <c r="Z218" s="18"/>
      <c r="AA218" s="18"/>
      <c r="AB218" s="18"/>
      <c r="AC218" s="18"/>
      <c r="AD218" s="18"/>
    </row>
    <row r="219" ht="24.75" customHeight="1">
      <c r="A219" s="36" t="s">
        <v>2076</v>
      </c>
      <c r="B219" s="49" t="s">
        <v>2077</v>
      </c>
      <c r="C219" s="15" t="s">
        <v>2078</v>
      </c>
      <c r="D219" s="18" t="s">
        <v>2079</v>
      </c>
      <c r="E219" s="18" t="s">
        <v>27</v>
      </c>
      <c r="F219" s="18" t="s">
        <v>41</v>
      </c>
      <c r="G219" s="49" t="s">
        <v>2039</v>
      </c>
      <c r="H219" s="67" t="s">
        <v>2046</v>
      </c>
      <c r="I219" s="67" t="s">
        <v>2080</v>
      </c>
      <c r="J219" s="14"/>
      <c r="K219" s="67" t="s">
        <v>2081</v>
      </c>
      <c r="L219" s="14"/>
      <c r="M219" s="18" t="s">
        <v>2082</v>
      </c>
      <c r="N219" s="14"/>
      <c r="O219" s="14"/>
      <c r="P219" s="14"/>
      <c r="Q219" s="14"/>
      <c r="R219" s="14"/>
      <c r="S219" s="14"/>
      <c r="T219" s="14"/>
      <c r="U219" s="18"/>
      <c r="V219" s="18"/>
      <c r="W219" s="18"/>
      <c r="X219" s="18"/>
      <c r="Y219" s="18"/>
      <c r="Z219" s="18"/>
      <c r="AA219" s="18"/>
      <c r="AB219" s="18"/>
      <c r="AC219" s="18"/>
      <c r="AD219" s="18"/>
    </row>
    <row r="220" ht="24.75" customHeight="1">
      <c r="A220" s="36" t="s">
        <v>2083</v>
      </c>
      <c r="B220" s="49" t="s">
        <v>2084</v>
      </c>
      <c r="C220" s="15" t="s">
        <v>2085</v>
      </c>
      <c r="D220" s="18" t="s">
        <v>2086</v>
      </c>
      <c r="E220" s="18" t="s">
        <v>27</v>
      </c>
      <c r="F220" s="18" t="s">
        <v>89</v>
      </c>
      <c r="G220" s="49" t="s">
        <v>2039</v>
      </c>
      <c r="H220" s="67" t="s">
        <v>2046</v>
      </c>
      <c r="I220" s="67" t="s">
        <v>2087</v>
      </c>
      <c r="J220" s="14"/>
      <c r="K220" s="67" t="s">
        <v>2088</v>
      </c>
      <c r="L220" s="14"/>
      <c r="M220" s="18" t="s">
        <v>2089</v>
      </c>
      <c r="N220" s="14"/>
      <c r="O220" s="14"/>
      <c r="P220" s="14"/>
      <c r="Q220" s="14"/>
      <c r="R220" s="14"/>
      <c r="S220" s="14"/>
      <c r="T220" s="14"/>
      <c r="U220" s="18"/>
      <c r="V220" s="18"/>
      <c r="W220" s="18"/>
      <c r="X220" s="18"/>
      <c r="Y220" s="18"/>
      <c r="Z220" s="18"/>
      <c r="AA220" s="18"/>
      <c r="AB220" s="18"/>
      <c r="AC220" s="18"/>
      <c r="AD220" s="18"/>
    </row>
    <row r="221" ht="24.75" customHeight="1">
      <c r="A221" s="36" t="s">
        <v>2090</v>
      </c>
      <c r="B221" s="49" t="s">
        <v>2091</v>
      </c>
      <c r="C221" s="15" t="s">
        <v>2092</v>
      </c>
      <c r="D221" s="18" t="s">
        <v>2093</v>
      </c>
      <c r="E221" s="18" t="s">
        <v>465</v>
      </c>
      <c r="F221" s="18" t="s">
        <v>89</v>
      </c>
      <c r="G221" s="49" t="s">
        <v>2039</v>
      </c>
      <c r="H221" s="67" t="s">
        <v>2040</v>
      </c>
      <c r="I221" s="67" t="s">
        <v>2094</v>
      </c>
      <c r="J221" s="14"/>
      <c r="K221" s="67" t="s">
        <v>2095</v>
      </c>
      <c r="L221" s="14"/>
      <c r="M221" s="18" t="s">
        <v>2096</v>
      </c>
      <c r="N221" s="14"/>
      <c r="O221" s="14"/>
      <c r="P221" s="14"/>
      <c r="Q221" s="14"/>
      <c r="R221" s="14"/>
      <c r="S221" s="14"/>
      <c r="T221" s="14"/>
      <c r="U221" s="18"/>
      <c r="V221" s="18"/>
      <c r="W221" s="18"/>
      <c r="X221" s="18"/>
      <c r="Y221" s="18"/>
      <c r="Z221" s="18"/>
      <c r="AA221" s="18"/>
      <c r="AB221" s="18"/>
      <c r="AC221" s="18"/>
      <c r="AD221" s="18"/>
    </row>
    <row r="222" ht="24.75" customHeight="1">
      <c r="A222" s="28" t="s">
        <v>2097</v>
      </c>
      <c r="B222" s="53" t="s">
        <v>2098</v>
      </c>
      <c r="C222" s="24" t="s">
        <v>2099</v>
      </c>
      <c r="D222" s="26" t="s">
        <v>2100</v>
      </c>
      <c r="E222" s="26" t="s">
        <v>1039</v>
      </c>
      <c r="F222" s="26" t="s">
        <v>89</v>
      </c>
      <c r="G222" s="53" t="s">
        <v>2101</v>
      </c>
      <c r="H222" s="54" t="s">
        <v>2102</v>
      </c>
      <c r="I222" s="53" t="s">
        <v>2103</v>
      </c>
      <c r="J222" s="24" t="s">
        <v>2104</v>
      </c>
      <c r="K222" s="54" t="s">
        <v>2105</v>
      </c>
      <c r="L222" s="23"/>
      <c r="M222" s="26"/>
      <c r="N222" s="23"/>
      <c r="O222" s="23"/>
      <c r="P222" s="23"/>
      <c r="Q222" s="23"/>
      <c r="R222" s="23"/>
      <c r="S222" s="23"/>
      <c r="T222" s="23"/>
      <c r="U222" s="26"/>
      <c r="V222" s="26"/>
      <c r="W222" s="26"/>
      <c r="X222" s="26"/>
      <c r="Y222" s="26"/>
      <c r="Z222" s="26"/>
      <c r="AA222" s="26"/>
      <c r="AB222" s="26"/>
      <c r="AC222" s="26"/>
      <c r="AD222" s="26"/>
    </row>
    <row r="223" ht="24.75" customHeight="1">
      <c r="A223" s="28" t="s">
        <v>2106</v>
      </c>
      <c r="B223" s="53" t="s">
        <v>2107</v>
      </c>
      <c r="C223" s="24" t="s">
        <v>2108</v>
      </c>
      <c r="D223" s="26" t="s">
        <v>2109</v>
      </c>
      <c r="E223" s="65" t="s">
        <v>1736</v>
      </c>
      <c r="F223" s="26" t="s">
        <v>41</v>
      </c>
      <c r="G223" s="53" t="s">
        <v>2101</v>
      </c>
      <c r="H223" s="54" t="s">
        <v>2110</v>
      </c>
      <c r="I223" s="53" t="s">
        <v>2080</v>
      </c>
      <c r="J223" s="24" t="s">
        <v>2111</v>
      </c>
      <c r="K223" s="54" t="s">
        <v>2112</v>
      </c>
      <c r="L223" s="23"/>
      <c r="M223" s="26"/>
      <c r="N223" s="23"/>
      <c r="O223" s="23"/>
      <c r="P223" s="23"/>
      <c r="Q223" s="23"/>
      <c r="R223" s="23"/>
      <c r="S223" s="23"/>
      <c r="T223" s="23"/>
      <c r="U223" s="26"/>
      <c r="V223" s="26"/>
      <c r="W223" s="26"/>
      <c r="X223" s="26"/>
      <c r="Y223" s="26"/>
      <c r="Z223" s="26"/>
      <c r="AA223" s="26"/>
      <c r="AB223" s="26"/>
      <c r="AC223" s="26"/>
      <c r="AD223" s="26"/>
    </row>
    <row r="224" ht="24.75" customHeight="1">
      <c r="A224" s="28" t="s">
        <v>2113</v>
      </c>
      <c r="B224" s="53" t="s">
        <v>2114</v>
      </c>
      <c r="C224" s="24" t="s">
        <v>2115</v>
      </c>
      <c r="D224" s="26" t="s">
        <v>2116</v>
      </c>
      <c r="E224" s="65" t="s">
        <v>1268</v>
      </c>
      <c r="F224" s="26" t="s">
        <v>89</v>
      </c>
      <c r="G224" s="53" t="s">
        <v>2101</v>
      </c>
      <c r="H224" s="54" t="s">
        <v>2117</v>
      </c>
      <c r="I224" s="53" t="s">
        <v>2118</v>
      </c>
      <c r="J224" s="24" t="s">
        <v>2119</v>
      </c>
      <c r="K224" s="54" t="s">
        <v>2120</v>
      </c>
      <c r="L224" s="23"/>
      <c r="M224" s="26"/>
      <c r="N224" s="23"/>
      <c r="O224" s="23"/>
      <c r="P224" s="23"/>
      <c r="Q224" s="23"/>
      <c r="R224" s="23"/>
      <c r="S224" s="23"/>
      <c r="T224" s="23"/>
      <c r="U224" s="26"/>
      <c r="V224" s="26"/>
      <c r="W224" s="26"/>
      <c r="X224" s="26"/>
      <c r="Y224" s="26"/>
      <c r="Z224" s="26"/>
      <c r="AA224" s="26"/>
      <c r="AB224" s="26"/>
      <c r="AC224" s="26"/>
      <c r="AD224" s="26"/>
    </row>
    <row r="225" ht="24.75" customHeight="1">
      <c r="A225" s="28" t="s">
        <v>2121</v>
      </c>
      <c r="B225" s="53" t="s">
        <v>2122</v>
      </c>
      <c r="C225" s="24" t="s">
        <v>2123</v>
      </c>
      <c r="D225" s="26" t="s">
        <v>2124</v>
      </c>
      <c r="E225" s="65" t="s">
        <v>1268</v>
      </c>
      <c r="F225" s="26" t="s">
        <v>89</v>
      </c>
      <c r="G225" s="53" t="s">
        <v>2101</v>
      </c>
      <c r="H225" s="54" t="s">
        <v>2125</v>
      </c>
      <c r="I225" s="53" t="s">
        <v>2126</v>
      </c>
      <c r="J225" s="24" t="s">
        <v>2127</v>
      </c>
      <c r="K225" s="54" t="s">
        <v>2128</v>
      </c>
      <c r="L225" s="23"/>
      <c r="M225" s="26"/>
      <c r="N225" s="23"/>
      <c r="O225" s="23"/>
      <c r="P225" s="23"/>
      <c r="Q225" s="23"/>
      <c r="R225" s="23"/>
      <c r="S225" s="23"/>
      <c r="T225" s="23"/>
      <c r="U225" s="26"/>
      <c r="V225" s="26"/>
      <c r="W225" s="26"/>
      <c r="X225" s="26"/>
      <c r="Y225" s="26"/>
      <c r="Z225" s="26"/>
      <c r="AA225" s="26"/>
      <c r="AB225" s="26"/>
      <c r="AC225" s="26"/>
      <c r="AD225" s="26"/>
    </row>
    <row r="226" ht="24.75" customHeight="1">
      <c r="A226" s="28" t="s">
        <v>2129</v>
      </c>
      <c r="B226" s="53" t="s">
        <v>2130</v>
      </c>
      <c r="C226" s="24" t="s">
        <v>2131</v>
      </c>
      <c r="D226" s="26" t="s">
        <v>2132</v>
      </c>
      <c r="E226" s="26" t="s">
        <v>1268</v>
      </c>
      <c r="F226" s="26" t="s">
        <v>41</v>
      </c>
      <c r="G226" s="53" t="s">
        <v>2101</v>
      </c>
      <c r="H226" s="54" t="s">
        <v>2117</v>
      </c>
      <c r="I226" s="53" t="s">
        <v>2133</v>
      </c>
      <c r="J226" s="24" t="s">
        <v>2119</v>
      </c>
      <c r="K226" s="54" t="s">
        <v>2134</v>
      </c>
      <c r="L226" s="23"/>
      <c r="M226" s="26"/>
      <c r="N226" s="23"/>
      <c r="O226" s="23"/>
      <c r="P226" s="23"/>
      <c r="Q226" s="23"/>
      <c r="R226" s="23"/>
      <c r="S226" s="23"/>
      <c r="T226" s="23"/>
      <c r="U226" s="26"/>
      <c r="V226" s="26"/>
      <c r="W226" s="26"/>
      <c r="X226" s="26"/>
      <c r="Y226" s="26"/>
      <c r="Z226" s="26"/>
      <c r="AA226" s="26"/>
      <c r="AB226" s="26"/>
      <c r="AC226" s="26"/>
      <c r="AD226" s="26"/>
    </row>
    <row r="227" ht="24.75" customHeight="1">
      <c r="A227" s="28" t="s">
        <v>2135</v>
      </c>
      <c r="B227" s="53" t="s">
        <v>2136</v>
      </c>
      <c r="C227" s="24" t="s">
        <v>2137</v>
      </c>
      <c r="D227" s="26" t="s">
        <v>2072</v>
      </c>
      <c r="E227" s="26" t="s">
        <v>1947</v>
      </c>
      <c r="F227" s="26" t="s">
        <v>41</v>
      </c>
      <c r="G227" s="53" t="s">
        <v>2101</v>
      </c>
      <c r="H227" s="54" t="s">
        <v>2138</v>
      </c>
      <c r="I227" s="53" t="s">
        <v>2139</v>
      </c>
      <c r="J227" s="24" t="s">
        <v>2140</v>
      </c>
      <c r="K227" s="54" t="s">
        <v>2141</v>
      </c>
      <c r="L227" s="23"/>
      <c r="M227" s="26"/>
      <c r="N227" s="23"/>
      <c r="O227" s="23"/>
      <c r="P227" s="23"/>
      <c r="Q227" s="23"/>
      <c r="R227" s="23"/>
      <c r="S227" s="23"/>
      <c r="T227" s="23"/>
      <c r="U227" s="26"/>
      <c r="V227" s="26"/>
      <c r="W227" s="26"/>
      <c r="X227" s="26"/>
      <c r="Y227" s="26"/>
      <c r="Z227" s="26"/>
      <c r="AA227" s="26"/>
      <c r="AB227" s="26"/>
      <c r="AC227" s="26"/>
      <c r="AD227" s="26"/>
    </row>
    <row r="228" ht="24.75" customHeight="1">
      <c r="A228" s="28" t="s">
        <v>2142</v>
      </c>
      <c r="B228" s="53" t="s">
        <v>2143</v>
      </c>
      <c r="C228" s="24" t="s">
        <v>2144</v>
      </c>
      <c r="D228" s="26" t="s">
        <v>2145</v>
      </c>
      <c r="E228" s="26" t="s">
        <v>27</v>
      </c>
      <c r="F228" s="26" t="s">
        <v>89</v>
      </c>
      <c r="G228" s="53" t="s">
        <v>2101</v>
      </c>
      <c r="H228" s="54" t="s">
        <v>2146</v>
      </c>
      <c r="I228" s="53" t="s">
        <v>2147</v>
      </c>
      <c r="J228" s="24" t="s">
        <v>2148</v>
      </c>
      <c r="K228" s="54" t="s">
        <v>2149</v>
      </c>
      <c r="L228" s="23"/>
      <c r="M228" s="26"/>
      <c r="N228" s="23"/>
      <c r="O228" s="23"/>
      <c r="P228" s="23"/>
      <c r="Q228" s="23"/>
      <c r="R228" s="23"/>
      <c r="S228" s="23"/>
      <c r="T228" s="23"/>
      <c r="U228" s="26"/>
      <c r="V228" s="26"/>
      <c r="W228" s="26"/>
      <c r="X228" s="26"/>
      <c r="Y228" s="26"/>
      <c r="Z228" s="26"/>
      <c r="AA228" s="26"/>
      <c r="AB228" s="26"/>
      <c r="AC228" s="26"/>
      <c r="AD228" s="26"/>
    </row>
    <row r="229" ht="24.75" customHeight="1">
      <c r="A229" s="28" t="s">
        <v>2150</v>
      </c>
      <c r="B229" s="53" t="s">
        <v>2151</v>
      </c>
      <c r="C229" s="24" t="s">
        <v>2152</v>
      </c>
      <c r="D229" s="26" t="s">
        <v>2153</v>
      </c>
      <c r="E229" s="26" t="s">
        <v>27</v>
      </c>
      <c r="F229" s="26" t="s">
        <v>89</v>
      </c>
      <c r="G229" s="53" t="s">
        <v>2101</v>
      </c>
      <c r="H229" s="54" t="s">
        <v>2154</v>
      </c>
      <c r="I229" s="54" t="s">
        <v>2155</v>
      </c>
      <c r="J229" s="24" t="s">
        <v>2156</v>
      </c>
      <c r="K229" s="54" t="s">
        <v>2157</v>
      </c>
      <c r="L229" s="23"/>
      <c r="M229" s="26"/>
      <c r="N229" s="23"/>
      <c r="O229" s="23"/>
      <c r="P229" s="23"/>
      <c r="Q229" s="23"/>
      <c r="R229" s="23"/>
      <c r="S229" s="23"/>
      <c r="T229" s="23"/>
      <c r="U229" s="26"/>
      <c r="V229" s="26"/>
      <c r="W229" s="26"/>
      <c r="X229" s="26"/>
      <c r="Y229" s="26"/>
      <c r="Z229" s="26"/>
      <c r="AA229" s="26"/>
      <c r="AB229" s="26"/>
      <c r="AC229" s="26"/>
      <c r="AD229" s="26"/>
    </row>
    <row r="230" ht="24.75" customHeight="1">
      <c r="A230" s="28" t="s">
        <v>2158</v>
      </c>
      <c r="B230" s="53" t="s">
        <v>2159</v>
      </c>
      <c r="C230" s="24" t="s">
        <v>2160</v>
      </c>
      <c r="D230" s="26" t="s">
        <v>2093</v>
      </c>
      <c r="E230" s="26" t="s">
        <v>465</v>
      </c>
      <c r="F230" s="26" t="s">
        <v>41</v>
      </c>
      <c r="G230" s="53" t="s">
        <v>2101</v>
      </c>
      <c r="H230" s="54" t="s">
        <v>2117</v>
      </c>
      <c r="I230" s="54" t="s">
        <v>2161</v>
      </c>
      <c r="J230" s="24" t="s">
        <v>2162</v>
      </c>
      <c r="K230" s="54" t="s">
        <v>2163</v>
      </c>
      <c r="L230" s="23"/>
      <c r="M230" s="26"/>
      <c r="N230" s="23"/>
      <c r="O230" s="23"/>
      <c r="P230" s="23"/>
      <c r="Q230" s="23"/>
      <c r="R230" s="23"/>
      <c r="S230" s="23"/>
      <c r="T230" s="23"/>
      <c r="U230" s="26"/>
      <c r="V230" s="26"/>
      <c r="W230" s="26"/>
      <c r="X230" s="26"/>
      <c r="Y230" s="26"/>
      <c r="Z230" s="26"/>
      <c r="AA230" s="26"/>
      <c r="AB230" s="26"/>
      <c r="AC230" s="26"/>
      <c r="AD230" s="26"/>
    </row>
    <row r="231" ht="24.75" customHeight="1">
      <c r="A231" s="28" t="s">
        <v>2164</v>
      </c>
      <c r="B231" s="53" t="s">
        <v>2165</v>
      </c>
      <c r="C231" s="24" t="s">
        <v>2166</v>
      </c>
      <c r="D231" s="26" t="s">
        <v>2167</v>
      </c>
      <c r="E231" s="26" t="s">
        <v>1188</v>
      </c>
      <c r="F231" s="26" t="s">
        <v>41</v>
      </c>
      <c r="G231" s="53" t="s">
        <v>2101</v>
      </c>
      <c r="H231" s="54" t="s">
        <v>2168</v>
      </c>
      <c r="I231" s="54" t="s">
        <v>1190</v>
      </c>
      <c r="J231" s="24" t="s">
        <v>2169</v>
      </c>
      <c r="K231" s="54" t="s">
        <v>2170</v>
      </c>
      <c r="L231" s="23"/>
      <c r="M231" s="26"/>
      <c r="N231" s="23"/>
      <c r="O231" s="23"/>
      <c r="P231" s="23"/>
      <c r="Q231" s="23"/>
      <c r="R231" s="23"/>
      <c r="S231" s="23"/>
      <c r="T231" s="23"/>
      <c r="U231" s="26"/>
      <c r="V231" s="26"/>
      <c r="W231" s="26"/>
      <c r="X231" s="26"/>
      <c r="Y231" s="26"/>
      <c r="Z231" s="26"/>
      <c r="AA231" s="26"/>
      <c r="AB231" s="26"/>
      <c r="AC231" s="26"/>
      <c r="AD231" s="26"/>
    </row>
    <row r="232" ht="24.75" customHeight="1">
      <c r="A232" s="28" t="s">
        <v>2171</v>
      </c>
      <c r="B232" s="53" t="s">
        <v>2172</v>
      </c>
      <c r="C232" s="24" t="s">
        <v>2173</v>
      </c>
      <c r="D232" s="26" t="s">
        <v>2174</v>
      </c>
      <c r="E232" s="26" t="s">
        <v>1039</v>
      </c>
      <c r="F232" s="26" t="s">
        <v>89</v>
      </c>
      <c r="G232" s="53" t="s">
        <v>2101</v>
      </c>
      <c r="H232" s="54" t="s">
        <v>2175</v>
      </c>
      <c r="I232" s="54" t="s">
        <v>2176</v>
      </c>
      <c r="J232" s="24" t="s">
        <v>2119</v>
      </c>
      <c r="K232" s="54" t="s">
        <v>2177</v>
      </c>
      <c r="L232" s="23"/>
      <c r="M232" s="26"/>
      <c r="N232" s="23"/>
      <c r="O232" s="23"/>
      <c r="P232" s="23"/>
      <c r="Q232" s="23"/>
      <c r="R232" s="23"/>
      <c r="S232" s="23"/>
      <c r="T232" s="23"/>
      <c r="U232" s="26"/>
      <c r="V232" s="26"/>
      <c r="W232" s="26"/>
      <c r="X232" s="26"/>
      <c r="Y232" s="26"/>
      <c r="Z232" s="26"/>
      <c r="AA232" s="26"/>
      <c r="AB232" s="26"/>
      <c r="AC232" s="26"/>
      <c r="AD232" s="26"/>
    </row>
    <row r="233" ht="24.75" customHeight="1">
      <c r="A233" s="28" t="s">
        <v>2178</v>
      </c>
      <c r="B233" s="53" t="s">
        <v>2179</v>
      </c>
      <c r="C233" s="24" t="s">
        <v>2180</v>
      </c>
      <c r="D233" s="26" t="s">
        <v>2181</v>
      </c>
      <c r="E233" s="26" t="s">
        <v>1268</v>
      </c>
      <c r="F233" s="26" t="s">
        <v>89</v>
      </c>
      <c r="G233" s="53" t="s">
        <v>2101</v>
      </c>
      <c r="H233" s="54" t="s">
        <v>2117</v>
      </c>
      <c r="I233" s="68" t="s">
        <v>2182</v>
      </c>
      <c r="J233" s="24" t="s">
        <v>2183</v>
      </c>
      <c r="K233" s="54" t="s">
        <v>2184</v>
      </c>
      <c r="L233" s="23"/>
      <c r="M233" s="26"/>
      <c r="N233" s="23"/>
      <c r="O233" s="23"/>
      <c r="P233" s="23"/>
      <c r="Q233" s="23"/>
      <c r="R233" s="23"/>
      <c r="S233" s="23"/>
      <c r="T233" s="23"/>
      <c r="U233" s="26"/>
      <c r="V233" s="26"/>
      <c r="W233" s="26"/>
      <c r="X233" s="26"/>
      <c r="Y233" s="26"/>
      <c r="Z233" s="26"/>
      <c r="AA233" s="26"/>
      <c r="AB233" s="26"/>
      <c r="AC233" s="26"/>
      <c r="AD233" s="26"/>
    </row>
    <row r="234" ht="24.75" customHeight="1">
      <c r="A234" s="29" t="s">
        <v>2185</v>
      </c>
      <c r="B234" s="45" t="s">
        <v>2186</v>
      </c>
      <c r="C234" s="45" t="s">
        <v>2187</v>
      </c>
      <c r="D234" s="33" t="s">
        <v>2188</v>
      </c>
      <c r="E234" s="45" t="s">
        <v>1947</v>
      </c>
      <c r="F234" s="45" t="s">
        <v>41</v>
      </c>
      <c r="G234" s="31" t="s">
        <v>2189</v>
      </c>
      <c r="H234" s="30"/>
      <c r="I234" s="35" t="s">
        <v>2190</v>
      </c>
      <c r="J234" s="30"/>
      <c r="K234" s="35" t="s">
        <v>2191</v>
      </c>
      <c r="L234" s="30"/>
      <c r="M234" s="33"/>
      <c r="N234" s="30"/>
      <c r="O234" s="30"/>
      <c r="P234" s="30"/>
      <c r="Q234" s="30"/>
      <c r="R234" s="30"/>
      <c r="S234" s="30"/>
      <c r="T234" s="30"/>
      <c r="U234" s="33"/>
      <c r="V234" s="33"/>
      <c r="W234" s="33"/>
      <c r="X234" s="33"/>
      <c r="Y234" s="33"/>
      <c r="Z234" s="33"/>
      <c r="AA234" s="33"/>
      <c r="AB234" s="33"/>
      <c r="AC234" s="33"/>
      <c r="AD234" s="33"/>
    </row>
    <row r="235" ht="24.75" customHeight="1">
      <c r="A235" s="29" t="s">
        <v>2192</v>
      </c>
      <c r="B235" s="45" t="s">
        <v>2193</v>
      </c>
      <c r="C235" s="45" t="s">
        <v>2194</v>
      </c>
      <c r="D235" s="33" t="s">
        <v>2195</v>
      </c>
      <c r="E235" s="45" t="s">
        <v>1268</v>
      </c>
      <c r="F235" s="45" t="s">
        <v>89</v>
      </c>
      <c r="G235" s="31" t="s">
        <v>2189</v>
      </c>
      <c r="H235" s="30"/>
      <c r="I235" s="35" t="s">
        <v>2196</v>
      </c>
      <c r="J235" s="30"/>
      <c r="K235" s="35" t="s">
        <v>2197</v>
      </c>
      <c r="L235" s="30"/>
      <c r="M235" s="33"/>
      <c r="N235" s="30"/>
      <c r="O235" s="30"/>
      <c r="P235" s="30"/>
      <c r="Q235" s="30"/>
      <c r="R235" s="30"/>
      <c r="S235" s="30"/>
      <c r="T235" s="30"/>
      <c r="U235" s="33"/>
      <c r="V235" s="33"/>
      <c r="W235" s="33"/>
      <c r="X235" s="33"/>
      <c r="Y235" s="33"/>
      <c r="Z235" s="33"/>
      <c r="AA235" s="33"/>
      <c r="AB235" s="33"/>
      <c r="AC235" s="33"/>
      <c r="AD235" s="33"/>
    </row>
    <row r="236" ht="24.75" customHeight="1">
      <c r="A236" s="29" t="s">
        <v>2198</v>
      </c>
      <c r="B236" s="45" t="s">
        <v>2199</v>
      </c>
      <c r="C236" s="45" t="s">
        <v>2200</v>
      </c>
      <c r="D236" s="33" t="s">
        <v>2201</v>
      </c>
      <c r="E236" s="45" t="s">
        <v>2202</v>
      </c>
      <c r="F236" s="45" t="s">
        <v>41</v>
      </c>
      <c r="G236" s="31" t="s">
        <v>2189</v>
      </c>
      <c r="H236" s="30"/>
      <c r="I236" s="35" t="s">
        <v>2203</v>
      </c>
      <c r="J236" s="30"/>
      <c r="K236" s="35" t="s">
        <v>2204</v>
      </c>
      <c r="L236" s="30"/>
      <c r="M236" s="33"/>
      <c r="N236" s="30"/>
      <c r="O236" s="30"/>
      <c r="P236" s="30"/>
      <c r="Q236" s="30"/>
      <c r="R236" s="30"/>
      <c r="S236" s="30"/>
      <c r="T236" s="30"/>
      <c r="U236" s="33"/>
      <c r="V236" s="33"/>
      <c r="W236" s="33"/>
      <c r="X236" s="33"/>
      <c r="Y236" s="33"/>
      <c r="Z236" s="33"/>
      <c r="AA236" s="33"/>
      <c r="AB236" s="33"/>
      <c r="AC236" s="33"/>
      <c r="AD236" s="33"/>
    </row>
    <row r="237" ht="24.75" customHeight="1">
      <c r="A237" s="29" t="s">
        <v>2205</v>
      </c>
      <c r="B237" s="45" t="s">
        <v>2206</v>
      </c>
      <c r="C237" s="45" t="s">
        <v>2207</v>
      </c>
      <c r="D237" s="33" t="s">
        <v>2208</v>
      </c>
      <c r="E237" s="45" t="s">
        <v>1268</v>
      </c>
      <c r="F237" s="45" t="s">
        <v>89</v>
      </c>
      <c r="G237" s="31" t="s">
        <v>2189</v>
      </c>
      <c r="H237" s="30"/>
      <c r="I237" s="35" t="s">
        <v>2209</v>
      </c>
      <c r="J237" s="30"/>
      <c r="K237" s="35" t="s">
        <v>2210</v>
      </c>
      <c r="L237" s="30"/>
      <c r="M237" s="33"/>
      <c r="N237" s="30"/>
      <c r="O237" s="30"/>
      <c r="P237" s="30"/>
      <c r="Q237" s="30"/>
      <c r="R237" s="30"/>
      <c r="S237" s="30"/>
      <c r="T237" s="30"/>
      <c r="U237" s="33"/>
      <c r="V237" s="33"/>
      <c r="W237" s="33"/>
      <c r="X237" s="33"/>
      <c r="Y237" s="33"/>
      <c r="Z237" s="33"/>
      <c r="AA237" s="33"/>
      <c r="AB237" s="33"/>
      <c r="AC237" s="33"/>
      <c r="AD237" s="33"/>
    </row>
    <row r="238" ht="24.75" customHeight="1">
      <c r="A238" s="29" t="s">
        <v>2211</v>
      </c>
      <c r="B238" s="45" t="s">
        <v>2212</v>
      </c>
      <c r="C238" s="45" t="s">
        <v>2213</v>
      </c>
      <c r="D238" s="33" t="s">
        <v>2214</v>
      </c>
      <c r="E238" s="45" t="s">
        <v>54</v>
      </c>
      <c r="F238" s="45" t="s">
        <v>89</v>
      </c>
      <c r="G238" s="31" t="s">
        <v>2189</v>
      </c>
      <c r="H238" s="30"/>
      <c r="I238" s="35" t="s">
        <v>2215</v>
      </c>
      <c r="J238" s="30"/>
      <c r="K238" s="35" t="s">
        <v>2216</v>
      </c>
      <c r="L238" s="30"/>
      <c r="M238" s="33"/>
      <c r="N238" s="30"/>
      <c r="O238" s="30"/>
      <c r="P238" s="30"/>
      <c r="Q238" s="30"/>
      <c r="R238" s="30"/>
      <c r="S238" s="30"/>
      <c r="T238" s="30"/>
      <c r="U238" s="33"/>
      <c r="V238" s="33"/>
      <c r="W238" s="33"/>
      <c r="X238" s="33"/>
      <c r="Y238" s="33"/>
      <c r="Z238" s="33"/>
      <c r="AA238" s="33"/>
      <c r="AB238" s="33"/>
      <c r="AC238" s="33"/>
      <c r="AD238" s="33"/>
    </row>
    <row r="239" ht="24.75" customHeight="1">
      <c r="A239" s="29" t="s">
        <v>2217</v>
      </c>
      <c r="B239" s="45" t="s">
        <v>2218</v>
      </c>
      <c r="C239" s="45" t="s">
        <v>2219</v>
      </c>
      <c r="D239" s="33" t="s">
        <v>2093</v>
      </c>
      <c r="E239" s="45" t="s">
        <v>465</v>
      </c>
      <c r="F239" s="45" t="s">
        <v>41</v>
      </c>
      <c r="G239" s="31" t="s">
        <v>2189</v>
      </c>
      <c r="H239" s="30"/>
      <c r="I239" s="35" t="s">
        <v>2133</v>
      </c>
      <c r="J239" s="30"/>
      <c r="K239" s="35" t="s">
        <v>2220</v>
      </c>
      <c r="L239" s="30"/>
      <c r="M239" s="33"/>
      <c r="N239" s="30"/>
      <c r="O239" s="30"/>
      <c r="P239" s="30"/>
      <c r="Q239" s="30"/>
      <c r="R239" s="30"/>
      <c r="S239" s="30"/>
      <c r="T239" s="30"/>
      <c r="U239" s="33"/>
      <c r="V239" s="33"/>
      <c r="W239" s="33"/>
      <c r="X239" s="33"/>
      <c r="Y239" s="33"/>
      <c r="Z239" s="33"/>
      <c r="AA239" s="33"/>
      <c r="AB239" s="33"/>
      <c r="AC239" s="33"/>
      <c r="AD239" s="33"/>
    </row>
    <row r="240" ht="24.75" customHeight="1">
      <c r="A240" s="29" t="s">
        <v>2221</v>
      </c>
      <c r="B240" s="45" t="s">
        <v>2222</v>
      </c>
      <c r="C240" s="45" t="s">
        <v>2223</v>
      </c>
      <c r="D240" s="33" t="s">
        <v>2224</v>
      </c>
      <c r="E240" s="45" t="s">
        <v>1188</v>
      </c>
      <c r="F240" s="45" t="s">
        <v>41</v>
      </c>
      <c r="G240" s="31" t="s">
        <v>2189</v>
      </c>
      <c r="H240" s="30"/>
      <c r="I240" s="35" t="s">
        <v>2225</v>
      </c>
      <c r="J240" s="30"/>
      <c r="K240" s="35" t="s">
        <v>2226</v>
      </c>
      <c r="L240" s="30"/>
      <c r="M240" s="33"/>
      <c r="N240" s="30"/>
      <c r="O240" s="30"/>
      <c r="P240" s="30"/>
      <c r="Q240" s="30"/>
      <c r="R240" s="30"/>
      <c r="S240" s="30"/>
      <c r="T240" s="30"/>
      <c r="U240" s="33"/>
      <c r="V240" s="33"/>
      <c r="W240" s="33"/>
      <c r="X240" s="33"/>
      <c r="Y240" s="33"/>
      <c r="Z240" s="33"/>
      <c r="AA240" s="33"/>
      <c r="AB240" s="33"/>
      <c r="AC240" s="33"/>
      <c r="AD240" s="33"/>
    </row>
    <row r="241" ht="24.75" customHeight="1">
      <c r="A241" s="29" t="s">
        <v>2227</v>
      </c>
      <c r="B241" s="45" t="s">
        <v>2228</v>
      </c>
      <c r="C241" s="45" t="s">
        <v>2229</v>
      </c>
      <c r="D241" s="33" t="s">
        <v>2230</v>
      </c>
      <c r="E241" s="45" t="s">
        <v>1947</v>
      </c>
      <c r="F241" s="45" t="s">
        <v>41</v>
      </c>
      <c r="G241" s="31" t="s">
        <v>2189</v>
      </c>
      <c r="H241" s="30"/>
      <c r="I241" s="35" t="s">
        <v>2231</v>
      </c>
      <c r="J241" s="30"/>
      <c r="K241" s="35" t="s">
        <v>2232</v>
      </c>
      <c r="L241" s="30"/>
      <c r="M241" s="33"/>
      <c r="N241" s="30"/>
      <c r="O241" s="30"/>
      <c r="P241" s="30"/>
      <c r="Q241" s="30"/>
      <c r="R241" s="30"/>
      <c r="S241" s="30"/>
      <c r="T241" s="30"/>
      <c r="U241" s="33"/>
      <c r="V241" s="33"/>
      <c r="W241" s="33"/>
      <c r="X241" s="33"/>
      <c r="Y241" s="33"/>
      <c r="Z241" s="33"/>
      <c r="AA241" s="33"/>
      <c r="AB241" s="33"/>
      <c r="AC241" s="33"/>
      <c r="AD241" s="33"/>
    </row>
    <row r="242" ht="24.75" customHeight="1">
      <c r="A242" s="29" t="s">
        <v>2233</v>
      </c>
      <c r="B242" s="45" t="s">
        <v>2234</v>
      </c>
      <c r="C242" s="45" t="s">
        <v>2235</v>
      </c>
      <c r="D242" s="33" t="s">
        <v>2236</v>
      </c>
      <c r="E242" s="45" t="s">
        <v>54</v>
      </c>
      <c r="F242" s="45" t="s">
        <v>89</v>
      </c>
      <c r="G242" s="31" t="s">
        <v>2189</v>
      </c>
      <c r="H242" s="30"/>
      <c r="I242" s="35" t="s">
        <v>2237</v>
      </c>
      <c r="J242" s="30"/>
      <c r="K242" s="35" t="s">
        <v>2238</v>
      </c>
      <c r="L242" s="30"/>
      <c r="M242" s="33"/>
      <c r="N242" s="30"/>
      <c r="O242" s="30"/>
      <c r="P242" s="30"/>
      <c r="Q242" s="30"/>
      <c r="R242" s="30"/>
      <c r="S242" s="30"/>
      <c r="T242" s="30"/>
      <c r="U242" s="33"/>
      <c r="V242" s="33"/>
      <c r="W242" s="33"/>
      <c r="X242" s="33"/>
      <c r="Y242" s="33"/>
      <c r="Z242" s="33"/>
      <c r="AA242" s="33"/>
      <c r="AB242" s="33"/>
      <c r="AC242" s="33"/>
      <c r="AD242" s="33"/>
    </row>
    <row r="243" ht="24.75" customHeight="1">
      <c r="A243" s="29" t="s">
        <v>2239</v>
      </c>
      <c r="B243" s="45" t="s">
        <v>2240</v>
      </c>
      <c r="C243" s="45" t="s">
        <v>2241</v>
      </c>
      <c r="D243" s="33" t="s">
        <v>2242</v>
      </c>
      <c r="E243" s="45" t="s">
        <v>1736</v>
      </c>
      <c r="F243" s="45" t="s">
        <v>89</v>
      </c>
      <c r="G243" s="31" t="s">
        <v>2189</v>
      </c>
      <c r="H243" s="30"/>
      <c r="I243" s="35" t="s">
        <v>2243</v>
      </c>
      <c r="J243" s="30"/>
      <c r="K243" s="35" t="s">
        <v>2244</v>
      </c>
      <c r="L243" s="30"/>
      <c r="M243" s="33"/>
      <c r="N243" s="30"/>
      <c r="O243" s="30"/>
      <c r="P243" s="30"/>
      <c r="Q243" s="30"/>
      <c r="R243" s="30"/>
      <c r="S243" s="30"/>
      <c r="T243" s="30"/>
      <c r="U243" s="33"/>
      <c r="V243" s="33"/>
      <c r="W243" s="33"/>
      <c r="X243" s="33"/>
      <c r="Y243" s="33"/>
      <c r="Z243" s="33"/>
      <c r="AA243" s="33"/>
      <c r="AB243" s="33"/>
      <c r="AC243" s="33"/>
      <c r="AD243" s="33"/>
    </row>
    <row r="244" ht="24.75" customHeight="1">
      <c r="A244" s="36" t="s">
        <v>2245</v>
      </c>
      <c r="B244" s="49" t="s">
        <v>2246</v>
      </c>
      <c r="C244" s="49" t="s">
        <v>2247</v>
      </c>
      <c r="D244" s="18" t="s">
        <v>2242</v>
      </c>
      <c r="E244" s="18" t="s">
        <v>1736</v>
      </c>
      <c r="F244" s="49" t="s">
        <v>89</v>
      </c>
      <c r="G244" s="49" t="s">
        <v>2248</v>
      </c>
      <c r="H244" s="67" t="s">
        <v>2249</v>
      </c>
      <c r="I244" s="67" t="s">
        <v>2250</v>
      </c>
      <c r="J244" s="14"/>
      <c r="K244" s="67" t="s">
        <v>2251</v>
      </c>
      <c r="L244" s="14"/>
      <c r="M244" s="69" t="s">
        <v>2252</v>
      </c>
      <c r="N244" s="14"/>
      <c r="O244" s="14"/>
      <c r="P244" s="14"/>
      <c r="Q244" s="14"/>
      <c r="R244" s="14"/>
      <c r="S244" s="14"/>
      <c r="T244" s="14"/>
      <c r="U244" s="18"/>
      <c r="V244" s="18"/>
      <c r="W244" s="18"/>
      <c r="X244" s="18"/>
      <c r="Y244" s="18"/>
      <c r="Z244" s="18"/>
      <c r="AA244" s="18"/>
      <c r="AB244" s="18"/>
      <c r="AC244" s="18"/>
      <c r="AD244" s="18"/>
    </row>
    <row r="245" ht="24.75" customHeight="1">
      <c r="A245" s="36" t="s">
        <v>2253</v>
      </c>
      <c r="B245" s="49" t="s">
        <v>2254</v>
      </c>
      <c r="C245" s="49" t="s">
        <v>2255</v>
      </c>
      <c r="D245" s="18" t="s">
        <v>2256</v>
      </c>
      <c r="E245" s="18" t="s">
        <v>1268</v>
      </c>
      <c r="F245" s="49" t="s">
        <v>89</v>
      </c>
      <c r="G245" s="49" t="s">
        <v>2248</v>
      </c>
      <c r="H245" s="67" t="s">
        <v>2257</v>
      </c>
      <c r="I245" s="67" t="s">
        <v>2258</v>
      </c>
      <c r="J245" s="14"/>
      <c r="K245" s="67" t="s">
        <v>2259</v>
      </c>
      <c r="L245" s="14"/>
      <c r="M245" s="69" t="s">
        <v>2260</v>
      </c>
      <c r="N245" s="14"/>
      <c r="O245" s="14"/>
      <c r="P245" s="14"/>
      <c r="Q245" s="14"/>
      <c r="R245" s="14"/>
      <c r="S245" s="14"/>
      <c r="T245" s="14"/>
      <c r="U245" s="18"/>
      <c r="V245" s="18"/>
      <c r="W245" s="18"/>
      <c r="X245" s="18"/>
      <c r="Y245" s="18"/>
      <c r="Z245" s="18"/>
      <c r="AA245" s="18"/>
      <c r="AB245" s="18"/>
      <c r="AC245" s="18"/>
      <c r="AD245" s="18"/>
    </row>
    <row r="246" ht="24.75" customHeight="1">
      <c r="A246" s="36" t="s">
        <v>2261</v>
      </c>
      <c r="B246" s="49" t="s">
        <v>2262</v>
      </c>
      <c r="C246" s="49" t="s">
        <v>2263</v>
      </c>
      <c r="D246" s="18" t="s">
        <v>2072</v>
      </c>
      <c r="E246" s="18" t="s">
        <v>1947</v>
      </c>
      <c r="F246" s="49" t="s">
        <v>41</v>
      </c>
      <c r="G246" s="49" t="s">
        <v>2248</v>
      </c>
      <c r="H246" s="67" t="s">
        <v>2264</v>
      </c>
      <c r="I246" s="67" t="s">
        <v>2265</v>
      </c>
      <c r="J246" s="14"/>
      <c r="K246" s="67" t="s">
        <v>2266</v>
      </c>
      <c r="L246" s="14"/>
      <c r="M246" s="69" t="s">
        <v>2267</v>
      </c>
      <c r="N246" s="14"/>
      <c r="O246" s="14"/>
      <c r="P246" s="14"/>
      <c r="Q246" s="14"/>
      <c r="R246" s="14"/>
      <c r="S246" s="14"/>
      <c r="T246" s="14"/>
      <c r="U246" s="18"/>
      <c r="V246" s="18"/>
      <c r="W246" s="18"/>
      <c r="X246" s="18"/>
      <c r="Y246" s="18"/>
      <c r="Z246" s="18"/>
      <c r="AA246" s="18"/>
      <c r="AB246" s="18"/>
      <c r="AC246" s="18"/>
      <c r="AD246" s="18"/>
    </row>
    <row r="247" ht="24.75" customHeight="1">
      <c r="A247" s="36" t="s">
        <v>2268</v>
      </c>
      <c r="B247" s="49" t="s">
        <v>2269</v>
      </c>
      <c r="C247" s="49" t="s">
        <v>2270</v>
      </c>
      <c r="D247" s="18" t="s">
        <v>2271</v>
      </c>
      <c r="E247" s="18" t="s">
        <v>1039</v>
      </c>
      <c r="F247" s="49" t="s">
        <v>89</v>
      </c>
      <c r="G247" s="49" t="s">
        <v>2248</v>
      </c>
      <c r="H247" s="67" t="s">
        <v>2272</v>
      </c>
      <c r="I247" s="67" t="s">
        <v>2273</v>
      </c>
      <c r="J247" s="14"/>
      <c r="K247" s="67" t="s">
        <v>2274</v>
      </c>
      <c r="L247" s="14"/>
      <c r="M247" s="69" t="s">
        <v>2275</v>
      </c>
      <c r="N247" s="14"/>
      <c r="O247" s="14"/>
      <c r="P247" s="14"/>
      <c r="Q247" s="14"/>
      <c r="R247" s="14"/>
      <c r="S247" s="14"/>
      <c r="T247" s="14"/>
      <c r="U247" s="18"/>
      <c r="V247" s="18"/>
      <c r="W247" s="18"/>
      <c r="X247" s="18"/>
      <c r="Y247" s="18"/>
      <c r="Z247" s="18"/>
      <c r="AA247" s="18"/>
      <c r="AB247" s="18"/>
      <c r="AC247" s="18"/>
      <c r="AD247" s="18"/>
    </row>
    <row r="248" ht="24.75" customHeight="1">
      <c r="A248" s="36" t="s">
        <v>2276</v>
      </c>
      <c r="B248" s="49" t="s">
        <v>2277</v>
      </c>
      <c r="C248" s="49" t="s">
        <v>2278</v>
      </c>
      <c r="D248" s="18" t="s">
        <v>2079</v>
      </c>
      <c r="E248" s="18" t="s">
        <v>27</v>
      </c>
      <c r="F248" s="49" t="s">
        <v>41</v>
      </c>
      <c r="G248" s="49" t="s">
        <v>2248</v>
      </c>
      <c r="H248" s="67" t="s">
        <v>2279</v>
      </c>
      <c r="I248" s="67" t="s">
        <v>2103</v>
      </c>
      <c r="J248" s="14"/>
      <c r="K248" s="67" t="s">
        <v>2280</v>
      </c>
      <c r="L248" s="14"/>
      <c r="M248" s="69" t="s">
        <v>2281</v>
      </c>
      <c r="N248" s="14"/>
      <c r="O248" s="14"/>
      <c r="P248" s="14"/>
      <c r="Q248" s="14"/>
      <c r="R248" s="14"/>
      <c r="S248" s="14"/>
      <c r="T248" s="14"/>
      <c r="U248" s="18"/>
      <c r="V248" s="18"/>
      <c r="W248" s="18"/>
      <c r="X248" s="18"/>
      <c r="Y248" s="18"/>
      <c r="Z248" s="18"/>
      <c r="AA248" s="18"/>
      <c r="AB248" s="18"/>
      <c r="AC248" s="18"/>
      <c r="AD248" s="18"/>
    </row>
    <row r="249" ht="24.75" customHeight="1">
      <c r="A249" s="36" t="s">
        <v>2282</v>
      </c>
      <c r="B249" s="49" t="s">
        <v>2283</v>
      </c>
      <c r="C249" s="49" t="s">
        <v>2284</v>
      </c>
      <c r="D249" s="18" t="s">
        <v>2285</v>
      </c>
      <c r="E249" s="18" t="s">
        <v>1106</v>
      </c>
      <c r="F249" s="49" t="s">
        <v>89</v>
      </c>
      <c r="G249" s="49" t="s">
        <v>2248</v>
      </c>
      <c r="H249" s="67" t="s">
        <v>2286</v>
      </c>
      <c r="I249" s="67" t="s">
        <v>2287</v>
      </c>
      <c r="J249" s="14"/>
      <c r="K249" s="67" t="s">
        <v>2288</v>
      </c>
      <c r="L249" s="14"/>
      <c r="M249" s="69" t="s">
        <v>2289</v>
      </c>
      <c r="N249" s="14"/>
      <c r="O249" s="14"/>
      <c r="P249" s="14"/>
      <c r="Q249" s="14"/>
      <c r="R249" s="14"/>
      <c r="S249" s="14"/>
      <c r="T249" s="14"/>
      <c r="U249" s="18"/>
      <c r="V249" s="18"/>
      <c r="W249" s="18"/>
      <c r="X249" s="18"/>
      <c r="Y249" s="18"/>
      <c r="Z249" s="18"/>
      <c r="AA249" s="18"/>
      <c r="AB249" s="18"/>
      <c r="AC249" s="18"/>
      <c r="AD249" s="18"/>
    </row>
    <row r="250" ht="24.75" customHeight="1">
      <c r="A250" s="36" t="s">
        <v>2290</v>
      </c>
      <c r="B250" s="49" t="s">
        <v>2291</v>
      </c>
      <c r="C250" s="49" t="s">
        <v>2292</v>
      </c>
      <c r="D250" s="18" t="s">
        <v>2174</v>
      </c>
      <c r="E250" s="18" t="s">
        <v>1039</v>
      </c>
      <c r="F250" s="49" t="s">
        <v>41</v>
      </c>
      <c r="G250" s="49" t="s">
        <v>2248</v>
      </c>
      <c r="H250" s="67" t="s">
        <v>2257</v>
      </c>
      <c r="I250" s="67" t="s">
        <v>2293</v>
      </c>
      <c r="J250" s="14"/>
      <c r="K250" s="67" t="s">
        <v>2294</v>
      </c>
      <c r="L250" s="14"/>
      <c r="M250" s="69" t="s">
        <v>2295</v>
      </c>
      <c r="N250" s="14"/>
      <c r="O250" s="14"/>
      <c r="P250" s="14"/>
      <c r="Q250" s="14"/>
      <c r="R250" s="14"/>
      <c r="S250" s="14"/>
      <c r="T250" s="14"/>
      <c r="U250" s="18"/>
      <c r="V250" s="18"/>
      <c r="W250" s="18"/>
      <c r="X250" s="18"/>
      <c r="Y250" s="18"/>
      <c r="Z250" s="18"/>
      <c r="AA250" s="18"/>
      <c r="AB250" s="18"/>
      <c r="AC250" s="18"/>
      <c r="AD250" s="18"/>
    </row>
    <row r="251" ht="24.75" customHeight="1">
      <c r="A251" s="36" t="s">
        <v>2296</v>
      </c>
      <c r="B251" s="49" t="s">
        <v>2297</v>
      </c>
      <c r="C251" s="49" t="s">
        <v>2298</v>
      </c>
      <c r="D251" s="18" t="s">
        <v>2299</v>
      </c>
      <c r="E251" s="18" t="s">
        <v>54</v>
      </c>
      <c r="F251" s="49" t="s">
        <v>41</v>
      </c>
      <c r="G251" s="49" t="s">
        <v>2248</v>
      </c>
      <c r="H251" s="67" t="s">
        <v>2257</v>
      </c>
      <c r="I251" s="67" t="s">
        <v>2300</v>
      </c>
      <c r="J251" s="14"/>
      <c r="K251" s="67" t="s">
        <v>2301</v>
      </c>
      <c r="L251" s="14"/>
      <c r="M251" s="69" t="s">
        <v>2302</v>
      </c>
      <c r="N251" s="14"/>
      <c r="O251" s="14"/>
      <c r="P251" s="14"/>
      <c r="Q251" s="14"/>
      <c r="R251" s="14"/>
      <c r="S251" s="14"/>
      <c r="T251" s="14"/>
      <c r="U251" s="18"/>
      <c r="V251" s="18"/>
      <c r="W251" s="18"/>
      <c r="X251" s="18"/>
      <c r="Y251" s="18"/>
      <c r="Z251" s="18"/>
      <c r="AA251" s="18"/>
      <c r="AB251" s="18"/>
      <c r="AC251" s="18"/>
      <c r="AD251" s="18"/>
    </row>
    <row r="252" ht="24.75" customHeight="1">
      <c r="A252" s="36" t="s">
        <v>2303</v>
      </c>
      <c r="B252" s="49" t="s">
        <v>2304</v>
      </c>
      <c r="C252" s="49" t="s">
        <v>2305</v>
      </c>
      <c r="D252" s="18" t="s">
        <v>2306</v>
      </c>
      <c r="E252" s="18" t="s">
        <v>27</v>
      </c>
      <c r="F252" s="49" t="s">
        <v>41</v>
      </c>
      <c r="G252" s="49" t="s">
        <v>2248</v>
      </c>
      <c r="H252" s="67" t="s">
        <v>2257</v>
      </c>
      <c r="I252" s="67" t="s">
        <v>932</v>
      </c>
      <c r="J252" s="14"/>
      <c r="K252" s="67" t="s">
        <v>2307</v>
      </c>
      <c r="L252" s="14"/>
      <c r="M252" s="69" t="s">
        <v>2308</v>
      </c>
      <c r="N252" s="14"/>
      <c r="O252" s="14"/>
      <c r="P252" s="14"/>
      <c r="Q252" s="14"/>
      <c r="R252" s="14"/>
      <c r="S252" s="14"/>
      <c r="T252" s="14"/>
      <c r="U252" s="18"/>
      <c r="V252" s="18"/>
      <c r="W252" s="18"/>
      <c r="X252" s="18"/>
      <c r="Y252" s="18"/>
      <c r="Z252" s="18"/>
      <c r="AA252" s="18"/>
      <c r="AB252" s="18"/>
      <c r="AC252" s="18"/>
      <c r="AD252" s="18"/>
    </row>
    <row r="253" ht="24.75" customHeight="1">
      <c r="A253" s="36" t="s">
        <v>2309</v>
      </c>
      <c r="B253" s="49" t="s">
        <v>2310</v>
      </c>
      <c r="C253" s="49" t="s">
        <v>2311</v>
      </c>
      <c r="D253" s="18" t="s">
        <v>2312</v>
      </c>
      <c r="E253" s="18" t="s">
        <v>1268</v>
      </c>
      <c r="F253" s="49" t="s">
        <v>89</v>
      </c>
      <c r="G253" s="49" t="s">
        <v>2248</v>
      </c>
      <c r="H253" s="67" t="s">
        <v>2257</v>
      </c>
      <c r="I253" s="70" t="s">
        <v>2313</v>
      </c>
      <c r="J253" s="14"/>
      <c r="K253" s="67" t="s">
        <v>2314</v>
      </c>
      <c r="L253" s="14"/>
      <c r="M253" s="69" t="s">
        <v>2315</v>
      </c>
      <c r="N253" s="14"/>
      <c r="O253" s="14"/>
      <c r="P253" s="14"/>
      <c r="Q253" s="14"/>
      <c r="R253" s="14"/>
      <c r="S253" s="14"/>
      <c r="T253" s="14"/>
      <c r="U253" s="18"/>
      <c r="V253" s="18"/>
      <c r="W253" s="18"/>
      <c r="X253" s="18"/>
      <c r="Y253" s="18"/>
      <c r="Z253" s="18"/>
      <c r="AA253" s="18"/>
      <c r="AB253" s="18"/>
      <c r="AC253" s="18"/>
      <c r="AD253" s="18"/>
    </row>
    <row r="254" ht="24.75" customHeight="1">
      <c r="A254" s="28" t="s">
        <v>2316</v>
      </c>
      <c r="B254" s="53" t="s">
        <v>2317</v>
      </c>
      <c r="C254" s="53" t="s">
        <v>2318</v>
      </c>
      <c r="D254" s="26" t="s">
        <v>2319</v>
      </c>
      <c r="E254" s="71" t="s">
        <v>27</v>
      </c>
      <c r="F254" s="53" t="s">
        <v>89</v>
      </c>
      <c r="G254" s="53" t="s">
        <v>2320</v>
      </c>
      <c r="H254" s="23" t="s">
        <v>2321</v>
      </c>
      <c r="I254" s="23" t="s">
        <v>2322</v>
      </c>
      <c r="J254" s="23"/>
      <c r="K254" s="54" t="s">
        <v>2323</v>
      </c>
      <c r="L254" s="23"/>
      <c r="M254" s="26" t="s">
        <v>2324</v>
      </c>
      <c r="N254" s="23"/>
      <c r="O254" s="23"/>
      <c r="P254" s="23"/>
      <c r="Q254" s="23"/>
      <c r="R254" s="23"/>
      <c r="S254" s="23"/>
      <c r="T254" s="23"/>
      <c r="U254" s="26"/>
      <c r="V254" s="26"/>
      <c r="W254" s="26"/>
      <c r="X254" s="26"/>
      <c r="Y254" s="26"/>
      <c r="Z254" s="26"/>
      <c r="AA254" s="26"/>
      <c r="AB254" s="26"/>
      <c r="AC254" s="26"/>
      <c r="AD254" s="26"/>
    </row>
    <row r="255" ht="24.75" customHeight="1">
      <c r="A255" s="28" t="s">
        <v>2325</v>
      </c>
      <c r="B255" s="53" t="s">
        <v>2326</v>
      </c>
      <c r="C255" s="53" t="s">
        <v>2327</v>
      </c>
      <c r="D255" s="26" t="s">
        <v>2072</v>
      </c>
      <c r="E255" s="71" t="s">
        <v>1947</v>
      </c>
      <c r="F255" s="53" t="s">
        <v>41</v>
      </c>
      <c r="G255" s="53" t="s">
        <v>2320</v>
      </c>
      <c r="H255" s="23" t="s">
        <v>2321</v>
      </c>
      <c r="I255" s="23" t="s">
        <v>2328</v>
      </c>
      <c r="J255" s="23"/>
      <c r="K255" s="23" t="s">
        <v>2329</v>
      </c>
      <c r="L255" s="23"/>
      <c r="M255" s="26" t="s">
        <v>2330</v>
      </c>
      <c r="N255" s="23"/>
      <c r="O255" s="23"/>
      <c r="P255" s="23"/>
      <c r="Q255" s="23"/>
      <c r="R255" s="23"/>
      <c r="S255" s="23"/>
      <c r="T255" s="23"/>
      <c r="U255" s="26"/>
      <c r="V255" s="26"/>
      <c r="W255" s="26"/>
      <c r="X255" s="26"/>
      <c r="Y255" s="26"/>
      <c r="Z255" s="26"/>
      <c r="AA255" s="26"/>
      <c r="AB255" s="26"/>
      <c r="AC255" s="26"/>
      <c r="AD255" s="26"/>
    </row>
    <row r="256" ht="24.75" customHeight="1">
      <c r="A256" s="28" t="s">
        <v>2331</v>
      </c>
      <c r="B256" s="53" t="s">
        <v>2332</v>
      </c>
      <c r="C256" s="53" t="s">
        <v>1137</v>
      </c>
      <c r="D256" s="26" t="s">
        <v>2072</v>
      </c>
      <c r="E256" s="71" t="s">
        <v>1947</v>
      </c>
      <c r="F256" s="53" t="s">
        <v>41</v>
      </c>
      <c r="G256" s="53" t="s">
        <v>2320</v>
      </c>
      <c r="H256" s="23" t="s">
        <v>2333</v>
      </c>
      <c r="I256" s="23" t="s">
        <v>2334</v>
      </c>
      <c r="J256" s="23"/>
      <c r="K256" s="23" t="s">
        <v>2335</v>
      </c>
      <c r="L256" s="23"/>
      <c r="M256" s="26" t="s">
        <v>2336</v>
      </c>
      <c r="N256" s="23"/>
      <c r="O256" s="23"/>
      <c r="P256" s="23"/>
      <c r="Q256" s="23"/>
      <c r="R256" s="23"/>
      <c r="S256" s="23"/>
      <c r="T256" s="23"/>
      <c r="U256" s="26"/>
      <c r="V256" s="26"/>
      <c r="W256" s="26"/>
      <c r="X256" s="26"/>
      <c r="Y256" s="26"/>
      <c r="Z256" s="26"/>
      <c r="AA256" s="26"/>
      <c r="AB256" s="26"/>
      <c r="AC256" s="26"/>
      <c r="AD256" s="26"/>
    </row>
    <row r="257" ht="24.75" customHeight="1">
      <c r="A257" s="28" t="s">
        <v>2337</v>
      </c>
      <c r="B257" s="53" t="s">
        <v>1419</v>
      </c>
      <c r="C257" s="53" t="s">
        <v>2338</v>
      </c>
      <c r="D257" s="26" t="s">
        <v>2339</v>
      </c>
      <c r="E257" s="71" t="s">
        <v>27</v>
      </c>
      <c r="F257" s="53" t="s">
        <v>89</v>
      </c>
      <c r="G257" s="53" t="s">
        <v>2320</v>
      </c>
      <c r="H257" s="23" t="s">
        <v>2333</v>
      </c>
      <c r="I257" s="23" t="s">
        <v>2340</v>
      </c>
      <c r="J257" s="23"/>
      <c r="K257" s="23" t="s">
        <v>2341</v>
      </c>
      <c r="L257" s="23"/>
      <c r="M257" s="26" t="s">
        <v>2342</v>
      </c>
      <c r="N257" s="23"/>
      <c r="O257" s="23"/>
      <c r="P257" s="23"/>
      <c r="Q257" s="23"/>
      <c r="R257" s="23"/>
      <c r="S257" s="23"/>
      <c r="T257" s="23"/>
      <c r="U257" s="26"/>
      <c r="V257" s="26"/>
      <c r="W257" s="26"/>
      <c r="X257" s="26"/>
      <c r="Y257" s="26"/>
      <c r="Z257" s="26"/>
      <c r="AA257" s="26"/>
      <c r="AB257" s="26"/>
      <c r="AC257" s="26"/>
      <c r="AD257" s="26"/>
    </row>
    <row r="258" ht="24.75" customHeight="1">
      <c r="A258" s="28" t="s">
        <v>2343</v>
      </c>
      <c r="B258" s="53" t="s">
        <v>2344</v>
      </c>
      <c r="C258" s="53" t="s">
        <v>2345</v>
      </c>
      <c r="D258" s="53" t="s">
        <v>2346</v>
      </c>
      <c r="E258" s="26" t="s">
        <v>1268</v>
      </c>
      <c r="F258" s="53" t="s">
        <v>89</v>
      </c>
      <c r="G258" s="53" t="s">
        <v>2320</v>
      </c>
      <c r="H258" s="23" t="s">
        <v>2333</v>
      </c>
      <c r="I258" s="23" t="s">
        <v>2347</v>
      </c>
      <c r="J258" s="23"/>
      <c r="K258" s="23" t="s">
        <v>2348</v>
      </c>
      <c r="L258" s="23"/>
      <c r="M258" s="26" t="s">
        <v>2349</v>
      </c>
      <c r="N258" s="23"/>
      <c r="O258" s="23"/>
      <c r="P258" s="23"/>
      <c r="Q258" s="23"/>
      <c r="R258" s="23"/>
      <c r="S258" s="23"/>
      <c r="T258" s="23"/>
      <c r="U258" s="26"/>
      <c r="V258" s="26"/>
      <c r="W258" s="26"/>
      <c r="X258" s="26"/>
      <c r="Y258" s="26"/>
      <c r="Z258" s="26"/>
      <c r="AA258" s="26"/>
      <c r="AB258" s="26"/>
      <c r="AC258" s="26"/>
      <c r="AD258" s="26"/>
    </row>
    <row r="259" ht="24.75" customHeight="1">
      <c r="A259" s="29" t="s">
        <v>2350</v>
      </c>
      <c r="B259" s="45" t="s">
        <v>2351</v>
      </c>
      <c r="C259" s="45" t="s">
        <v>2352</v>
      </c>
      <c r="D259" s="33" t="s">
        <v>2353</v>
      </c>
      <c r="E259" s="72" t="s">
        <v>1268</v>
      </c>
      <c r="F259" s="45" t="s">
        <v>89</v>
      </c>
      <c r="G259" s="31" t="s">
        <v>2354</v>
      </c>
      <c r="H259" s="30" t="s">
        <v>2333</v>
      </c>
      <c r="I259" s="35" t="s">
        <v>2355</v>
      </c>
      <c r="J259" s="30"/>
      <c r="K259" s="30" t="s">
        <v>2356</v>
      </c>
      <c r="L259" s="30"/>
      <c r="M259" s="33"/>
      <c r="N259" s="30"/>
      <c r="O259" s="30"/>
      <c r="P259" s="30"/>
      <c r="Q259" s="30"/>
      <c r="R259" s="30"/>
      <c r="S259" s="30"/>
      <c r="T259" s="30"/>
      <c r="U259" s="33"/>
      <c r="V259" s="33"/>
      <c r="W259" s="33"/>
      <c r="X259" s="33"/>
      <c r="Y259" s="33"/>
      <c r="Z259" s="33"/>
      <c r="AA259" s="33"/>
      <c r="AB259" s="33"/>
      <c r="AC259" s="33"/>
      <c r="AD259" s="33"/>
    </row>
    <row r="260" ht="24.75" customHeight="1">
      <c r="A260" s="29" t="s">
        <v>2357</v>
      </c>
      <c r="B260" s="45" t="s">
        <v>2358</v>
      </c>
      <c r="C260" s="45" t="s">
        <v>2359</v>
      </c>
      <c r="D260" s="33" t="s">
        <v>2360</v>
      </c>
      <c r="E260" s="33" t="s">
        <v>1268</v>
      </c>
      <c r="F260" s="45" t="s">
        <v>89</v>
      </c>
      <c r="G260" s="31" t="s">
        <v>2354</v>
      </c>
      <c r="H260" s="30" t="s">
        <v>2321</v>
      </c>
      <c r="I260" s="35" t="s">
        <v>2361</v>
      </c>
      <c r="J260" s="30"/>
      <c r="K260" s="30" t="s">
        <v>2362</v>
      </c>
      <c r="L260" s="30"/>
      <c r="M260" s="33"/>
      <c r="N260" s="30"/>
      <c r="O260" s="30"/>
      <c r="P260" s="30"/>
      <c r="Q260" s="30"/>
      <c r="R260" s="30"/>
      <c r="S260" s="30"/>
      <c r="T260" s="30"/>
      <c r="U260" s="33"/>
      <c r="V260" s="33"/>
      <c r="W260" s="33"/>
      <c r="X260" s="33"/>
      <c r="Y260" s="33"/>
      <c r="Z260" s="33"/>
      <c r="AA260" s="33"/>
      <c r="AB260" s="33"/>
      <c r="AC260" s="33"/>
      <c r="AD260" s="33"/>
    </row>
    <row r="261" ht="24.75" customHeight="1">
      <c r="A261" s="29" t="s">
        <v>2363</v>
      </c>
      <c r="B261" s="45" t="s">
        <v>2364</v>
      </c>
      <c r="C261" s="45" t="s">
        <v>2365</v>
      </c>
      <c r="D261" s="33" t="s">
        <v>2366</v>
      </c>
      <c r="E261" s="72" t="s">
        <v>1383</v>
      </c>
      <c r="F261" s="45" t="s">
        <v>41</v>
      </c>
      <c r="G261" s="31" t="s">
        <v>2354</v>
      </c>
      <c r="H261" s="30" t="s">
        <v>2333</v>
      </c>
      <c r="I261" s="35" t="s">
        <v>2367</v>
      </c>
      <c r="J261" s="30"/>
      <c r="K261" s="30" t="s">
        <v>2368</v>
      </c>
      <c r="L261" s="30"/>
      <c r="M261" s="33"/>
      <c r="N261" s="30"/>
      <c r="O261" s="30"/>
      <c r="P261" s="30"/>
      <c r="Q261" s="30"/>
      <c r="R261" s="30"/>
      <c r="S261" s="30"/>
      <c r="T261" s="30"/>
      <c r="U261" s="33"/>
      <c r="V261" s="33"/>
      <c r="W261" s="33"/>
      <c r="X261" s="33"/>
      <c r="Y261" s="33"/>
      <c r="Z261" s="33"/>
      <c r="AA261" s="33"/>
      <c r="AB261" s="33"/>
      <c r="AC261" s="33"/>
      <c r="AD261" s="33"/>
    </row>
    <row r="262" ht="24.75" customHeight="1">
      <c r="A262" s="29" t="s">
        <v>2369</v>
      </c>
      <c r="B262" s="45" t="s">
        <v>2370</v>
      </c>
      <c r="C262" s="45" t="s">
        <v>2371</v>
      </c>
      <c r="D262" s="33" t="s">
        <v>2372</v>
      </c>
      <c r="E262" s="72" t="s">
        <v>2373</v>
      </c>
      <c r="F262" s="45" t="s">
        <v>89</v>
      </c>
      <c r="G262" s="31" t="s">
        <v>2354</v>
      </c>
      <c r="H262" s="30" t="s">
        <v>2333</v>
      </c>
      <c r="I262" s="35" t="s">
        <v>2374</v>
      </c>
      <c r="J262" s="30"/>
      <c r="K262" s="30" t="s">
        <v>2375</v>
      </c>
      <c r="L262" s="30"/>
      <c r="M262" s="33"/>
      <c r="N262" s="30"/>
      <c r="O262" s="30"/>
      <c r="P262" s="30"/>
      <c r="Q262" s="30"/>
      <c r="R262" s="30"/>
      <c r="S262" s="30"/>
      <c r="T262" s="30"/>
      <c r="U262" s="33"/>
      <c r="V262" s="33"/>
      <c r="W262" s="33"/>
      <c r="X262" s="33"/>
      <c r="Y262" s="33"/>
      <c r="Z262" s="33"/>
      <c r="AA262" s="33"/>
      <c r="AB262" s="33"/>
      <c r="AC262" s="33"/>
      <c r="AD262" s="33"/>
    </row>
    <row r="263" ht="24.75" customHeight="1">
      <c r="A263" s="29" t="s">
        <v>2376</v>
      </c>
      <c r="B263" s="45" t="s">
        <v>2377</v>
      </c>
      <c r="C263" s="45" t="s">
        <v>2378</v>
      </c>
      <c r="D263" s="33" t="s">
        <v>2379</v>
      </c>
      <c r="E263" s="72" t="s">
        <v>1188</v>
      </c>
      <c r="F263" s="45" t="s">
        <v>89</v>
      </c>
      <c r="G263" s="31" t="s">
        <v>2354</v>
      </c>
      <c r="H263" s="30" t="s">
        <v>2321</v>
      </c>
      <c r="I263" s="35" t="s">
        <v>1190</v>
      </c>
      <c r="J263" s="30"/>
      <c r="K263" s="30" t="s">
        <v>2380</v>
      </c>
      <c r="L263" s="30"/>
      <c r="M263" s="33"/>
      <c r="N263" s="30"/>
      <c r="O263" s="30"/>
      <c r="P263" s="30"/>
      <c r="Q263" s="30"/>
      <c r="R263" s="30"/>
      <c r="S263" s="30"/>
      <c r="T263" s="30"/>
      <c r="U263" s="33"/>
      <c r="V263" s="33"/>
      <c r="W263" s="33"/>
      <c r="X263" s="33"/>
      <c r="Y263" s="33"/>
      <c r="Z263" s="33"/>
      <c r="AA263" s="33"/>
      <c r="AB263" s="33"/>
      <c r="AC263" s="33"/>
      <c r="AD263" s="33"/>
    </row>
    <row r="264" ht="24.75" customHeight="1">
      <c r="A264" s="29" t="s">
        <v>2381</v>
      </c>
      <c r="B264" s="45" t="s">
        <v>2382</v>
      </c>
      <c r="C264" s="45" t="s">
        <v>2383</v>
      </c>
      <c r="D264" s="33" t="s">
        <v>2384</v>
      </c>
      <c r="E264" s="33" t="s">
        <v>1268</v>
      </c>
      <c r="F264" s="45" t="s">
        <v>41</v>
      </c>
      <c r="G264" s="31" t="s">
        <v>2354</v>
      </c>
      <c r="H264" s="30" t="s">
        <v>2333</v>
      </c>
      <c r="I264" s="35" t="s">
        <v>2385</v>
      </c>
      <c r="J264" s="30"/>
      <c r="K264" s="30" t="s">
        <v>2386</v>
      </c>
      <c r="L264" s="30"/>
      <c r="M264" s="33"/>
      <c r="N264" s="30"/>
      <c r="O264" s="30"/>
      <c r="P264" s="30"/>
      <c r="Q264" s="30"/>
      <c r="R264" s="30"/>
      <c r="S264" s="30"/>
      <c r="T264" s="30"/>
      <c r="U264" s="33"/>
      <c r="V264" s="33"/>
      <c r="W264" s="33"/>
      <c r="X264" s="33"/>
      <c r="Y264" s="33"/>
      <c r="Z264" s="33"/>
      <c r="AA264" s="33"/>
      <c r="AB264" s="33"/>
      <c r="AC264" s="33"/>
      <c r="AD264" s="33"/>
    </row>
    <row r="265" ht="24.75" customHeight="1">
      <c r="A265" s="29" t="s">
        <v>2387</v>
      </c>
      <c r="B265" s="45" t="s">
        <v>2388</v>
      </c>
      <c r="C265" s="45" t="s">
        <v>2389</v>
      </c>
      <c r="D265" s="33" t="s">
        <v>2390</v>
      </c>
      <c r="E265" s="72" t="s">
        <v>27</v>
      </c>
      <c r="F265" s="45" t="s">
        <v>89</v>
      </c>
      <c r="G265" s="31" t="s">
        <v>2354</v>
      </c>
      <c r="H265" s="30" t="s">
        <v>2333</v>
      </c>
      <c r="I265" s="35" t="s">
        <v>2391</v>
      </c>
      <c r="J265" s="30"/>
      <c r="K265" s="30" t="s">
        <v>2392</v>
      </c>
      <c r="L265" s="30"/>
      <c r="M265" s="33"/>
      <c r="N265" s="30"/>
      <c r="O265" s="30"/>
      <c r="P265" s="30"/>
      <c r="Q265" s="30"/>
      <c r="R265" s="30"/>
      <c r="S265" s="30"/>
      <c r="T265" s="30"/>
      <c r="U265" s="33"/>
      <c r="V265" s="33"/>
      <c r="W265" s="33"/>
      <c r="X265" s="33"/>
      <c r="Y265" s="33"/>
      <c r="Z265" s="33"/>
      <c r="AA265" s="33"/>
      <c r="AB265" s="33"/>
      <c r="AC265" s="33"/>
      <c r="AD265" s="33"/>
    </row>
    <row r="266" ht="24.75" customHeight="1">
      <c r="A266" s="29" t="s">
        <v>2393</v>
      </c>
      <c r="B266" s="45" t="s">
        <v>2394</v>
      </c>
      <c r="C266" s="45" t="s">
        <v>331</v>
      </c>
      <c r="D266" s="33" t="s">
        <v>2395</v>
      </c>
      <c r="E266" s="72" t="s">
        <v>27</v>
      </c>
      <c r="F266" s="45" t="s">
        <v>89</v>
      </c>
      <c r="G266" s="31" t="s">
        <v>2354</v>
      </c>
      <c r="H266" s="30" t="s">
        <v>2333</v>
      </c>
      <c r="I266" s="35" t="s">
        <v>2396</v>
      </c>
      <c r="J266" s="30"/>
      <c r="K266" s="30" t="s">
        <v>2397</v>
      </c>
      <c r="L266" s="30"/>
      <c r="M266" s="33"/>
      <c r="N266" s="30"/>
      <c r="O266" s="30"/>
      <c r="P266" s="30"/>
      <c r="Q266" s="30"/>
      <c r="R266" s="30"/>
      <c r="S266" s="30"/>
      <c r="T266" s="30"/>
      <c r="U266" s="33"/>
      <c r="V266" s="33"/>
      <c r="W266" s="33"/>
      <c r="X266" s="33"/>
      <c r="Y266" s="33"/>
      <c r="Z266" s="33"/>
      <c r="AA266" s="33"/>
      <c r="AB266" s="33"/>
      <c r="AC266" s="33"/>
      <c r="AD266" s="33"/>
    </row>
    <row r="267" ht="24.75" customHeight="1">
      <c r="A267" s="29" t="s">
        <v>2398</v>
      </c>
      <c r="B267" s="45" t="s">
        <v>2399</v>
      </c>
      <c r="C267" s="45" t="s">
        <v>2269</v>
      </c>
      <c r="D267" s="33" t="s">
        <v>2400</v>
      </c>
      <c r="E267" s="72" t="s">
        <v>1039</v>
      </c>
      <c r="F267" s="45" t="s">
        <v>41</v>
      </c>
      <c r="G267" s="31" t="s">
        <v>2354</v>
      </c>
      <c r="H267" s="30" t="s">
        <v>2333</v>
      </c>
      <c r="I267" s="35" t="s">
        <v>126</v>
      </c>
      <c r="J267" s="30"/>
      <c r="K267" s="30" t="s">
        <v>2401</v>
      </c>
      <c r="L267" s="30"/>
      <c r="M267" s="33"/>
      <c r="N267" s="30"/>
      <c r="O267" s="30"/>
      <c r="P267" s="30"/>
      <c r="Q267" s="30"/>
      <c r="R267" s="30"/>
      <c r="S267" s="30"/>
      <c r="T267" s="30"/>
      <c r="U267" s="33"/>
      <c r="V267" s="33"/>
      <c r="W267" s="33"/>
      <c r="X267" s="33"/>
      <c r="Y267" s="33"/>
      <c r="Z267" s="33"/>
      <c r="AA267" s="33"/>
      <c r="AB267" s="33"/>
      <c r="AC267" s="33"/>
      <c r="AD267" s="33"/>
    </row>
    <row r="268" ht="24.75" customHeight="1">
      <c r="A268" s="29" t="s">
        <v>2402</v>
      </c>
      <c r="B268" s="45" t="s">
        <v>2403</v>
      </c>
      <c r="C268" s="45" t="s">
        <v>2404</v>
      </c>
      <c r="D268" s="33" t="s">
        <v>2405</v>
      </c>
      <c r="E268" s="72" t="s">
        <v>54</v>
      </c>
      <c r="F268" s="45" t="s">
        <v>41</v>
      </c>
      <c r="G268" s="31" t="s">
        <v>2354</v>
      </c>
      <c r="H268" s="30" t="s">
        <v>2321</v>
      </c>
      <c r="I268" s="35" t="s">
        <v>2406</v>
      </c>
      <c r="J268" s="30"/>
      <c r="K268" s="30" t="s">
        <v>2407</v>
      </c>
      <c r="L268" s="30"/>
      <c r="M268" s="33"/>
      <c r="N268" s="30"/>
      <c r="O268" s="30"/>
      <c r="P268" s="30"/>
      <c r="Q268" s="30"/>
      <c r="R268" s="30"/>
      <c r="S268" s="30"/>
      <c r="T268" s="30"/>
      <c r="U268" s="33"/>
      <c r="V268" s="33"/>
      <c r="W268" s="33"/>
      <c r="X268" s="33"/>
      <c r="Y268" s="33"/>
      <c r="Z268" s="33"/>
      <c r="AA268" s="33"/>
      <c r="AB268" s="33"/>
      <c r="AC268" s="33"/>
      <c r="AD268" s="33"/>
    </row>
    <row r="269" ht="24.75" customHeight="1">
      <c r="A269" s="29" t="s">
        <v>2408</v>
      </c>
      <c r="B269" s="45" t="s">
        <v>2409</v>
      </c>
      <c r="C269" s="45" t="s">
        <v>2410</v>
      </c>
      <c r="D269" s="33"/>
      <c r="E269" s="33" t="s">
        <v>1947</v>
      </c>
      <c r="F269" s="45" t="s">
        <v>89</v>
      </c>
      <c r="G269" s="31" t="s">
        <v>2354</v>
      </c>
      <c r="H269" s="30" t="s">
        <v>2321</v>
      </c>
      <c r="I269" s="35" t="s">
        <v>2103</v>
      </c>
      <c r="J269" s="30"/>
      <c r="K269" s="30" t="s">
        <v>2411</v>
      </c>
      <c r="L269" s="30"/>
      <c r="M269" s="33"/>
      <c r="N269" s="30"/>
      <c r="O269" s="30"/>
      <c r="P269" s="30"/>
      <c r="Q269" s="30"/>
      <c r="R269" s="30"/>
      <c r="S269" s="30"/>
      <c r="T269" s="30"/>
      <c r="U269" s="33"/>
      <c r="V269" s="33"/>
      <c r="W269" s="33"/>
      <c r="X269" s="33"/>
      <c r="Y269" s="33"/>
      <c r="Z269" s="33"/>
      <c r="AA269" s="33"/>
      <c r="AB269" s="33"/>
      <c r="AC269" s="33"/>
      <c r="AD269" s="33"/>
    </row>
    <row r="270" ht="24.75" customHeight="1">
      <c r="A270" s="36" t="s">
        <v>2412</v>
      </c>
      <c r="B270" s="49" t="s">
        <v>2413</v>
      </c>
      <c r="C270" s="49" t="s">
        <v>2414</v>
      </c>
      <c r="D270" s="18" t="s">
        <v>2415</v>
      </c>
      <c r="E270" s="18" t="s">
        <v>2416</v>
      </c>
      <c r="F270" s="49" t="s">
        <v>41</v>
      </c>
      <c r="G270" s="15" t="s">
        <v>2417</v>
      </c>
      <c r="H270" s="47" t="s">
        <v>311</v>
      </c>
      <c r="I270" s="47" t="s">
        <v>2418</v>
      </c>
      <c r="J270" s="14"/>
      <c r="K270" s="73" t="s">
        <v>2419</v>
      </c>
      <c r="L270" s="14"/>
      <c r="M270" s="74" t="s">
        <v>2420</v>
      </c>
      <c r="N270" s="14"/>
      <c r="O270" s="14"/>
      <c r="P270" s="14"/>
      <c r="Q270" s="14"/>
      <c r="R270" s="14"/>
      <c r="S270" s="14"/>
      <c r="T270" s="14"/>
      <c r="U270" s="18"/>
      <c r="V270" s="18"/>
      <c r="W270" s="18"/>
      <c r="X270" s="18"/>
      <c r="Y270" s="18"/>
      <c r="Z270" s="18"/>
      <c r="AA270" s="18"/>
      <c r="AB270" s="18"/>
      <c r="AC270" s="18"/>
      <c r="AD270" s="18"/>
    </row>
    <row r="271" ht="24.75" customHeight="1">
      <c r="A271" s="36" t="s">
        <v>2421</v>
      </c>
      <c r="B271" s="49" t="s">
        <v>2422</v>
      </c>
      <c r="C271" s="49" t="s">
        <v>2423</v>
      </c>
      <c r="D271" s="18" t="s">
        <v>2424</v>
      </c>
      <c r="E271" s="18" t="s">
        <v>2425</v>
      </c>
      <c r="F271" s="49" t="s">
        <v>41</v>
      </c>
      <c r="G271" s="15" t="s">
        <v>2417</v>
      </c>
      <c r="H271" s="67" t="s">
        <v>184</v>
      </c>
      <c r="I271" s="67" t="s">
        <v>1960</v>
      </c>
      <c r="J271" s="14"/>
      <c r="K271" s="75" t="s">
        <v>2426</v>
      </c>
      <c r="L271" s="14"/>
      <c r="M271" s="76" t="s">
        <v>2427</v>
      </c>
      <c r="N271" s="14"/>
      <c r="O271" s="14"/>
      <c r="P271" s="14"/>
      <c r="Q271" s="14"/>
      <c r="R271" s="14"/>
      <c r="S271" s="14"/>
      <c r="T271" s="14"/>
      <c r="U271" s="18"/>
      <c r="V271" s="18"/>
      <c r="W271" s="18"/>
      <c r="X271" s="18"/>
      <c r="Y271" s="18"/>
      <c r="Z271" s="18"/>
      <c r="AA271" s="18"/>
      <c r="AB271" s="18"/>
      <c r="AC271" s="18"/>
      <c r="AD271" s="18"/>
    </row>
    <row r="272" ht="24.75" customHeight="1">
      <c r="A272" s="36" t="s">
        <v>2428</v>
      </c>
      <c r="B272" s="49" t="s">
        <v>2429</v>
      </c>
      <c r="C272" s="49" t="s">
        <v>2430</v>
      </c>
      <c r="D272" s="18" t="s">
        <v>2431</v>
      </c>
      <c r="E272" s="18" t="s">
        <v>54</v>
      </c>
      <c r="F272" s="49" t="s">
        <v>89</v>
      </c>
      <c r="G272" s="15" t="s">
        <v>2417</v>
      </c>
      <c r="H272" s="67" t="s">
        <v>1953</v>
      </c>
      <c r="I272" s="67" t="s">
        <v>2432</v>
      </c>
      <c r="J272" s="14"/>
      <c r="K272" s="73" t="s">
        <v>2433</v>
      </c>
      <c r="L272" s="14"/>
      <c r="M272" s="74" t="s">
        <v>2434</v>
      </c>
      <c r="N272" s="14"/>
      <c r="O272" s="14"/>
      <c r="P272" s="14"/>
      <c r="Q272" s="14"/>
      <c r="R272" s="14"/>
      <c r="S272" s="14"/>
      <c r="T272" s="14"/>
      <c r="U272" s="18"/>
      <c r="V272" s="18"/>
      <c r="W272" s="18"/>
      <c r="X272" s="18"/>
      <c r="Y272" s="18"/>
      <c r="Z272" s="18"/>
      <c r="AA272" s="18"/>
      <c r="AB272" s="18"/>
      <c r="AC272" s="18"/>
      <c r="AD272" s="18"/>
    </row>
    <row r="273" ht="24.75" customHeight="1">
      <c r="A273" s="36" t="s">
        <v>2435</v>
      </c>
      <c r="B273" s="49" t="s">
        <v>2436</v>
      </c>
      <c r="C273" s="49" t="s">
        <v>2437</v>
      </c>
      <c r="D273" s="18" t="s">
        <v>2438</v>
      </c>
      <c r="E273" s="18" t="s">
        <v>2439</v>
      </c>
      <c r="F273" s="49" t="s">
        <v>89</v>
      </c>
      <c r="G273" s="15" t="s">
        <v>2417</v>
      </c>
      <c r="H273" s="67" t="s">
        <v>2299</v>
      </c>
      <c r="I273" s="67" t="s">
        <v>2440</v>
      </c>
      <c r="J273" s="14"/>
      <c r="K273" s="75" t="s">
        <v>2441</v>
      </c>
      <c r="L273" s="14"/>
      <c r="M273" s="76" t="s">
        <v>2442</v>
      </c>
      <c r="N273" s="14"/>
      <c r="O273" s="14"/>
      <c r="P273" s="14"/>
      <c r="Q273" s="14"/>
      <c r="R273" s="14"/>
      <c r="S273" s="14"/>
      <c r="T273" s="14"/>
      <c r="U273" s="18"/>
      <c r="V273" s="18"/>
      <c r="W273" s="18"/>
      <c r="X273" s="18"/>
      <c r="Y273" s="18"/>
      <c r="Z273" s="18"/>
      <c r="AA273" s="18"/>
      <c r="AB273" s="18"/>
      <c r="AC273" s="18"/>
      <c r="AD273" s="18"/>
    </row>
    <row r="274" ht="24.75" customHeight="1">
      <c r="A274" s="36" t="s">
        <v>2443</v>
      </c>
      <c r="B274" s="49" t="s">
        <v>2444</v>
      </c>
      <c r="C274" s="49" t="s">
        <v>2445</v>
      </c>
      <c r="D274" s="18" t="s">
        <v>2446</v>
      </c>
      <c r="E274" s="18" t="s">
        <v>2447</v>
      </c>
      <c r="F274" s="49" t="s">
        <v>41</v>
      </c>
      <c r="G274" s="15" t="s">
        <v>2417</v>
      </c>
      <c r="H274" s="67" t="s">
        <v>184</v>
      </c>
      <c r="I274" s="67" t="s">
        <v>2448</v>
      </c>
      <c r="J274" s="14"/>
      <c r="K274" s="73" t="s">
        <v>2449</v>
      </c>
      <c r="L274" s="14"/>
      <c r="M274" s="74" t="s">
        <v>2450</v>
      </c>
      <c r="N274" s="14"/>
      <c r="O274" s="14"/>
      <c r="P274" s="14"/>
      <c r="Q274" s="14"/>
      <c r="R274" s="14"/>
      <c r="S274" s="14"/>
      <c r="T274" s="14"/>
      <c r="U274" s="18"/>
      <c r="V274" s="18"/>
      <c r="W274" s="18"/>
      <c r="X274" s="18"/>
      <c r="Y274" s="18"/>
      <c r="Z274" s="18"/>
      <c r="AA274" s="18"/>
      <c r="AB274" s="18"/>
      <c r="AC274" s="18"/>
      <c r="AD274" s="18"/>
    </row>
    <row r="275" ht="24.75" customHeight="1">
      <c r="A275" s="36" t="s">
        <v>2451</v>
      </c>
      <c r="B275" s="49" t="s">
        <v>2452</v>
      </c>
      <c r="C275" s="49" t="s">
        <v>2453</v>
      </c>
      <c r="D275" s="18" t="s">
        <v>2454</v>
      </c>
      <c r="E275" s="18" t="s">
        <v>27</v>
      </c>
      <c r="F275" s="49" t="s">
        <v>41</v>
      </c>
      <c r="G275" s="15" t="s">
        <v>2417</v>
      </c>
      <c r="H275" s="67" t="s">
        <v>2455</v>
      </c>
      <c r="I275" s="67" t="s">
        <v>2456</v>
      </c>
      <c r="J275" s="14"/>
      <c r="K275" s="75" t="s">
        <v>2457</v>
      </c>
      <c r="L275" s="14"/>
      <c r="M275" s="76" t="s">
        <v>2458</v>
      </c>
      <c r="N275" s="14"/>
      <c r="O275" s="14"/>
      <c r="P275" s="14"/>
      <c r="Q275" s="14"/>
      <c r="R275" s="14"/>
      <c r="S275" s="14"/>
      <c r="T275" s="14"/>
      <c r="U275" s="18"/>
      <c r="V275" s="18"/>
      <c r="W275" s="18"/>
      <c r="X275" s="18"/>
      <c r="Y275" s="18"/>
      <c r="Z275" s="18"/>
      <c r="AA275" s="18"/>
      <c r="AB275" s="18"/>
      <c r="AC275" s="18"/>
      <c r="AD275" s="18"/>
    </row>
    <row r="276" ht="24.75" customHeight="1">
      <c r="A276" s="36" t="s">
        <v>2459</v>
      </c>
      <c r="B276" s="49" t="s">
        <v>2460</v>
      </c>
      <c r="C276" s="49" t="s">
        <v>2461</v>
      </c>
      <c r="D276" s="18" t="s">
        <v>2462</v>
      </c>
      <c r="E276" s="18" t="s">
        <v>1383</v>
      </c>
      <c r="F276" s="49" t="s">
        <v>41</v>
      </c>
      <c r="G276" s="15" t="s">
        <v>2417</v>
      </c>
      <c r="H276" s="67" t="s">
        <v>2463</v>
      </c>
      <c r="I276" s="67" t="s">
        <v>2464</v>
      </c>
      <c r="J276" s="14"/>
      <c r="K276" s="73" t="s">
        <v>2465</v>
      </c>
      <c r="L276" s="14"/>
      <c r="M276" s="74" t="s">
        <v>2466</v>
      </c>
      <c r="N276" s="14"/>
      <c r="O276" s="14"/>
      <c r="P276" s="14"/>
      <c r="Q276" s="14"/>
      <c r="R276" s="14"/>
      <c r="S276" s="14"/>
      <c r="T276" s="14"/>
      <c r="U276" s="18"/>
      <c r="V276" s="18"/>
      <c r="W276" s="18"/>
      <c r="X276" s="18"/>
      <c r="Y276" s="18"/>
      <c r="Z276" s="18"/>
      <c r="AA276" s="18"/>
      <c r="AB276" s="18"/>
      <c r="AC276" s="18"/>
      <c r="AD276" s="18"/>
    </row>
    <row r="277" ht="24.75" customHeight="1">
      <c r="A277" s="36" t="s">
        <v>2467</v>
      </c>
      <c r="B277" s="49" t="s">
        <v>2468</v>
      </c>
      <c r="C277" s="49" t="s">
        <v>2469</v>
      </c>
      <c r="D277" s="18" t="s">
        <v>2470</v>
      </c>
      <c r="E277" s="18" t="s">
        <v>54</v>
      </c>
      <c r="F277" s="49" t="s">
        <v>89</v>
      </c>
      <c r="G277" s="15" t="s">
        <v>2417</v>
      </c>
      <c r="H277" s="67" t="s">
        <v>2471</v>
      </c>
      <c r="I277" s="67" t="s">
        <v>2472</v>
      </c>
      <c r="J277" s="14"/>
      <c r="K277" s="75" t="s">
        <v>2473</v>
      </c>
      <c r="L277" s="14"/>
      <c r="M277" s="76" t="s">
        <v>2474</v>
      </c>
      <c r="N277" s="14"/>
      <c r="O277" s="14"/>
      <c r="P277" s="14"/>
      <c r="Q277" s="14"/>
      <c r="R277" s="14"/>
      <c r="S277" s="14"/>
      <c r="T277" s="14"/>
      <c r="U277" s="18"/>
      <c r="V277" s="18"/>
      <c r="W277" s="18"/>
      <c r="X277" s="18"/>
      <c r="Y277" s="18"/>
      <c r="Z277" s="18"/>
      <c r="AA277" s="18"/>
      <c r="AB277" s="18"/>
      <c r="AC277" s="18"/>
      <c r="AD277" s="18"/>
    </row>
    <row r="278" ht="24.75" customHeight="1">
      <c r="A278" s="36" t="s">
        <v>2475</v>
      </c>
      <c r="B278" s="49" t="s">
        <v>2476</v>
      </c>
      <c r="C278" s="49" t="s">
        <v>2477</v>
      </c>
      <c r="D278" s="18" t="s">
        <v>2478</v>
      </c>
      <c r="E278" s="18" t="s">
        <v>1947</v>
      </c>
      <c r="F278" s="49" t="s">
        <v>41</v>
      </c>
      <c r="G278" s="15" t="s">
        <v>2417</v>
      </c>
      <c r="H278" s="67" t="s">
        <v>311</v>
      </c>
      <c r="I278" s="67" t="s">
        <v>2479</v>
      </c>
      <c r="J278" s="14"/>
      <c r="K278" s="73" t="s">
        <v>2480</v>
      </c>
      <c r="L278" s="14"/>
      <c r="M278" s="74" t="s">
        <v>2481</v>
      </c>
      <c r="N278" s="14"/>
      <c r="O278" s="14"/>
      <c r="P278" s="14"/>
      <c r="Q278" s="14"/>
      <c r="R278" s="14"/>
      <c r="S278" s="14"/>
      <c r="T278" s="14"/>
      <c r="U278" s="18"/>
      <c r="V278" s="18"/>
      <c r="W278" s="18"/>
      <c r="X278" s="18"/>
      <c r="Y278" s="18"/>
      <c r="Z278" s="18"/>
      <c r="AA278" s="18"/>
      <c r="AB278" s="18"/>
      <c r="AC278" s="18"/>
      <c r="AD278" s="18"/>
    </row>
    <row r="279" ht="24.75" customHeight="1">
      <c r="A279" s="36" t="s">
        <v>2482</v>
      </c>
      <c r="B279" s="49" t="s">
        <v>2483</v>
      </c>
      <c r="C279" s="49" t="s">
        <v>2484</v>
      </c>
      <c r="D279" s="18" t="s">
        <v>2485</v>
      </c>
      <c r="E279" s="18" t="s">
        <v>465</v>
      </c>
      <c r="F279" s="49" t="s">
        <v>89</v>
      </c>
      <c r="G279" s="15" t="s">
        <v>2417</v>
      </c>
      <c r="H279" s="67" t="s">
        <v>1953</v>
      </c>
      <c r="I279" s="67" t="s">
        <v>2486</v>
      </c>
      <c r="J279" s="14"/>
      <c r="K279" s="75" t="s">
        <v>2487</v>
      </c>
      <c r="L279" s="14"/>
      <c r="M279" s="76" t="s">
        <v>2488</v>
      </c>
      <c r="N279" s="14"/>
      <c r="O279" s="14"/>
      <c r="P279" s="14"/>
      <c r="Q279" s="14"/>
      <c r="R279" s="14"/>
      <c r="S279" s="14"/>
      <c r="T279" s="14"/>
      <c r="U279" s="18"/>
      <c r="V279" s="18"/>
      <c r="W279" s="18"/>
      <c r="X279" s="18"/>
      <c r="Y279" s="18"/>
      <c r="Z279" s="18"/>
      <c r="AA279" s="18"/>
      <c r="AB279" s="18"/>
      <c r="AC279" s="18"/>
      <c r="AD279" s="18"/>
    </row>
    <row r="280" ht="24.75" customHeight="1">
      <c r="A280" s="36" t="s">
        <v>2489</v>
      </c>
      <c r="B280" s="49" t="s">
        <v>2490</v>
      </c>
      <c r="C280" s="49" t="s">
        <v>2491</v>
      </c>
      <c r="D280" s="18" t="s">
        <v>2492</v>
      </c>
      <c r="E280" s="18" t="s">
        <v>1268</v>
      </c>
      <c r="F280" s="49" t="s">
        <v>41</v>
      </c>
      <c r="G280" s="15" t="s">
        <v>2417</v>
      </c>
      <c r="H280" s="67" t="s">
        <v>2493</v>
      </c>
      <c r="I280" s="67" t="s">
        <v>2494</v>
      </c>
      <c r="J280" s="14"/>
      <c r="K280" s="73" t="s">
        <v>2495</v>
      </c>
      <c r="L280" s="14"/>
      <c r="M280" s="74" t="s">
        <v>2496</v>
      </c>
      <c r="N280" s="14"/>
      <c r="O280" s="14"/>
      <c r="P280" s="14"/>
      <c r="Q280" s="14"/>
      <c r="R280" s="14"/>
      <c r="S280" s="14"/>
      <c r="T280" s="14"/>
      <c r="U280" s="18"/>
      <c r="V280" s="18"/>
      <c r="W280" s="18"/>
      <c r="X280" s="18"/>
      <c r="Y280" s="18"/>
      <c r="Z280" s="18"/>
      <c r="AA280" s="18"/>
      <c r="AB280" s="18"/>
      <c r="AC280" s="18"/>
      <c r="AD280" s="18"/>
    </row>
    <row r="281" ht="24.75" customHeight="1">
      <c r="A281" s="28" t="s">
        <v>2497</v>
      </c>
      <c r="B281" s="26" t="s">
        <v>2498</v>
      </c>
      <c r="C281" s="26" t="s">
        <v>2499</v>
      </c>
      <c r="D281" s="26" t="s">
        <v>2500</v>
      </c>
      <c r="E281" s="26" t="s">
        <v>1268</v>
      </c>
      <c r="F281" s="53" t="s">
        <v>89</v>
      </c>
      <c r="G281" s="24" t="s">
        <v>2501</v>
      </c>
      <c r="H281" s="54" t="s">
        <v>2502</v>
      </c>
      <c r="I281" s="54" t="s">
        <v>2503</v>
      </c>
      <c r="J281" s="23"/>
      <c r="K281" s="54" t="s">
        <v>2504</v>
      </c>
      <c r="L281" s="23"/>
      <c r="M281" s="26" t="s">
        <v>2505</v>
      </c>
      <c r="N281" s="23"/>
      <c r="O281" s="23"/>
      <c r="P281" s="23"/>
      <c r="Q281" s="23"/>
      <c r="R281" s="23"/>
      <c r="S281" s="23"/>
      <c r="T281" s="23"/>
      <c r="U281" s="26"/>
      <c r="V281" s="26"/>
      <c r="W281" s="26"/>
      <c r="X281" s="26"/>
      <c r="Y281" s="26"/>
      <c r="Z281" s="26"/>
      <c r="AA281" s="26"/>
      <c r="AB281" s="26"/>
      <c r="AC281" s="26"/>
      <c r="AD281" s="26"/>
    </row>
    <row r="282" ht="24.75" customHeight="1">
      <c r="A282" s="28" t="s">
        <v>2506</v>
      </c>
      <c r="B282" s="26" t="s">
        <v>2507</v>
      </c>
      <c r="C282" s="26" t="s">
        <v>2508</v>
      </c>
      <c r="D282" s="26" t="s">
        <v>2509</v>
      </c>
      <c r="E282" s="26" t="s">
        <v>2510</v>
      </c>
      <c r="F282" s="53" t="s">
        <v>41</v>
      </c>
      <c r="G282" s="24" t="s">
        <v>2501</v>
      </c>
      <c r="H282" s="54" t="s">
        <v>184</v>
      </c>
      <c r="I282" s="54" t="s">
        <v>2511</v>
      </c>
      <c r="J282" s="23"/>
      <c r="K282" s="54" t="s">
        <v>2512</v>
      </c>
      <c r="L282" s="23"/>
      <c r="M282" s="26" t="s">
        <v>2513</v>
      </c>
      <c r="N282" s="23"/>
      <c r="O282" s="23"/>
      <c r="P282" s="23"/>
      <c r="Q282" s="23"/>
      <c r="R282" s="23"/>
      <c r="S282" s="23"/>
      <c r="T282" s="23"/>
      <c r="U282" s="26"/>
      <c r="V282" s="26"/>
      <c r="W282" s="26"/>
      <c r="X282" s="26"/>
      <c r="Y282" s="26"/>
      <c r="Z282" s="26"/>
      <c r="AA282" s="26"/>
      <c r="AB282" s="26"/>
      <c r="AC282" s="26"/>
      <c r="AD282" s="26"/>
    </row>
    <row r="283" ht="24.75" customHeight="1">
      <c r="A283" s="28" t="s">
        <v>2514</v>
      </c>
      <c r="B283" s="26" t="s">
        <v>2515</v>
      </c>
      <c r="C283" s="26" t="s">
        <v>2516</v>
      </c>
      <c r="D283" s="26" t="s">
        <v>2517</v>
      </c>
      <c r="E283" s="26" t="s">
        <v>1106</v>
      </c>
      <c r="F283" s="53" t="s">
        <v>89</v>
      </c>
      <c r="G283" s="24" t="s">
        <v>2501</v>
      </c>
      <c r="H283" s="54" t="s">
        <v>311</v>
      </c>
      <c r="I283" s="54" t="s">
        <v>2518</v>
      </c>
      <c r="J283" s="23"/>
      <c r="K283" s="54" t="s">
        <v>2519</v>
      </c>
      <c r="L283" s="23"/>
      <c r="M283" s="26" t="s">
        <v>2520</v>
      </c>
      <c r="N283" s="23"/>
      <c r="O283" s="23"/>
      <c r="P283" s="23"/>
      <c r="Q283" s="23"/>
      <c r="R283" s="23"/>
      <c r="S283" s="23"/>
      <c r="T283" s="23"/>
      <c r="U283" s="26"/>
      <c r="V283" s="26"/>
      <c r="W283" s="26"/>
      <c r="X283" s="26"/>
      <c r="Y283" s="26"/>
      <c r="Z283" s="26"/>
      <c r="AA283" s="26"/>
      <c r="AB283" s="26"/>
      <c r="AC283" s="26"/>
      <c r="AD283" s="26"/>
    </row>
    <row r="284" ht="24.75" customHeight="1">
      <c r="A284" s="28" t="s">
        <v>2521</v>
      </c>
      <c r="B284" s="26" t="s">
        <v>2522</v>
      </c>
      <c r="C284" s="26" t="s">
        <v>2523</v>
      </c>
      <c r="D284" s="26" t="s">
        <v>2524</v>
      </c>
      <c r="E284" s="26" t="s">
        <v>1106</v>
      </c>
      <c r="F284" s="53" t="s">
        <v>41</v>
      </c>
      <c r="G284" s="24" t="s">
        <v>2501</v>
      </c>
      <c r="H284" s="54" t="s">
        <v>161</v>
      </c>
      <c r="I284" s="54" t="s">
        <v>2525</v>
      </c>
      <c r="J284" s="23"/>
      <c r="K284" s="54" t="s">
        <v>2526</v>
      </c>
      <c r="L284" s="23"/>
      <c r="M284" s="26" t="s">
        <v>2527</v>
      </c>
      <c r="N284" s="23"/>
      <c r="O284" s="23"/>
      <c r="P284" s="23"/>
      <c r="Q284" s="23"/>
      <c r="R284" s="23"/>
      <c r="S284" s="23"/>
      <c r="T284" s="23"/>
      <c r="U284" s="26"/>
      <c r="V284" s="26"/>
      <c r="W284" s="26"/>
      <c r="X284" s="26"/>
      <c r="Y284" s="26"/>
      <c r="Z284" s="26"/>
      <c r="AA284" s="26"/>
      <c r="AB284" s="26"/>
      <c r="AC284" s="26"/>
      <c r="AD284" s="26"/>
    </row>
    <row r="285" ht="24.75" customHeight="1">
      <c r="A285" s="28" t="s">
        <v>2528</v>
      </c>
      <c r="B285" s="26" t="s">
        <v>2529</v>
      </c>
      <c r="C285" s="26" t="s">
        <v>2530</v>
      </c>
      <c r="D285" s="26" t="s">
        <v>2531</v>
      </c>
      <c r="E285" s="26" t="s">
        <v>54</v>
      </c>
      <c r="F285" s="53" t="s">
        <v>89</v>
      </c>
      <c r="G285" s="24" t="s">
        <v>2501</v>
      </c>
      <c r="H285" s="54" t="s">
        <v>2299</v>
      </c>
      <c r="I285" s="54" t="s">
        <v>2532</v>
      </c>
      <c r="J285" s="23"/>
      <c r="K285" s="54" t="s">
        <v>2533</v>
      </c>
      <c r="L285" s="23"/>
      <c r="M285" s="26" t="s">
        <v>2534</v>
      </c>
      <c r="N285" s="23"/>
      <c r="O285" s="23"/>
      <c r="P285" s="23"/>
      <c r="Q285" s="23"/>
      <c r="R285" s="23"/>
      <c r="S285" s="23"/>
      <c r="T285" s="23"/>
      <c r="U285" s="26"/>
      <c r="V285" s="26"/>
      <c r="W285" s="26"/>
      <c r="X285" s="26"/>
      <c r="Y285" s="26"/>
      <c r="Z285" s="26"/>
      <c r="AA285" s="26"/>
      <c r="AB285" s="26"/>
      <c r="AC285" s="26"/>
      <c r="AD285" s="26"/>
    </row>
    <row r="286" ht="24.75" customHeight="1">
      <c r="A286" s="28" t="s">
        <v>2535</v>
      </c>
      <c r="B286" s="26" t="s">
        <v>2536</v>
      </c>
      <c r="C286" s="26" t="s">
        <v>2537</v>
      </c>
      <c r="D286" s="26" t="s">
        <v>2538</v>
      </c>
      <c r="E286" s="26" t="s">
        <v>465</v>
      </c>
      <c r="F286" s="53" t="s">
        <v>41</v>
      </c>
      <c r="G286" s="24" t="s">
        <v>2501</v>
      </c>
      <c r="H286" s="54" t="s">
        <v>2463</v>
      </c>
      <c r="I286" s="54" t="s">
        <v>2539</v>
      </c>
      <c r="J286" s="23"/>
      <c r="K286" s="54" t="s">
        <v>2540</v>
      </c>
      <c r="L286" s="23"/>
      <c r="M286" s="26" t="s">
        <v>2541</v>
      </c>
      <c r="N286" s="23"/>
      <c r="O286" s="23"/>
      <c r="P286" s="23"/>
      <c r="Q286" s="23"/>
      <c r="R286" s="23"/>
      <c r="S286" s="23"/>
      <c r="T286" s="23"/>
      <c r="U286" s="26"/>
      <c r="V286" s="26"/>
      <c r="W286" s="26"/>
      <c r="X286" s="26"/>
      <c r="Y286" s="26"/>
      <c r="Z286" s="26"/>
      <c r="AA286" s="26"/>
      <c r="AB286" s="26"/>
      <c r="AC286" s="26"/>
      <c r="AD286" s="26"/>
    </row>
    <row r="287" ht="24.75" customHeight="1">
      <c r="A287" s="28" t="s">
        <v>2542</v>
      </c>
      <c r="B287" s="26" t="s">
        <v>2543</v>
      </c>
      <c r="C287" s="26" t="s">
        <v>2544</v>
      </c>
      <c r="D287" s="26" t="s">
        <v>2545</v>
      </c>
      <c r="E287" s="26" t="s">
        <v>1268</v>
      </c>
      <c r="F287" s="53" t="s">
        <v>41</v>
      </c>
      <c r="G287" s="24" t="s">
        <v>2501</v>
      </c>
      <c r="H287" s="54" t="s">
        <v>2463</v>
      </c>
      <c r="I287" s="54" t="s">
        <v>2546</v>
      </c>
      <c r="J287" s="23"/>
      <c r="K287" s="54" t="s">
        <v>2547</v>
      </c>
      <c r="L287" s="23"/>
      <c r="M287" s="26" t="s">
        <v>2548</v>
      </c>
      <c r="N287" s="23"/>
      <c r="O287" s="23"/>
      <c r="P287" s="23"/>
      <c r="Q287" s="23"/>
      <c r="R287" s="23"/>
      <c r="S287" s="23"/>
      <c r="T287" s="23"/>
      <c r="U287" s="26"/>
      <c r="V287" s="26"/>
      <c r="W287" s="26"/>
      <c r="X287" s="26"/>
      <c r="Y287" s="26"/>
      <c r="Z287" s="26"/>
      <c r="AA287" s="26"/>
      <c r="AB287" s="26"/>
      <c r="AC287" s="26"/>
      <c r="AD287" s="26"/>
    </row>
    <row r="288" ht="24.75" customHeight="1">
      <c r="A288" s="28" t="s">
        <v>2549</v>
      </c>
      <c r="B288" s="26" t="s">
        <v>2550</v>
      </c>
      <c r="C288" s="26" t="s">
        <v>2551</v>
      </c>
      <c r="D288" s="26" t="s">
        <v>2552</v>
      </c>
      <c r="E288" s="26" t="s">
        <v>1268</v>
      </c>
      <c r="F288" s="53" t="s">
        <v>89</v>
      </c>
      <c r="G288" s="24" t="s">
        <v>2501</v>
      </c>
      <c r="H288" s="54" t="s">
        <v>2553</v>
      </c>
      <c r="I288" s="54" t="s">
        <v>2554</v>
      </c>
      <c r="J288" s="23"/>
      <c r="K288" s="54" t="s">
        <v>2555</v>
      </c>
      <c r="L288" s="23"/>
      <c r="M288" s="26" t="s">
        <v>2556</v>
      </c>
      <c r="N288" s="23"/>
      <c r="O288" s="23"/>
      <c r="P288" s="23"/>
      <c r="Q288" s="23"/>
      <c r="R288" s="23"/>
      <c r="S288" s="23"/>
      <c r="T288" s="23"/>
      <c r="U288" s="26"/>
      <c r="V288" s="26"/>
      <c r="W288" s="26"/>
      <c r="X288" s="26"/>
      <c r="Y288" s="26"/>
      <c r="Z288" s="26"/>
      <c r="AA288" s="26"/>
      <c r="AB288" s="26"/>
      <c r="AC288" s="26"/>
      <c r="AD288" s="26"/>
    </row>
    <row r="289" ht="24.75" customHeight="1">
      <c r="A289" s="28" t="s">
        <v>2557</v>
      </c>
      <c r="B289" s="26" t="s">
        <v>2558</v>
      </c>
      <c r="C289" s="26" t="s">
        <v>2559</v>
      </c>
      <c r="D289" s="26" t="s">
        <v>2560</v>
      </c>
      <c r="E289" s="26" t="s">
        <v>1268</v>
      </c>
      <c r="F289" s="53" t="s">
        <v>89</v>
      </c>
      <c r="G289" s="24" t="s">
        <v>2501</v>
      </c>
      <c r="H289" s="54" t="s">
        <v>184</v>
      </c>
      <c r="I289" s="54" t="s">
        <v>2561</v>
      </c>
      <c r="J289" s="23"/>
      <c r="K289" s="54" t="s">
        <v>2562</v>
      </c>
      <c r="L289" s="23"/>
      <c r="M289" s="26" t="s">
        <v>2563</v>
      </c>
      <c r="N289" s="23"/>
      <c r="O289" s="23"/>
      <c r="P289" s="23"/>
      <c r="Q289" s="23"/>
      <c r="R289" s="23"/>
      <c r="S289" s="23"/>
      <c r="T289" s="23"/>
      <c r="U289" s="26"/>
      <c r="V289" s="26"/>
      <c r="W289" s="26"/>
      <c r="X289" s="26"/>
      <c r="Y289" s="26"/>
      <c r="Z289" s="26"/>
      <c r="AA289" s="26"/>
      <c r="AB289" s="26"/>
      <c r="AC289" s="26"/>
      <c r="AD289" s="26"/>
    </row>
    <row r="290" ht="24.75" customHeight="1">
      <c r="A290" s="28" t="s">
        <v>2564</v>
      </c>
      <c r="B290" s="26" t="s">
        <v>2565</v>
      </c>
      <c r="C290" s="26" t="s">
        <v>2566</v>
      </c>
      <c r="D290" s="26" t="s">
        <v>2567</v>
      </c>
      <c r="E290" s="26" t="s">
        <v>27</v>
      </c>
      <c r="F290" s="53" t="s">
        <v>89</v>
      </c>
      <c r="G290" s="24" t="s">
        <v>2501</v>
      </c>
      <c r="H290" s="54" t="s">
        <v>2463</v>
      </c>
      <c r="I290" s="54" t="s">
        <v>2568</v>
      </c>
      <c r="J290" s="23"/>
      <c r="K290" s="54" t="s">
        <v>2569</v>
      </c>
      <c r="L290" s="23"/>
      <c r="M290" s="26" t="s">
        <v>2570</v>
      </c>
      <c r="N290" s="23"/>
      <c r="O290" s="23"/>
      <c r="P290" s="23"/>
      <c r="Q290" s="23"/>
      <c r="R290" s="23"/>
      <c r="S290" s="23"/>
      <c r="T290" s="23"/>
      <c r="U290" s="26"/>
      <c r="V290" s="26"/>
      <c r="W290" s="26"/>
      <c r="X290" s="26"/>
      <c r="Y290" s="26"/>
      <c r="Z290" s="26"/>
      <c r="AA290" s="26"/>
      <c r="AB290" s="26"/>
      <c r="AC290" s="26"/>
      <c r="AD290" s="26"/>
    </row>
    <row r="291" ht="24.75" customHeight="1">
      <c r="A291" s="28" t="s">
        <v>2571</v>
      </c>
      <c r="B291" s="26" t="s">
        <v>2572</v>
      </c>
      <c r="C291" s="26" t="s">
        <v>2573</v>
      </c>
      <c r="D291" s="26" t="s">
        <v>2574</v>
      </c>
      <c r="E291" s="26" t="s">
        <v>1383</v>
      </c>
      <c r="F291" s="53" t="s">
        <v>89</v>
      </c>
      <c r="G291" s="24" t="s">
        <v>2501</v>
      </c>
      <c r="H291" s="54" t="s">
        <v>1829</v>
      </c>
      <c r="I291" s="54" t="s">
        <v>2575</v>
      </c>
      <c r="J291" s="23"/>
      <c r="K291" s="54" t="s">
        <v>2576</v>
      </c>
      <c r="L291" s="23"/>
      <c r="M291" s="26" t="s">
        <v>2577</v>
      </c>
      <c r="N291" s="23"/>
      <c r="O291" s="23"/>
      <c r="P291" s="23"/>
      <c r="Q291" s="23"/>
      <c r="R291" s="23"/>
      <c r="S291" s="23"/>
      <c r="T291" s="23"/>
      <c r="U291" s="26"/>
      <c r="V291" s="26"/>
      <c r="W291" s="26"/>
      <c r="X291" s="26"/>
      <c r="Y291" s="26"/>
      <c r="Z291" s="26"/>
      <c r="AA291" s="26"/>
      <c r="AB291" s="26"/>
      <c r="AC291" s="26"/>
      <c r="AD291" s="26"/>
    </row>
    <row r="292" ht="24.75" customHeight="1">
      <c r="A292" s="19"/>
      <c r="B292" s="18"/>
      <c r="C292" s="18"/>
      <c r="D292" s="18"/>
      <c r="E292" s="18"/>
      <c r="F292" s="18"/>
      <c r="G292" s="14"/>
      <c r="H292" s="14"/>
      <c r="I292" s="14"/>
      <c r="J292" s="14"/>
      <c r="K292" s="14"/>
      <c r="L292" s="14"/>
      <c r="M292" s="18"/>
      <c r="N292" s="14"/>
      <c r="O292" s="14"/>
      <c r="P292" s="14"/>
      <c r="Q292" s="14"/>
      <c r="R292" s="14"/>
      <c r="S292" s="14"/>
      <c r="T292" s="14"/>
      <c r="U292" s="18"/>
      <c r="V292" s="18"/>
      <c r="W292" s="18"/>
      <c r="X292" s="18"/>
      <c r="Y292" s="18"/>
      <c r="Z292" s="18"/>
      <c r="AA292" s="18"/>
      <c r="AB292" s="18"/>
      <c r="AC292" s="18"/>
      <c r="AD292" s="18"/>
    </row>
    <row r="293" ht="24.75" customHeight="1">
      <c r="A293" s="19"/>
      <c r="B293" s="18"/>
      <c r="C293" s="18"/>
      <c r="D293" s="18"/>
      <c r="E293" s="18"/>
      <c r="F293" s="18"/>
      <c r="G293" s="14"/>
      <c r="H293" s="14"/>
      <c r="I293" s="14"/>
      <c r="J293" s="14"/>
      <c r="K293" s="14"/>
      <c r="L293" s="14"/>
      <c r="M293" s="18"/>
      <c r="N293" s="14"/>
      <c r="O293" s="14"/>
      <c r="P293" s="14"/>
      <c r="Q293" s="14"/>
      <c r="R293" s="14"/>
      <c r="S293" s="14"/>
      <c r="T293" s="14"/>
      <c r="U293" s="18"/>
      <c r="V293" s="18"/>
      <c r="W293" s="18"/>
      <c r="X293" s="18"/>
      <c r="Y293" s="18"/>
      <c r="Z293" s="18"/>
      <c r="AA293" s="18"/>
      <c r="AB293" s="18"/>
      <c r="AC293" s="18"/>
      <c r="AD293" s="18"/>
    </row>
    <row r="294" ht="24.75" customHeight="1">
      <c r="A294" s="19"/>
      <c r="B294" s="18"/>
      <c r="C294" s="18"/>
      <c r="D294" s="18"/>
      <c r="E294" s="18"/>
      <c r="F294" s="18"/>
      <c r="G294" s="14"/>
      <c r="H294" s="14"/>
      <c r="I294" s="14"/>
      <c r="J294" s="14"/>
      <c r="K294" s="14"/>
      <c r="L294" s="14"/>
      <c r="M294" s="18"/>
      <c r="N294" s="14"/>
      <c r="O294" s="14"/>
      <c r="P294" s="14"/>
      <c r="Q294" s="14"/>
      <c r="R294" s="14"/>
      <c r="S294" s="14"/>
      <c r="T294" s="14"/>
      <c r="U294" s="18"/>
      <c r="V294" s="18"/>
      <c r="W294" s="18"/>
      <c r="X294" s="18"/>
      <c r="Y294" s="18"/>
      <c r="Z294" s="18"/>
      <c r="AA294" s="18"/>
      <c r="AB294" s="18"/>
      <c r="AC294" s="18"/>
      <c r="AD294" s="18"/>
    </row>
    <row r="295" ht="24.75" customHeight="1">
      <c r="A295" s="19"/>
      <c r="B295" s="18"/>
      <c r="C295" s="18"/>
      <c r="D295" s="18"/>
      <c r="E295" s="18"/>
      <c r="F295" s="18"/>
      <c r="G295" s="14"/>
      <c r="H295" s="14"/>
      <c r="I295" s="14"/>
      <c r="J295" s="14"/>
      <c r="K295" s="14"/>
      <c r="L295" s="14"/>
      <c r="M295" s="18"/>
      <c r="N295" s="14"/>
      <c r="O295" s="14"/>
      <c r="P295" s="14"/>
      <c r="Q295" s="14"/>
      <c r="R295" s="14"/>
      <c r="S295" s="14"/>
      <c r="T295" s="14"/>
      <c r="U295" s="18"/>
      <c r="V295" s="18"/>
      <c r="W295" s="18"/>
      <c r="X295" s="18"/>
      <c r="Y295" s="18"/>
      <c r="Z295" s="18"/>
      <c r="AA295" s="18"/>
      <c r="AB295" s="18"/>
      <c r="AC295" s="18"/>
      <c r="AD295" s="18"/>
    </row>
    <row r="296" ht="24.75" customHeight="1">
      <c r="A296" s="19"/>
      <c r="B296" s="18"/>
      <c r="C296" s="18"/>
      <c r="D296" s="18"/>
      <c r="E296" s="18"/>
      <c r="F296" s="18"/>
      <c r="G296" s="14"/>
      <c r="H296" s="14"/>
      <c r="I296" s="14"/>
      <c r="J296" s="14"/>
      <c r="K296" s="14"/>
      <c r="L296" s="14"/>
      <c r="M296" s="18"/>
      <c r="N296" s="14"/>
      <c r="O296" s="14"/>
      <c r="P296" s="14"/>
      <c r="Q296" s="14"/>
      <c r="R296" s="14"/>
      <c r="S296" s="14"/>
      <c r="T296" s="14"/>
      <c r="U296" s="18"/>
      <c r="V296" s="18"/>
      <c r="W296" s="18"/>
      <c r="X296" s="18"/>
      <c r="Y296" s="18"/>
      <c r="Z296" s="18"/>
      <c r="AA296" s="18"/>
      <c r="AB296" s="18"/>
      <c r="AC296" s="18"/>
      <c r="AD296" s="18"/>
    </row>
    <row r="297" ht="24.75" customHeight="1">
      <c r="A297" s="19"/>
      <c r="B297" s="18"/>
      <c r="C297" s="18"/>
      <c r="D297" s="18"/>
      <c r="E297" s="18"/>
      <c r="F297" s="18"/>
      <c r="G297" s="14"/>
      <c r="H297" s="14"/>
      <c r="I297" s="14"/>
      <c r="J297" s="14"/>
      <c r="K297" s="14"/>
      <c r="L297" s="14"/>
      <c r="M297" s="18"/>
      <c r="N297" s="14"/>
      <c r="O297" s="14"/>
      <c r="P297" s="14"/>
      <c r="Q297" s="14"/>
      <c r="R297" s="14"/>
      <c r="S297" s="14"/>
      <c r="T297" s="14"/>
      <c r="U297" s="18"/>
      <c r="V297" s="18"/>
      <c r="W297" s="18"/>
      <c r="X297" s="18"/>
      <c r="Y297" s="18"/>
      <c r="Z297" s="18"/>
      <c r="AA297" s="18"/>
      <c r="AB297" s="18"/>
      <c r="AC297" s="18"/>
      <c r="AD297" s="18"/>
    </row>
    <row r="298" ht="24.75" customHeight="1">
      <c r="A298" s="19"/>
      <c r="B298" s="18"/>
      <c r="C298" s="18"/>
      <c r="D298" s="18"/>
      <c r="E298" s="18"/>
      <c r="F298" s="18"/>
      <c r="G298" s="14"/>
      <c r="H298" s="14"/>
      <c r="I298" s="14"/>
      <c r="J298" s="14"/>
      <c r="K298" s="14"/>
      <c r="L298" s="14"/>
      <c r="M298" s="18"/>
      <c r="N298" s="14"/>
      <c r="O298" s="14"/>
      <c r="P298" s="14"/>
      <c r="Q298" s="14"/>
      <c r="R298" s="14"/>
      <c r="S298" s="14"/>
      <c r="T298" s="14"/>
      <c r="U298" s="18"/>
      <c r="V298" s="18"/>
      <c r="W298" s="18"/>
      <c r="X298" s="18"/>
      <c r="Y298" s="18"/>
      <c r="Z298" s="18"/>
      <c r="AA298" s="18"/>
      <c r="AB298" s="18"/>
      <c r="AC298" s="18"/>
      <c r="AD298" s="18"/>
    </row>
    <row r="299" ht="24.75" customHeight="1">
      <c r="A299" s="19"/>
      <c r="B299" s="18"/>
      <c r="C299" s="18"/>
      <c r="D299" s="18"/>
      <c r="E299" s="18"/>
      <c r="F299" s="18"/>
      <c r="G299" s="14"/>
      <c r="H299" s="14"/>
      <c r="I299" s="14"/>
      <c r="J299" s="14"/>
      <c r="K299" s="14"/>
      <c r="L299" s="14"/>
      <c r="M299" s="18"/>
      <c r="N299" s="14"/>
      <c r="O299" s="14"/>
      <c r="P299" s="14"/>
      <c r="Q299" s="14"/>
      <c r="R299" s="14"/>
      <c r="S299" s="14"/>
      <c r="T299" s="14"/>
      <c r="U299" s="18"/>
      <c r="V299" s="18"/>
      <c r="W299" s="18"/>
      <c r="X299" s="18"/>
      <c r="Y299" s="18"/>
      <c r="Z299" s="18"/>
      <c r="AA299" s="18"/>
      <c r="AB299" s="18"/>
      <c r="AC299" s="18"/>
      <c r="AD299" s="18"/>
    </row>
    <row r="300" ht="24.75" customHeight="1">
      <c r="A300" s="19"/>
      <c r="B300" s="18"/>
      <c r="C300" s="18"/>
      <c r="D300" s="18"/>
      <c r="E300" s="18"/>
      <c r="F300" s="18"/>
      <c r="G300" s="14"/>
      <c r="H300" s="14"/>
      <c r="I300" s="14"/>
      <c r="J300" s="14"/>
      <c r="K300" s="14"/>
      <c r="L300" s="14"/>
      <c r="M300" s="18"/>
      <c r="N300" s="14"/>
      <c r="O300" s="14"/>
      <c r="P300" s="14"/>
      <c r="Q300" s="14"/>
      <c r="R300" s="14"/>
      <c r="S300" s="14"/>
      <c r="T300" s="14"/>
      <c r="U300" s="18"/>
      <c r="V300" s="18"/>
      <c r="W300" s="18"/>
      <c r="X300" s="18"/>
      <c r="Y300" s="18"/>
      <c r="Z300" s="18"/>
      <c r="AA300" s="18"/>
      <c r="AB300" s="18"/>
      <c r="AC300" s="18"/>
      <c r="AD300" s="18"/>
    </row>
    <row r="301" ht="24.75" customHeight="1">
      <c r="A301" s="19"/>
      <c r="B301" s="18"/>
      <c r="C301" s="18"/>
      <c r="D301" s="18"/>
      <c r="E301" s="18"/>
      <c r="F301" s="18"/>
      <c r="G301" s="14"/>
      <c r="H301" s="14"/>
      <c r="I301" s="14"/>
      <c r="J301" s="14"/>
      <c r="K301" s="14"/>
      <c r="L301" s="14"/>
      <c r="M301" s="18"/>
      <c r="N301" s="14"/>
      <c r="O301" s="14"/>
      <c r="P301" s="14"/>
      <c r="Q301" s="14"/>
      <c r="R301" s="14"/>
      <c r="S301" s="14"/>
      <c r="T301" s="14"/>
      <c r="U301" s="18"/>
      <c r="V301" s="18"/>
      <c r="W301" s="18"/>
      <c r="X301" s="18"/>
      <c r="Y301" s="18"/>
      <c r="Z301" s="18"/>
      <c r="AA301" s="18"/>
      <c r="AB301" s="18"/>
      <c r="AC301" s="18"/>
      <c r="AD301" s="18"/>
    </row>
    <row r="302" ht="24.75" customHeight="1">
      <c r="A302" s="19"/>
      <c r="B302" s="18"/>
      <c r="C302" s="18"/>
      <c r="D302" s="18"/>
      <c r="E302" s="18"/>
      <c r="F302" s="18"/>
      <c r="G302" s="14"/>
      <c r="H302" s="14"/>
      <c r="I302" s="14"/>
      <c r="J302" s="14"/>
      <c r="K302" s="14"/>
      <c r="L302" s="14"/>
      <c r="M302" s="18"/>
      <c r="N302" s="14"/>
      <c r="O302" s="14"/>
      <c r="P302" s="14"/>
      <c r="Q302" s="14"/>
      <c r="R302" s="14"/>
      <c r="S302" s="14"/>
      <c r="T302" s="14"/>
      <c r="U302" s="18"/>
      <c r="V302" s="18"/>
      <c r="W302" s="18"/>
      <c r="X302" s="18"/>
      <c r="Y302" s="18"/>
      <c r="Z302" s="18"/>
      <c r="AA302" s="18"/>
      <c r="AB302" s="18"/>
      <c r="AC302" s="18"/>
      <c r="AD302" s="18"/>
    </row>
    <row r="303" ht="24.75" customHeight="1">
      <c r="A303" s="19"/>
      <c r="B303" s="18"/>
      <c r="C303" s="18"/>
      <c r="D303" s="18"/>
      <c r="E303" s="18"/>
      <c r="F303" s="18"/>
      <c r="G303" s="14"/>
      <c r="H303" s="14"/>
      <c r="I303" s="14"/>
      <c r="J303" s="14"/>
      <c r="K303" s="14"/>
      <c r="L303" s="14"/>
      <c r="M303" s="18"/>
      <c r="N303" s="14"/>
      <c r="O303" s="14"/>
      <c r="P303" s="14"/>
      <c r="Q303" s="14"/>
      <c r="R303" s="14"/>
      <c r="S303" s="14"/>
      <c r="T303" s="14"/>
      <c r="U303" s="18"/>
      <c r="V303" s="18"/>
      <c r="W303" s="18"/>
      <c r="X303" s="18"/>
      <c r="Y303" s="18"/>
      <c r="Z303" s="18"/>
      <c r="AA303" s="18"/>
      <c r="AB303" s="18"/>
      <c r="AC303" s="18"/>
      <c r="AD303" s="18"/>
    </row>
    <row r="304" ht="24.75" customHeight="1">
      <c r="A304" s="19"/>
      <c r="B304" s="18"/>
      <c r="C304" s="18"/>
      <c r="D304" s="18"/>
      <c r="E304" s="18"/>
      <c r="F304" s="18"/>
      <c r="G304" s="14"/>
      <c r="H304" s="14"/>
      <c r="I304" s="14"/>
      <c r="J304" s="14"/>
      <c r="K304" s="14"/>
      <c r="L304" s="14"/>
      <c r="M304" s="18"/>
      <c r="N304" s="14"/>
      <c r="O304" s="14"/>
      <c r="P304" s="14"/>
      <c r="Q304" s="14"/>
      <c r="R304" s="14"/>
      <c r="S304" s="14"/>
      <c r="T304" s="14"/>
      <c r="U304" s="18"/>
      <c r="V304" s="18"/>
      <c r="W304" s="18"/>
      <c r="X304" s="18"/>
      <c r="Y304" s="18"/>
      <c r="Z304" s="18"/>
      <c r="AA304" s="18"/>
      <c r="AB304" s="18"/>
      <c r="AC304" s="18"/>
      <c r="AD304" s="18"/>
    </row>
    <row r="305" ht="24.75" customHeight="1">
      <c r="A305" s="19"/>
      <c r="B305" s="18"/>
      <c r="C305" s="18"/>
      <c r="D305" s="18"/>
      <c r="E305" s="18"/>
      <c r="F305" s="18"/>
      <c r="G305" s="14"/>
      <c r="H305" s="14"/>
      <c r="I305" s="14"/>
      <c r="J305" s="14"/>
      <c r="K305" s="14"/>
      <c r="L305" s="14"/>
      <c r="M305" s="18"/>
      <c r="N305" s="14"/>
      <c r="O305" s="14"/>
      <c r="P305" s="14"/>
      <c r="Q305" s="14"/>
      <c r="R305" s="14"/>
      <c r="S305" s="14"/>
      <c r="T305" s="14"/>
      <c r="U305" s="18"/>
      <c r="V305" s="18"/>
      <c r="W305" s="18"/>
      <c r="X305" s="18"/>
      <c r="Y305" s="18"/>
      <c r="Z305" s="18"/>
      <c r="AA305" s="18"/>
      <c r="AB305" s="18"/>
      <c r="AC305" s="18"/>
      <c r="AD305" s="18"/>
    </row>
    <row r="306" ht="24.75" customHeight="1">
      <c r="A306" s="19"/>
      <c r="B306" s="18"/>
      <c r="C306" s="18"/>
      <c r="D306" s="18"/>
      <c r="E306" s="18"/>
      <c r="F306" s="18"/>
      <c r="G306" s="14"/>
      <c r="H306" s="14"/>
      <c r="I306" s="14"/>
      <c r="J306" s="14"/>
      <c r="K306" s="14"/>
      <c r="L306" s="14"/>
      <c r="M306" s="18"/>
      <c r="N306" s="14"/>
      <c r="O306" s="14"/>
      <c r="P306" s="14"/>
      <c r="Q306" s="14"/>
      <c r="R306" s="14"/>
      <c r="S306" s="14"/>
      <c r="T306" s="14"/>
      <c r="U306" s="18"/>
      <c r="V306" s="18"/>
      <c r="W306" s="18"/>
      <c r="X306" s="18"/>
      <c r="Y306" s="18"/>
      <c r="Z306" s="18"/>
      <c r="AA306" s="18"/>
      <c r="AB306" s="18"/>
      <c r="AC306" s="18"/>
      <c r="AD306" s="18"/>
    </row>
    <row r="307" ht="24.75" customHeight="1">
      <c r="A307" s="19"/>
      <c r="B307" s="18"/>
      <c r="C307" s="18"/>
      <c r="D307" s="18"/>
      <c r="E307" s="18"/>
      <c r="F307" s="18"/>
      <c r="G307" s="14"/>
      <c r="H307" s="14"/>
      <c r="I307" s="14"/>
      <c r="J307" s="14"/>
      <c r="K307" s="14"/>
      <c r="L307" s="14"/>
      <c r="M307" s="18"/>
      <c r="N307" s="14"/>
      <c r="O307" s="14"/>
      <c r="P307" s="14"/>
      <c r="Q307" s="14"/>
      <c r="R307" s="14"/>
      <c r="S307" s="14"/>
      <c r="T307" s="14"/>
      <c r="U307" s="18"/>
      <c r="V307" s="18"/>
      <c r="W307" s="18"/>
      <c r="X307" s="18"/>
      <c r="Y307" s="18"/>
      <c r="Z307" s="18"/>
      <c r="AA307" s="18"/>
      <c r="AB307" s="18"/>
      <c r="AC307" s="18"/>
      <c r="AD307" s="18"/>
    </row>
    <row r="308" ht="24.75" customHeight="1">
      <c r="A308" s="19"/>
      <c r="B308" s="18"/>
      <c r="C308" s="18"/>
      <c r="D308" s="18"/>
      <c r="E308" s="18"/>
      <c r="F308" s="18"/>
      <c r="G308" s="14"/>
      <c r="H308" s="14"/>
      <c r="I308" s="14"/>
      <c r="J308" s="14"/>
      <c r="K308" s="14"/>
      <c r="L308" s="14"/>
      <c r="M308" s="18"/>
      <c r="N308" s="14"/>
      <c r="O308" s="14"/>
      <c r="P308" s="14"/>
      <c r="Q308" s="14"/>
      <c r="R308" s="14"/>
      <c r="S308" s="14"/>
      <c r="T308" s="14"/>
      <c r="U308" s="18"/>
      <c r="V308" s="18"/>
      <c r="W308" s="18"/>
      <c r="X308" s="18"/>
      <c r="Y308" s="18"/>
      <c r="Z308" s="18"/>
      <c r="AA308" s="18"/>
      <c r="AB308" s="18"/>
      <c r="AC308" s="18"/>
      <c r="AD308" s="18"/>
    </row>
    <row r="309" ht="24.75" customHeight="1">
      <c r="A309" s="19"/>
      <c r="B309" s="18"/>
      <c r="C309" s="18"/>
      <c r="D309" s="18"/>
      <c r="E309" s="18"/>
      <c r="F309" s="18"/>
      <c r="G309" s="14"/>
      <c r="H309" s="14"/>
      <c r="I309" s="14"/>
      <c r="J309" s="14"/>
      <c r="K309" s="14"/>
      <c r="L309" s="14"/>
      <c r="M309" s="18"/>
      <c r="N309" s="14"/>
      <c r="O309" s="14"/>
      <c r="P309" s="14"/>
      <c r="Q309" s="14"/>
      <c r="R309" s="14"/>
      <c r="S309" s="14"/>
      <c r="T309" s="14"/>
      <c r="U309" s="18"/>
      <c r="V309" s="18"/>
      <c r="W309" s="18"/>
      <c r="X309" s="18"/>
      <c r="Y309" s="18"/>
      <c r="Z309" s="18"/>
      <c r="AA309" s="18"/>
      <c r="AB309" s="18"/>
      <c r="AC309" s="18"/>
      <c r="AD309" s="18"/>
    </row>
    <row r="310" ht="24.75" customHeight="1">
      <c r="A310" s="19"/>
      <c r="B310" s="18"/>
      <c r="C310" s="18"/>
      <c r="D310" s="18"/>
      <c r="E310" s="18"/>
      <c r="F310" s="18"/>
      <c r="G310" s="14"/>
      <c r="H310" s="14"/>
      <c r="I310" s="14"/>
      <c r="J310" s="14"/>
      <c r="K310" s="14"/>
      <c r="L310" s="14"/>
      <c r="M310" s="18"/>
      <c r="N310" s="14"/>
      <c r="O310" s="14"/>
      <c r="P310" s="14"/>
      <c r="Q310" s="14"/>
      <c r="R310" s="14"/>
      <c r="S310" s="14"/>
      <c r="T310" s="14"/>
      <c r="U310" s="18"/>
      <c r="V310" s="18"/>
      <c r="W310" s="18"/>
      <c r="X310" s="18"/>
      <c r="Y310" s="18"/>
      <c r="Z310" s="18"/>
      <c r="AA310" s="18"/>
      <c r="AB310" s="18"/>
      <c r="AC310" s="18"/>
      <c r="AD310" s="18"/>
    </row>
    <row r="311" ht="24.75" customHeight="1">
      <c r="A311" s="19"/>
      <c r="B311" s="18"/>
      <c r="C311" s="18"/>
      <c r="D311" s="18"/>
      <c r="E311" s="18"/>
      <c r="F311" s="18"/>
      <c r="G311" s="14"/>
      <c r="H311" s="14"/>
      <c r="I311" s="14"/>
      <c r="J311" s="14"/>
      <c r="K311" s="14"/>
      <c r="L311" s="14"/>
      <c r="M311" s="18"/>
      <c r="N311" s="14"/>
      <c r="O311" s="14"/>
      <c r="P311" s="14"/>
      <c r="Q311" s="14"/>
      <c r="R311" s="14"/>
      <c r="S311" s="14"/>
      <c r="T311" s="14"/>
      <c r="U311" s="18"/>
      <c r="V311" s="18"/>
      <c r="W311" s="18"/>
      <c r="X311" s="18"/>
      <c r="Y311" s="18"/>
      <c r="Z311" s="18"/>
      <c r="AA311" s="18"/>
      <c r="AB311" s="18"/>
      <c r="AC311" s="18"/>
      <c r="AD311" s="18"/>
    </row>
    <row r="312" ht="24.75" customHeight="1">
      <c r="A312" s="19"/>
      <c r="B312" s="18"/>
      <c r="C312" s="18"/>
      <c r="D312" s="18"/>
      <c r="E312" s="18"/>
      <c r="F312" s="18"/>
      <c r="G312" s="14"/>
      <c r="H312" s="14"/>
      <c r="I312" s="14"/>
      <c r="J312" s="14"/>
      <c r="K312" s="14"/>
      <c r="L312" s="14"/>
      <c r="M312" s="18"/>
      <c r="N312" s="14"/>
      <c r="O312" s="14"/>
      <c r="P312" s="14"/>
      <c r="Q312" s="14"/>
      <c r="R312" s="14"/>
      <c r="S312" s="14"/>
      <c r="T312" s="14"/>
      <c r="U312" s="18"/>
      <c r="V312" s="18"/>
      <c r="W312" s="18"/>
      <c r="X312" s="18"/>
      <c r="Y312" s="18"/>
      <c r="Z312" s="18"/>
      <c r="AA312" s="18"/>
      <c r="AB312" s="18"/>
      <c r="AC312" s="18"/>
      <c r="AD312" s="18"/>
    </row>
    <row r="313" ht="24.75" customHeight="1">
      <c r="A313" s="19"/>
      <c r="B313" s="18"/>
      <c r="C313" s="18"/>
      <c r="D313" s="18"/>
      <c r="E313" s="18"/>
      <c r="F313" s="18"/>
      <c r="G313" s="14"/>
      <c r="H313" s="14"/>
      <c r="I313" s="14"/>
      <c r="J313" s="14"/>
      <c r="K313" s="14"/>
      <c r="L313" s="14"/>
      <c r="M313" s="18"/>
      <c r="N313" s="14"/>
      <c r="O313" s="14"/>
      <c r="P313" s="14"/>
      <c r="Q313" s="14"/>
      <c r="R313" s="14"/>
      <c r="S313" s="14"/>
      <c r="T313" s="14"/>
      <c r="U313" s="18"/>
      <c r="V313" s="18"/>
      <c r="W313" s="18"/>
      <c r="X313" s="18"/>
      <c r="Y313" s="18"/>
      <c r="Z313" s="18"/>
      <c r="AA313" s="18"/>
      <c r="AB313" s="18"/>
      <c r="AC313" s="18"/>
      <c r="AD313" s="18"/>
    </row>
    <row r="314" ht="24.75" customHeight="1">
      <c r="A314" s="19"/>
      <c r="B314" s="18"/>
      <c r="C314" s="18"/>
      <c r="D314" s="18"/>
      <c r="E314" s="18"/>
      <c r="F314" s="18"/>
      <c r="G314" s="14"/>
      <c r="H314" s="14"/>
      <c r="I314" s="14"/>
      <c r="J314" s="14"/>
      <c r="K314" s="14"/>
      <c r="L314" s="14"/>
      <c r="M314" s="18"/>
      <c r="N314" s="14"/>
      <c r="O314" s="14"/>
      <c r="P314" s="14"/>
      <c r="Q314" s="14"/>
      <c r="R314" s="14"/>
      <c r="S314" s="14"/>
      <c r="T314" s="14"/>
      <c r="U314" s="18"/>
      <c r="V314" s="18"/>
      <c r="W314" s="18"/>
      <c r="X314" s="18"/>
      <c r="Y314" s="18"/>
      <c r="Z314" s="18"/>
      <c r="AA314" s="18"/>
      <c r="AB314" s="18"/>
      <c r="AC314" s="18"/>
      <c r="AD314" s="18"/>
    </row>
    <row r="315" ht="24.75" customHeight="1">
      <c r="A315" s="19"/>
      <c r="B315" s="18"/>
      <c r="C315" s="18"/>
      <c r="D315" s="18"/>
      <c r="E315" s="18"/>
      <c r="F315" s="18"/>
      <c r="G315" s="14"/>
      <c r="H315" s="14"/>
      <c r="I315" s="14"/>
      <c r="J315" s="14"/>
      <c r="K315" s="14"/>
      <c r="L315" s="14"/>
      <c r="M315" s="18"/>
      <c r="N315" s="14"/>
      <c r="O315" s="14"/>
      <c r="P315" s="14"/>
      <c r="Q315" s="14"/>
      <c r="R315" s="14"/>
      <c r="S315" s="14"/>
      <c r="T315" s="14"/>
      <c r="U315" s="18"/>
      <c r="V315" s="18"/>
      <c r="W315" s="18"/>
      <c r="X315" s="18"/>
      <c r="Y315" s="18"/>
      <c r="Z315" s="18"/>
      <c r="AA315" s="18"/>
      <c r="AB315" s="18"/>
      <c r="AC315" s="18"/>
      <c r="AD315" s="18"/>
    </row>
    <row r="316" ht="24.75" customHeight="1">
      <c r="A316" s="19"/>
      <c r="B316" s="18"/>
      <c r="C316" s="18"/>
      <c r="D316" s="18"/>
      <c r="E316" s="18"/>
      <c r="F316" s="18"/>
      <c r="G316" s="14"/>
      <c r="H316" s="14"/>
      <c r="I316" s="14"/>
      <c r="J316" s="14"/>
      <c r="K316" s="14"/>
      <c r="L316" s="14"/>
      <c r="M316" s="18"/>
      <c r="N316" s="14"/>
      <c r="O316" s="14"/>
      <c r="P316" s="14"/>
      <c r="Q316" s="14"/>
      <c r="R316" s="14"/>
      <c r="S316" s="14"/>
      <c r="T316" s="14"/>
      <c r="U316" s="18"/>
      <c r="V316" s="18"/>
      <c r="W316" s="18"/>
      <c r="X316" s="18"/>
      <c r="Y316" s="18"/>
      <c r="Z316" s="18"/>
      <c r="AA316" s="18"/>
      <c r="AB316" s="18"/>
      <c r="AC316" s="18"/>
      <c r="AD316" s="18"/>
    </row>
    <row r="317" ht="24.75" customHeight="1">
      <c r="A317" s="19"/>
      <c r="B317" s="18"/>
      <c r="C317" s="18"/>
      <c r="D317" s="18"/>
      <c r="E317" s="18"/>
      <c r="F317" s="18"/>
      <c r="G317" s="14"/>
      <c r="H317" s="14"/>
      <c r="I317" s="14"/>
      <c r="J317" s="14"/>
      <c r="K317" s="14"/>
      <c r="L317" s="14"/>
      <c r="M317" s="18"/>
      <c r="N317" s="14"/>
      <c r="O317" s="14"/>
      <c r="P317" s="14"/>
      <c r="Q317" s="14"/>
      <c r="R317" s="14"/>
      <c r="S317" s="14"/>
      <c r="T317" s="14"/>
      <c r="U317" s="18"/>
      <c r="V317" s="18"/>
      <c r="W317" s="18"/>
      <c r="X317" s="18"/>
      <c r="Y317" s="18"/>
      <c r="Z317" s="18"/>
      <c r="AA317" s="18"/>
      <c r="AB317" s="18"/>
      <c r="AC317" s="18"/>
      <c r="AD317" s="18"/>
    </row>
    <row r="318" ht="24.75" customHeight="1">
      <c r="A318" s="19"/>
      <c r="B318" s="18"/>
      <c r="C318" s="18"/>
      <c r="D318" s="18"/>
      <c r="E318" s="18"/>
      <c r="F318" s="18"/>
      <c r="G318" s="14"/>
      <c r="H318" s="14"/>
      <c r="I318" s="14"/>
      <c r="J318" s="14"/>
      <c r="K318" s="14"/>
      <c r="L318" s="14"/>
      <c r="M318" s="18"/>
      <c r="N318" s="14"/>
      <c r="O318" s="14"/>
      <c r="P318" s="14"/>
      <c r="Q318" s="14"/>
      <c r="R318" s="14"/>
      <c r="S318" s="14"/>
      <c r="T318" s="14"/>
      <c r="U318" s="18"/>
      <c r="V318" s="18"/>
      <c r="W318" s="18"/>
      <c r="X318" s="18"/>
      <c r="Y318" s="18"/>
      <c r="Z318" s="18"/>
      <c r="AA318" s="18"/>
      <c r="AB318" s="18"/>
      <c r="AC318" s="18"/>
      <c r="AD318" s="18"/>
    </row>
    <row r="319" ht="24.75" customHeight="1">
      <c r="A319" s="19"/>
      <c r="B319" s="18"/>
      <c r="C319" s="18"/>
      <c r="D319" s="18"/>
      <c r="E319" s="18"/>
      <c r="F319" s="18"/>
      <c r="G319" s="14"/>
      <c r="H319" s="14"/>
      <c r="I319" s="14"/>
      <c r="J319" s="14"/>
      <c r="K319" s="14"/>
      <c r="L319" s="14"/>
      <c r="M319" s="18"/>
      <c r="N319" s="14"/>
      <c r="O319" s="14"/>
      <c r="P319" s="14"/>
      <c r="Q319" s="14"/>
      <c r="R319" s="14"/>
      <c r="S319" s="14"/>
      <c r="T319" s="14"/>
      <c r="U319" s="18"/>
      <c r="V319" s="18"/>
      <c r="W319" s="18"/>
      <c r="X319" s="18"/>
      <c r="Y319" s="18"/>
      <c r="Z319" s="18"/>
      <c r="AA319" s="18"/>
      <c r="AB319" s="18"/>
      <c r="AC319" s="18"/>
      <c r="AD319" s="18"/>
    </row>
    <row r="320" ht="24.75" customHeight="1">
      <c r="A320" s="19"/>
      <c r="B320" s="18"/>
      <c r="C320" s="18"/>
      <c r="D320" s="18"/>
      <c r="E320" s="18"/>
      <c r="F320" s="18"/>
      <c r="G320" s="14"/>
      <c r="H320" s="14"/>
      <c r="I320" s="14"/>
      <c r="J320" s="14"/>
      <c r="K320" s="14"/>
      <c r="L320" s="14"/>
      <c r="M320" s="18"/>
      <c r="N320" s="14"/>
      <c r="O320" s="14"/>
      <c r="P320" s="14"/>
      <c r="Q320" s="14"/>
      <c r="R320" s="14"/>
      <c r="S320" s="14"/>
      <c r="T320" s="14"/>
      <c r="U320" s="18"/>
      <c r="V320" s="18"/>
      <c r="W320" s="18"/>
      <c r="X320" s="18"/>
      <c r="Y320" s="18"/>
      <c r="Z320" s="18"/>
      <c r="AA320" s="18"/>
      <c r="AB320" s="18"/>
      <c r="AC320" s="18"/>
      <c r="AD320" s="18"/>
    </row>
    <row r="321" ht="24.75" customHeight="1">
      <c r="A321" s="19"/>
      <c r="B321" s="18"/>
      <c r="C321" s="18"/>
      <c r="D321" s="18"/>
      <c r="E321" s="18"/>
      <c r="F321" s="18"/>
      <c r="G321" s="14"/>
      <c r="H321" s="14"/>
      <c r="I321" s="14"/>
      <c r="J321" s="14"/>
      <c r="K321" s="14"/>
      <c r="L321" s="14"/>
      <c r="M321" s="18"/>
      <c r="N321" s="14"/>
      <c r="O321" s="14"/>
      <c r="P321" s="14"/>
      <c r="Q321" s="14"/>
      <c r="R321" s="14"/>
      <c r="S321" s="14"/>
      <c r="T321" s="14"/>
      <c r="U321" s="18"/>
      <c r="V321" s="18"/>
      <c r="W321" s="18"/>
      <c r="X321" s="18"/>
      <c r="Y321" s="18"/>
      <c r="Z321" s="18"/>
      <c r="AA321" s="18"/>
      <c r="AB321" s="18"/>
      <c r="AC321" s="18"/>
      <c r="AD321" s="18"/>
    </row>
    <row r="322" ht="24.75" customHeight="1">
      <c r="A322" s="19"/>
      <c r="B322" s="18"/>
      <c r="C322" s="18"/>
      <c r="D322" s="18"/>
      <c r="E322" s="18"/>
      <c r="F322" s="18"/>
      <c r="G322" s="14"/>
      <c r="H322" s="14"/>
      <c r="I322" s="14"/>
      <c r="J322" s="14"/>
      <c r="K322" s="14"/>
      <c r="L322" s="14"/>
      <c r="M322" s="18"/>
      <c r="N322" s="14"/>
      <c r="O322" s="14"/>
      <c r="P322" s="14"/>
      <c r="Q322" s="14"/>
      <c r="R322" s="14"/>
      <c r="S322" s="14"/>
      <c r="T322" s="14"/>
      <c r="U322" s="18"/>
      <c r="V322" s="18"/>
      <c r="W322" s="18"/>
      <c r="X322" s="18"/>
      <c r="Y322" s="18"/>
      <c r="Z322" s="18"/>
      <c r="AA322" s="18"/>
      <c r="AB322" s="18"/>
      <c r="AC322" s="18"/>
      <c r="AD322" s="18"/>
    </row>
    <row r="323" ht="24.75" customHeight="1">
      <c r="A323" s="19"/>
      <c r="B323" s="18"/>
      <c r="C323" s="18"/>
      <c r="D323" s="18"/>
      <c r="E323" s="18"/>
      <c r="F323" s="18"/>
      <c r="G323" s="14"/>
      <c r="H323" s="14"/>
      <c r="I323" s="14"/>
      <c r="J323" s="14"/>
      <c r="K323" s="14"/>
      <c r="L323" s="14"/>
      <c r="M323" s="18"/>
      <c r="N323" s="14"/>
      <c r="O323" s="14"/>
      <c r="P323" s="14"/>
      <c r="Q323" s="14"/>
      <c r="R323" s="14"/>
      <c r="S323" s="14"/>
      <c r="T323" s="14"/>
      <c r="U323" s="18"/>
      <c r="V323" s="18"/>
      <c r="W323" s="18"/>
      <c r="X323" s="18"/>
      <c r="Y323" s="18"/>
      <c r="Z323" s="18"/>
      <c r="AA323" s="18"/>
      <c r="AB323" s="18"/>
      <c r="AC323" s="18"/>
      <c r="AD323" s="18"/>
    </row>
    <row r="324" ht="24.75" customHeight="1">
      <c r="A324" s="19"/>
      <c r="B324" s="18"/>
      <c r="C324" s="18"/>
      <c r="D324" s="18"/>
      <c r="E324" s="18"/>
      <c r="F324" s="18"/>
      <c r="G324" s="14"/>
      <c r="H324" s="14"/>
      <c r="I324" s="14"/>
      <c r="J324" s="14"/>
      <c r="K324" s="14"/>
      <c r="L324" s="14"/>
      <c r="M324" s="18"/>
      <c r="N324" s="14"/>
      <c r="O324" s="14"/>
      <c r="P324" s="14"/>
      <c r="Q324" s="14"/>
      <c r="R324" s="14"/>
      <c r="S324" s="14"/>
      <c r="T324" s="14"/>
      <c r="U324" s="18"/>
      <c r="V324" s="18"/>
      <c r="W324" s="18"/>
      <c r="X324" s="18"/>
      <c r="Y324" s="18"/>
      <c r="Z324" s="18"/>
      <c r="AA324" s="18"/>
      <c r="AB324" s="18"/>
      <c r="AC324" s="18"/>
      <c r="AD324" s="18"/>
    </row>
    <row r="325" ht="24.75" customHeight="1">
      <c r="A325" s="19"/>
      <c r="B325" s="18"/>
      <c r="C325" s="18"/>
      <c r="D325" s="18"/>
      <c r="E325" s="18"/>
      <c r="F325" s="18"/>
      <c r="G325" s="14"/>
      <c r="H325" s="14"/>
      <c r="I325" s="14"/>
      <c r="J325" s="14"/>
      <c r="K325" s="14"/>
      <c r="L325" s="14"/>
      <c r="M325" s="18"/>
      <c r="N325" s="14"/>
      <c r="O325" s="14"/>
      <c r="P325" s="14"/>
      <c r="Q325" s="14"/>
      <c r="R325" s="14"/>
      <c r="S325" s="14"/>
      <c r="T325" s="14"/>
      <c r="U325" s="18"/>
      <c r="V325" s="18"/>
      <c r="W325" s="18"/>
      <c r="X325" s="18"/>
      <c r="Y325" s="18"/>
      <c r="Z325" s="18"/>
      <c r="AA325" s="18"/>
      <c r="AB325" s="18"/>
      <c r="AC325" s="18"/>
      <c r="AD325" s="18"/>
    </row>
    <row r="326" ht="24.75" customHeight="1">
      <c r="A326" s="19"/>
      <c r="B326" s="18"/>
      <c r="C326" s="18"/>
      <c r="D326" s="18"/>
      <c r="E326" s="18"/>
      <c r="F326" s="18"/>
      <c r="G326" s="14"/>
      <c r="H326" s="14"/>
      <c r="I326" s="14"/>
      <c r="J326" s="14"/>
      <c r="K326" s="14"/>
      <c r="L326" s="14"/>
      <c r="M326" s="18"/>
      <c r="N326" s="14"/>
      <c r="O326" s="14"/>
      <c r="P326" s="14"/>
      <c r="Q326" s="14"/>
      <c r="R326" s="14"/>
      <c r="S326" s="14"/>
      <c r="T326" s="14"/>
      <c r="U326" s="18"/>
      <c r="V326" s="18"/>
      <c r="W326" s="18"/>
      <c r="X326" s="18"/>
      <c r="Y326" s="18"/>
      <c r="Z326" s="18"/>
      <c r="AA326" s="18"/>
      <c r="AB326" s="18"/>
      <c r="AC326" s="18"/>
      <c r="AD326" s="18"/>
    </row>
    <row r="327" ht="24.75" customHeight="1">
      <c r="A327" s="19"/>
      <c r="B327" s="18"/>
      <c r="C327" s="18"/>
      <c r="D327" s="18"/>
      <c r="E327" s="18"/>
      <c r="F327" s="18"/>
      <c r="G327" s="14"/>
      <c r="H327" s="14"/>
      <c r="I327" s="14"/>
      <c r="J327" s="14"/>
      <c r="K327" s="14"/>
      <c r="L327" s="14"/>
      <c r="M327" s="18"/>
      <c r="N327" s="14"/>
      <c r="O327" s="14"/>
      <c r="P327" s="14"/>
      <c r="Q327" s="14"/>
      <c r="R327" s="14"/>
      <c r="S327" s="14"/>
      <c r="T327" s="14"/>
      <c r="U327" s="18"/>
      <c r="V327" s="18"/>
      <c r="W327" s="18"/>
      <c r="X327" s="18"/>
      <c r="Y327" s="18"/>
      <c r="Z327" s="18"/>
      <c r="AA327" s="18"/>
      <c r="AB327" s="18"/>
      <c r="AC327" s="18"/>
      <c r="AD327" s="18"/>
    </row>
    <row r="328" ht="24.75" customHeight="1">
      <c r="A328" s="19"/>
      <c r="B328" s="18"/>
      <c r="C328" s="18"/>
      <c r="D328" s="18"/>
      <c r="E328" s="18"/>
      <c r="F328" s="18"/>
      <c r="G328" s="14"/>
      <c r="H328" s="14"/>
      <c r="I328" s="14"/>
      <c r="J328" s="14"/>
      <c r="K328" s="14"/>
      <c r="L328" s="14"/>
      <c r="M328" s="18"/>
      <c r="N328" s="14"/>
      <c r="O328" s="14"/>
      <c r="P328" s="14"/>
      <c r="Q328" s="14"/>
      <c r="R328" s="14"/>
      <c r="S328" s="14"/>
      <c r="T328" s="14"/>
      <c r="U328" s="18"/>
      <c r="V328" s="18"/>
      <c r="W328" s="18"/>
      <c r="X328" s="18"/>
      <c r="Y328" s="18"/>
      <c r="Z328" s="18"/>
      <c r="AA328" s="18"/>
      <c r="AB328" s="18"/>
      <c r="AC328" s="18"/>
      <c r="AD328" s="18"/>
    </row>
    <row r="329" ht="24.75" customHeight="1">
      <c r="A329" s="19"/>
      <c r="B329" s="18"/>
      <c r="C329" s="18"/>
      <c r="D329" s="18"/>
      <c r="E329" s="18"/>
      <c r="F329" s="18"/>
      <c r="G329" s="14"/>
      <c r="H329" s="14"/>
      <c r="I329" s="14"/>
      <c r="J329" s="14"/>
      <c r="K329" s="14"/>
      <c r="L329" s="14"/>
      <c r="M329" s="18"/>
      <c r="N329" s="14"/>
      <c r="O329" s="14"/>
      <c r="P329" s="14"/>
      <c r="Q329" s="14"/>
      <c r="R329" s="14"/>
      <c r="S329" s="14"/>
      <c r="T329" s="14"/>
      <c r="U329" s="18"/>
      <c r="V329" s="18"/>
      <c r="W329" s="18"/>
      <c r="X329" s="18"/>
      <c r="Y329" s="18"/>
      <c r="Z329" s="18"/>
      <c r="AA329" s="18"/>
      <c r="AB329" s="18"/>
      <c r="AC329" s="18"/>
      <c r="AD329" s="18"/>
    </row>
    <row r="330" ht="24.75" customHeight="1">
      <c r="A330" s="19"/>
      <c r="B330" s="18"/>
      <c r="C330" s="18"/>
      <c r="D330" s="18"/>
      <c r="E330" s="18"/>
      <c r="F330" s="18"/>
      <c r="G330" s="14"/>
      <c r="H330" s="14"/>
      <c r="I330" s="14"/>
      <c r="J330" s="14"/>
      <c r="K330" s="14"/>
      <c r="L330" s="14"/>
      <c r="M330" s="18"/>
      <c r="N330" s="14"/>
      <c r="O330" s="14"/>
      <c r="P330" s="14"/>
      <c r="Q330" s="14"/>
      <c r="R330" s="14"/>
      <c r="S330" s="14"/>
      <c r="T330" s="14"/>
      <c r="U330" s="18"/>
      <c r="V330" s="18"/>
      <c r="W330" s="18"/>
      <c r="X330" s="18"/>
      <c r="Y330" s="18"/>
      <c r="Z330" s="18"/>
      <c r="AA330" s="18"/>
      <c r="AB330" s="18"/>
      <c r="AC330" s="18"/>
      <c r="AD330" s="18"/>
    </row>
    <row r="331" ht="24.75" customHeight="1">
      <c r="A331" s="19"/>
      <c r="B331" s="18"/>
      <c r="C331" s="18"/>
      <c r="D331" s="18"/>
      <c r="E331" s="18"/>
      <c r="F331" s="18"/>
      <c r="G331" s="14"/>
      <c r="H331" s="14"/>
      <c r="I331" s="14"/>
      <c r="J331" s="14"/>
      <c r="K331" s="14"/>
      <c r="L331" s="14"/>
      <c r="M331" s="18"/>
      <c r="N331" s="14"/>
      <c r="O331" s="14"/>
      <c r="P331" s="14"/>
      <c r="Q331" s="14"/>
      <c r="R331" s="14"/>
      <c r="S331" s="14"/>
      <c r="T331" s="14"/>
      <c r="U331" s="18"/>
      <c r="V331" s="18"/>
      <c r="W331" s="18"/>
      <c r="X331" s="18"/>
      <c r="Y331" s="18"/>
      <c r="Z331" s="18"/>
      <c r="AA331" s="18"/>
      <c r="AB331" s="18"/>
      <c r="AC331" s="18"/>
      <c r="AD331" s="18"/>
    </row>
    <row r="332" ht="24.75" customHeight="1">
      <c r="A332" s="19"/>
      <c r="B332" s="18"/>
      <c r="C332" s="18"/>
      <c r="D332" s="18"/>
      <c r="E332" s="18"/>
      <c r="F332" s="18"/>
      <c r="G332" s="14"/>
      <c r="H332" s="14"/>
      <c r="I332" s="14"/>
      <c r="J332" s="14"/>
      <c r="K332" s="14"/>
      <c r="L332" s="14"/>
      <c r="M332" s="18"/>
      <c r="N332" s="14"/>
      <c r="O332" s="14"/>
      <c r="P332" s="14"/>
      <c r="Q332" s="14"/>
      <c r="R332" s="14"/>
      <c r="S332" s="14"/>
      <c r="T332" s="14"/>
      <c r="U332" s="18"/>
      <c r="V332" s="18"/>
      <c r="W332" s="18"/>
      <c r="X332" s="18"/>
      <c r="Y332" s="18"/>
      <c r="Z332" s="18"/>
      <c r="AA332" s="18"/>
      <c r="AB332" s="18"/>
      <c r="AC332" s="18"/>
      <c r="AD332" s="18"/>
    </row>
    <row r="333" ht="24.75" customHeight="1">
      <c r="A333" s="19"/>
      <c r="B333" s="18"/>
      <c r="C333" s="18"/>
      <c r="D333" s="18"/>
      <c r="E333" s="18"/>
      <c r="F333" s="18"/>
      <c r="G333" s="14"/>
      <c r="H333" s="14"/>
      <c r="I333" s="14"/>
      <c r="J333" s="14"/>
      <c r="K333" s="14"/>
      <c r="L333" s="14"/>
      <c r="M333" s="18"/>
      <c r="N333" s="14"/>
      <c r="O333" s="14"/>
      <c r="P333" s="14"/>
      <c r="Q333" s="14"/>
      <c r="R333" s="14"/>
      <c r="S333" s="14"/>
      <c r="T333" s="14"/>
      <c r="U333" s="18"/>
      <c r="V333" s="18"/>
      <c r="W333" s="18"/>
      <c r="X333" s="18"/>
      <c r="Y333" s="18"/>
      <c r="Z333" s="18"/>
      <c r="AA333" s="18"/>
      <c r="AB333" s="18"/>
      <c r="AC333" s="18"/>
      <c r="AD333" s="18"/>
    </row>
    <row r="334" ht="24.75" customHeight="1">
      <c r="A334" s="19"/>
      <c r="B334" s="18"/>
      <c r="C334" s="18"/>
      <c r="D334" s="18"/>
      <c r="E334" s="18"/>
      <c r="F334" s="18"/>
      <c r="G334" s="14"/>
      <c r="H334" s="14"/>
      <c r="I334" s="14"/>
      <c r="J334" s="14"/>
      <c r="K334" s="14"/>
      <c r="L334" s="14"/>
      <c r="M334" s="18"/>
      <c r="N334" s="14"/>
      <c r="O334" s="14"/>
      <c r="P334" s="14"/>
      <c r="Q334" s="14"/>
      <c r="R334" s="14"/>
      <c r="S334" s="14"/>
      <c r="T334" s="14"/>
      <c r="U334" s="18"/>
      <c r="V334" s="18"/>
      <c r="W334" s="18"/>
      <c r="X334" s="18"/>
      <c r="Y334" s="18"/>
      <c r="Z334" s="18"/>
      <c r="AA334" s="18"/>
      <c r="AB334" s="18"/>
      <c r="AC334" s="18"/>
      <c r="AD334" s="18"/>
    </row>
    <row r="335" ht="24.75" customHeight="1">
      <c r="A335" s="19"/>
      <c r="B335" s="18"/>
      <c r="C335" s="18"/>
      <c r="D335" s="18"/>
      <c r="E335" s="18"/>
      <c r="F335" s="18"/>
      <c r="G335" s="14"/>
      <c r="H335" s="14"/>
      <c r="I335" s="14"/>
      <c r="J335" s="14"/>
      <c r="K335" s="14"/>
      <c r="L335" s="14"/>
      <c r="M335" s="18"/>
      <c r="N335" s="14"/>
      <c r="O335" s="14"/>
      <c r="P335" s="14"/>
      <c r="Q335" s="14"/>
      <c r="R335" s="14"/>
      <c r="S335" s="14"/>
      <c r="T335" s="14"/>
      <c r="U335" s="18"/>
      <c r="V335" s="18"/>
      <c r="W335" s="18"/>
      <c r="X335" s="18"/>
      <c r="Y335" s="18"/>
      <c r="Z335" s="18"/>
      <c r="AA335" s="18"/>
      <c r="AB335" s="18"/>
      <c r="AC335" s="18"/>
      <c r="AD335" s="18"/>
    </row>
    <row r="336" ht="24.75" customHeight="1">
      <c r="A336" s="19"/>
      <c r="B336" s="18"/>
      <c r="C336" s="18"/>
      <c r="D336" s="18"/>
      <c r="E336" s="18"/>
      <c r="F336" s="18"/>
      <c r="G336" s="14"/>
      <c r="H336" s="14"/>
      <c r="I336" s="14"/>
      <c r="J336" s="14"/>
      <c r="K336" s="14"/>
      <c r="L336" s="14"/>
      <c r="M336" s="18"/>
      <c r="N336" s="14"/>
      <c r="O336" s="14"/>
      <c r="P336" s="14"/>
      <c r="Q336" s="14"/>
      <c r="R336" s="14"/>
      <c r="S336" s="14"/>
      <c r="T336" s="14"/>
      <c r="U336" s="18"/>
      <c r="V336" s="18"/>
      <c r="W336" s="18"/>
      <c r="X336" s="18"/>
      <c r="Y336" s="18"/>
      <c r="Z336" s="18"/>
      <c r="AA336" s="18"/>
      <c r="AB336" s="18"/>
      <c r="AC336" s="18"/>
      <c r="AD336" s="18"/>
    </row>
    <row r="337" ht="24.75" customHeight="1">
      <c r="A337" s="19"/>
      <c r="B337" s="18"/>
      <c r="C337" s="18"/>
      <c r="D337" s="18"/>
      <c r="E337" s="18"/>
      <c r="F337" s="18"/>
      <c r="G337" s="14"/>
      <c r="H337" s="14"/>
      <c r="I337" s="14"/>
      <c r="J337" s="14"/>
      <c r="K337" s="14"/>
      <c r="L337" s="14"/>
      <c r="M337" s="18"/>
      <c r="N337" s="14"/>
      <c r="O337" s="14"/>
      <c r="P337" s="14"/>
      <c r="Q337" s="14"/>
      <c r="R337" s="14"/>
      <c r="S337" s="14"/>
      <c r="T337" s="14"/>
      <c r="U337" s="18"/>
      <c r="V337" s="18"/>
      <c r="W337" s="18"/>
      <c r="X337" s="18"/>
      <c r="Y337" s="18"/>
      <c r="Z337" s="18"/>
      <c r="AA337" s="18"/>
      <c r="AB337" s="18"/>
      <c r="AC337" s="18"/>
      <c r="AD337" s="18"/>
    </row>
    <row r="338" ht="24.75" customHeight="1">
      <c r="A338" s="19"/>
      <c r="B338" s="18"/>
      <c r="C338" s="18"/>
      <c r="D338" s="18"/>
      <c r="E338" s="18"/>
      <c r="F338" s="18"/>
      <c r="G338" s="14"/>
      <c r="H338" s="14"/>
      <c r="I338" s="14"/>
      <c r="J338" s="14"/>
      <c r="K338" s="14"/>
      <c r="L338" s="14"/>
      <c r="M338" s="18"/>
      <c r="N338" s="14"/>
      <c r="O338" s="14"/>
      <c r="P338" s="14"/>
      <c r="Q338" s="14"/>
      <c r="R338" s="14"/>
      <c r="S338" s="14"/>
      <c r="T338" s="14"/>
      <c r="U338" s="18"/>
      <c r="V338" s="18"/>
      <c r="W338" s="18"/>
      <c r="X338" s="18"/>
      <c r="Y338" s="18"/>
      <c r="Z338" s="18"/>
      <c r="AA338" s="18"/>
      <c r="AB338" s="18"/>
      <c r="AC338" s="18"/>
      <c r="AD338" s="18"/>
    </row>
    <row r="339" ht="24.75" customHeight="1">
      <c r="A339" s="19"/>
      <c r="B339" s="18"/>
      <c r="C339" s="18"/>
      <c r="D339" s="18"/>
      <c r="E339" s="18"/>
      <c r="F339" s="18"/>
      <c r="G339" s="14"/>
      <c r="H339" s="14"/>
      <c r="I339" s="14"/>
      <c r="J339" s="14"/>
      <c r="K339" s="14"/>
      <c r="L339" s="14"/>
      <c r="M339" s="18"/>
      <c r="N339" s="14"/>
      <c r="O339" s="14"/>
      <c r="P339" s="14"/>
      <c r="Q339" s="14"/>
      <c r="R339" s="14"/>
      <c r="S339" s="14"/>
      <c r="T339" s="14"/>
      <c r="U339" s="18"/>
      <c r="V339" s="18"/>
      <c r="W339" s="18"/>
      <c r="X339" s="18"/>
      <c r="Y339" s="18"/>
      <c r="Z339" s="18"/>
      <c r="AA339" s="18"/>
      <c r="AB339" s="18"/>
      <c r="AC339" s="18"/>
      <c r="AD339" s="18"/>
    </row>
    <row r="340" ht="24.75" customHeight="1">
      <c r="A340" s="19"/>
      <c r="B340" s="18"/>
      <c r="C340" s="18"/>
      <c r="D340" s="18"/>
      <c r="E340" s="18"/>
      <c r="F340" s="18"/>
      <c r="G340" s="14"/>
      <c r="H340" s="14"/>
      <c r="I340" s="14"/>
      <c r="J340" s="14"/>
      <c r="K340" s="14"/>
      <c r="L340" s="14"/>
      <c r="M340" s="18"/>
      <c r="N340" s="14"/>
      <c r="O340" s="14"/>
      <c r="P340" s="14"/>
      <c r="Q340" s="14"/>
      <c r="R340" s="14"/>
      <c r="S340" s="14"/>
      <c r="T340" s="14"/>
      <c r="U340" s="18"/>
      <c r="V340" s="18"/>
      <c r="W340" s="18"/>
      <c r="X340" s="18"/>
      <c r="Y340" s="18"/>
      <c r="Z340" s="18"/>
      <c r="AA340" s="18"/>
      <c r="AB340" s="18"/>
      <c r="AC340" s="18"/>
      <c r="AD340" s="18"/>
    </row>
    <row r="341" ht="24.75" customHeight="1">
      <c r="A341" s="19"/>
      <c r="B341" s="18"/>
      <c r="C341" s="18"/>
      <c r="D341" s="18"/>
      <c r="E341" s="18"/>
      <c r="F341" s="18"/>
      <c r="G341" s="14"/>
      <c r="H341" s="14"/>
      <c r="I341" s="14"/>
      <c r="J341" s="14"/>
      <c r="K341" s="14"/>
      <c r="L341" s="14"/>
      <c r="M341" s="18"/>
      <c r="N341" s="14"/>
      <c r="O341" s="14"/>
      <c r="P341" s="14"/>
      <c r="Q341" s="14"/>
      <c r="R341" s="14"/>
      <c r="S341" s="14"/>
      <c r="T341" s="14"/>
      <c r="U341" s="18"/>
      <c r="V341" s="18"/>
      <c r="W341" s="18"/>
      <c r="X341" s="18"/>
      <c r="Y341" s="18"/>
      <c r="Z341" s="18"/>
      <c r="AA341" s="18"/>
      <c r="AB341" s="18"/>
      <c r="AC341" s="18"/>
      <c r="AD341" s="18"/>
    </row>
    <row r="342" ht="24.75" customHeight="1">
      <c r="A342" s="19"/>
      <c r="B342" s="18"/>
      <c r="C342" s="18"/>
      <c r="D342" s="18"/>
      <c r="E342" s="18"/>
      <c r="F342" s="18"/>
      <c r="G342" s="14"/>
      <c r="H342" s="14"/>
      <c r="I342" s="14"/>
      <c r="J342" s="14"/>
      <c r="K342" s="14"/>
      <c r="L342" s="14"/>
      <c r="M342" s="18"/>
      <c r="N342" s="14"/>
      <c r="O342" s="14"/>
      <c r="P342" s="14"/>
      <c r="Q342" s="14"/>
      <c r="R342" s="14"/>
      <c r="S342" s="14"/>
      <c r="T342" s="14"/>
      <c r="U342" s="18"/>
      <c r="V342" s="18"/>
      <c r="W342" s="18"/>
      <c r="X342" s="18"/>
      <c r="Y342" s="18"/>
      <c r="Z342" s="18"/>
      <c r="AA342" s="18"/>
      <c r="AB342" s="18"/>
      <c r="AC342" s="18"/>
      <c r="AD342" s="18"/>
    </row>
    <row r="343" ht="24.75" customHeight="1">
      <c r="A343" s="19"/>
      <c r="B343" s="18"/>
      <c r="C343" s="18"/>
      <c r="D343" s="18"/>
      <c r="E343" s="18"/>
      <c r="F343" s="18"/>
      <c r="G343" s="14"/>
      <c r="H343" s="14"/>
      <c r="I343" s="14"/>
      <c r="J343" s="14"/>
      <c r="K343" s="14"/>
      <c r="L343" s="14"/>
      <c r="M343" s="18"/>
      <c r="N343" s="14"/>
      <c r="O343" s="14"/>
      <c r="P343" s="14"/>
      <c r="Q343" s="14"/>
      <c r="R343" s="14"/>
      <c r="S343" s="14"/>
      <c r="T343" s="14"/>
      <c r="U343" s="18"/>
      <c r="V343" s="18"/>
      <c r="W343" s="18"/>
      <c r="X343" s="18"/>
      <c r="Y343" s="18"/>
      <c r="Z343" s="18"/>
      <c r="AA343" s="18"/>
      <c r="AB343" s="18"/>
      <c r="AC343" s="18"/>
      <c r="AD343" s="18"/>
    </row>
    <row r="344" ht="24.75" customHeight="1">
      <c r="A344" s="19"/>
      <c r="B344" s="18"/>
      <c r="C344" s="18"/>
      <c r="D344" s="18"/>
      <c r="E344" s="18"/>
      <c r="F344" s="18"/>
      <c r="G344" s="14"/>
      <c r="H344" s="14"/>
      <c r="I344" s="14"/>
      <c r="J344" s="14"/>
      <c r="K344" s="14"/>
      <c r="L344" s="14"/>
      <c r="M344" s="18"/>
      <c r="N344" s="14"/>
      <c r="O344" s="14"/>
      <c r="P344" s="14"/>
      <c r="Q344" s="14"/>
      <c r="R344" s="14"/>
      <c r="S344" s="14"/>
      <c r="T344" s="14"/>
      <c r="U344" s="18"/>
      <c r="V344" s="18"/>
      <c r="W344" s="18"/>
      <c r="X344" s="18"/>
      <c r="Y344" s="18"/>
      <c r="Z344" s="18"/>
      <c r="AA344" s="18"/>
      <c r="AB344" s="18"/>
      <c r="AC344" s="18"/>
      <c r="AD344" s="18"/>
    </row>
    <row r="345" ht="24.75" customHeight="1">
      <c r="A345" s="19"/>
      <c r="B345" s="18"/>
      <c r="C345" s="18"/>
      <c r="D345" s="18"/>
      <c r="E345" s="18"/>
      <c r="F345" s="18"/>
      <c r="G345" s="14"/>
      <c r="H345" s="14"/>
      <c r="I345" s="14"/>
      <c r="J345" s="14"/>
      <c r="K345" s="14"/>
      <c r="L345" s="14"/>
      <c r="M345" s="18"/>
      <c r="N345" s="14"/>
      <c r="O345" s="14"/>
      <c r="P345" s="14"/>
      <c r="Q345" s="14"/>
      <c r="R345" s="14"/>
      <c r="S345" s="14"/>
      <c r="T345" s="14"/>
      <c r="U345" s="18"/>
      <c r="V345" s="18"/>
      <c r="W345" s="18"/>
      <c r="X345" s="18"/>
      <c r="Y345" s="18"/>
      <c r="Z345" s="18"/>
      <c r="AA345" s="18"/>
      <c r="AB345" s="18"/>
      <c r="AC345" s="18"/>
      <c r="AD345" s="18"/>
    </row>
    <row r="346" ht="24.75" customHeight="1">
      <c r="A346" s="19"/>
      <c r="B346" s="18"/>
      <c r="C346" s="18"/>
      <c r="D346" s="18"/>
      <c r="E346" s="18"/>
      <c r="F346" s="18"/>
      <c r="G346" s="14"/>
      <c r="H346" s="14"/>
      <c r="I346" s="14"/>
      <c r="J346" s="14"/>
      <c r="K346" s="14"/>
      <c r="L346" s="14"/>
      <c r="M346" s="18"/>
      <c r="N346" s="14"/>
      <c r="O346" s="14"/>
      <c r="P346" s="14"/>
      <c r="Q346" s="14"/>
      <c r="R346" s="14"/>
      <c r="S346" s="14"/>
      <c r="T346" s="14"/>
      <c r="U346" s="18"/>
      <c r="V346" s="18"/>
      <c r="W346" s="18"/>
      <c r="X346" s="18"/>
      <c r="Y346" s="18"/>
      <c r="Z346" s="18"/>
      <c r="AA346" s="18"/>
      <c r="AB346" s="18"/>
      <c r="AC346" s="18"/>
      <c r="AD346" s="18"/>
    </row>
    <row r="347" ht="24.75" customHeight="1">
      <c r="A347" s="19"/>
      <c r="B347" s="18"/>
      <c r="C347" s="18"/>
      <c r="D347" s="18"/>
      <c r="E347" s="18"/>
      <c r="F347" s="18"/>
      <c r="G347" s="14"/>
      <c r="H347" s="14"/>
      <c r="I347" s="14"/>
      <c r="J347" s="14"/>
      <c r="K347" s="14"/>
      <c r="L347" s="14"/>
      <c r="M347" s="18"/>
      <c r="N347" s="14"/>
      <c r="O347" s="14"/>
      <c r="P347" s="14"/>
      <c r="Q347" s="14"/>
      <c r="R347" s="14"/>
      <c r="S347" s="14"/>
      <c r="T347" s="14"/>
      <c r="U347" s="18"/>
      <c r="V347" s="18"/>
      <c r="W347" s="18"/>
      <c r="X347" s="18"/>
      <c r="Y347" s="18"/>
      <c r="Z347" s="18"/>
      <c r="AA347" s="18"/>
      <c r="AB347" s="18"/>
      <c r="AC347" s="18"/>
      <c r="AD347" s="18"/>
    </row>
    <row r="348" ht="24.75" customHeight="1">
      <c r="A348" s="19"/>
      <c r="B348" s="18"/>
      <c r="C348" s="18"/>
      <c r="D348" s="18"/>
      <c r="E348" s="18"/>
      <c r="F348" s="18"/>
      <c r="G348" s="14"/>
      <c r="H348" s="14"/>
      <c r="I348" s="14"/>
      <c r="J348" s="14"/>
      <c r="K348" s="14"/>
      <c r="L348" s="14"/>
      <c r="M348" s="18"/>
      <c r="N348" s="14"/>
      <c r="O348" s="14"/>
      <c r="P348" s="14"/>
      <c r="Q348" s="14"/>
      <c r="R348" s="14"/>
      <c r="S348" s="14"/>
      <c r="T348" s="14"/>
      <c r="U348" s="18"/>
      <c r="V348" s="18"/>
      <c r="W348" s="18"/>
      <c r="X348" s="18"/>
      <c r="Y348" s="18"/>
      <c r="Z348" s="18"/>
      <c r="AA348" s="18"/>
      <c r="AB348" s="18"/>
      <c r="AC348" s="18"/>
      <c r="AD348" s="18"/>
    </row>
    <row r="349" ht="24.75" customHeight="1">
      <c r="A349" s="19"/>
      <c r="B349" s="18"/>
      <c r="C349" s="18"/>
      <c r="D349" s="18"/>
      <c r="E349" s="18"/>
      <c r="F349" s="18"/>
      <c r="G349" s="14"/>
      <c r="H349" s="14"/>
      <c r="I349" s="14"/>
      <c r="J349" s="14"/>
      <c r="K349" s="14"/>
      <c r="L349" s="14"/>
      <c r="M349" s="18"/>
      <c r="N349" s="14"/>
      <c r="O349" s="14"/>
      <c r="P349" s="14"/>
      <c r="Q349" s="14"/>
      <c r="R349" s="14"/>
      <c r="S349" s="14"/>
      <c r="T349" s="14"/>
      <c r="U349" s="18"/>
      <c r="V349" s="18"/>
      <c r="W349" s="18"/>
      <c r="X349" s="18"/>
      <c r="Y349" s="18"/>
      <c r="Z349" s="18"/>
      <c r="AA349" s="18"/>
      <c r="AB349" s="18"/>
      <c r="AC349" s="18"/>
      <c r="AD349" s="18"/>
    </row>
    <row r="350" ht="24.75" customHeight="1">
      <c r="A350" s="19"/>
      <c r="B350" s="18"/>
      <c r="C350" s="18"/>
      <c r="D350" s="18"/>
      <c r="E350" s="18"/>
      <c r="F350" s="18"/>
      <c r="G350" s="14"/>
      <c r="H350" s="14"/>
      <c r="I350" s="14"/>
      <c r="J350" s="14"/>
      <c r="K350" s="14"/>
      <c r="L350" s="14"/>
      <c r="M350" s="18"/>
      <c r="N350" s="14"/>
      <c r="O350" s="14"/>
      <c r="P350" s="14"/>
      <c r="Q350" s="14"/>
      <c r="R350" s="14"/>
      <c r="S350" s="14"/>
      <c r="T350" s="14"/>
      <c r="U350" s="18"/>
      <c r="V350" s="18"/>
      <c r="W350" s="18"/>
      <c r="X350" s="18"/>
      <c r="Y350" s="18"/>
      <c r="Z350" s="18"/>
      <c r="AA350" s="18"/>
      <c r="AB350" s="18"/>
      <c r="AC350" s="18"/>
      <c r="AD350" s="18"/>
    </row>
    <row r="351" ht="24.75" customHeight="1">
      <c r="A351" s="19"/>
      <c r="B351" s="18"/>
      <c r="C351" s="18"/>
      <c r="D351" s="18"/>
      <c r="E351" s="18"/>
      <c r="F351" s="18"/>
      <c r="G351" s="14"/>
      <c r="H351" s="14"/>
      <c r="I351" s="14"/>
      <c r="J351" s="14"/>
      <c r="K351" s="14"/>
      <c r="L351" s="14"/>
      <c r="M351" s="18"/>
      <c r="N351" s="14"/>
      <c r="O351" s="14"/>
      <c r="P351" s="14"/>
      <c r="Q351" s="14"/>
      <c r="R351" s="14"/>
      <c r="S351" s="14"/>
      <c r="T351" s="14"/>
      <c r="U351" s="18"/>
      <c r="V351" s="18"/>
      <c r="W351" s="18"/>
      <c r="X351" s="18"/>
      <c r="Y351" s="18"/>
      <c r="Z351" s="18"/>
      <c r="AA351" s="18"/>
      <c r="AB351" s="18"/>
      <c r="AC351" s="18"/>
      <c r="AD351" s="18"/>
    </row>
    <row r="352" ht="24.75" customHeight="1">
      <c r="A352" s="19"/>
      <c r="B352" s="18"/>
      <c r="C352" s="18"/>
      <c r="D352" s="18"/>
      <c r="E352" s="18"/>
      <c r="F352" s="18"/>
      <c r="G352" s="14"/>
      <c r="H352" s="14"/>
      <c r="I352" s="14"/>
      <c r="J352" s="14"/>
      <c r="K352" s="14"/>
      <c r="L352" s="14"/>
      <c r="M352" s="18"/>
      <c r="N352" s="14"/>
      <c r="O352" s="14"/>
      <c r="P352" s="14"/>
      <c r="Q352" s="14"/>
      <c r="R352" s="14"/>
      <c r="S352" s="14"/>
      <c r="T352" s="14"/>
      <c r="U352" s="18"/>
      <c r="V352" s="18"/>
      <c r="W352" s="18"/>
      <c r="X352" s="18"/>
      <c r="Y352" s="18"/>
      <c r="Z352" s="18"/>
      <c r="AA352" s="18"/>
      <c r="AB352" s="18"/>
      <c r="AC352" s="18"/>
      <c r="AD352" s="18"/>
    </row>
    <row r="353" ht="24.75" customHeight="1">
      <c r="A353" s="19"/>
      <c r="B353" s="18"/>
      <c r="C353" s="18"/>
      <c r="D353" s="18"/>
      <c r="E353" s="18"/>
      <c r="F353" s="18"/>
      <c r="G353" s="14"/>
      <c r="H353" s="14"/>
      <c r="I353" s="14"/>
      <c r="J353" s="14"/>
      <c r="K353" s="14"/>
      <c r="L353" s="14"/>
      <c r="M353" s="18"/>
      <c r="N353" s="14"/>
      <c r="O353" s="14"/>
      <c r="P353" s="14"/>
      <c r="Q353" s="14"/>
      <c r="R353" s="14"/>
      <c r="S353" s="14"/>
      <c r="T353" s="14"/>
      <c r="U353" s="18"/>
      <c r="V353" s="18"/>
      <c r="W353" s="18"/>
      <c r="X353" s="18"/>
      <c r="Y353" s="18"/>
      <c r="Z353" s="18"/>
      <c r="AA353" s="18"/>
      <c r="AB353" s="18"/>
      <c r="AC353" s="18"/>
      <c r="AD353" s="18"/>
    </row>
    <row r="354" ht="24.75" customHeight="1">
      <c r="A354" s="19"/>
      <c r="B354" s="18"/>
      <c r="C354" s="18"/>
      <c r="D354" s="18"/>
      <c r="E354" s="18"/>
      <c r="F354" s="18"/>
      <c r="G354" s="14"/>
      <c r="H354" s="14"/>
      <c r="I354" s="14"/>
      <c r="J354" s="14"/>
      <c r="K354" s="14"/>
      <c r="L354" s="14"/>
      <c r="M354" s="18"/>
      <c r="N354" s="14"/>
      <c r="O354" s="14"/>
      <c r="P354" s="14"/>
      <c r="Q354" s="14"/>
      <c r="R354" s="14"/>
      <c r="S354" s="14"/>
      <c r="T354" s="14"/>
      <c r="U354" s="18"/>
      <c r="V354" s="18"/>
      <c r="W354" s="18"/>
      <c r="X354" s="18"/>
      <c r="Y354" s="18"/>
      <c r="Z354" s="18"/>
      <c r="AA354" s="18"/>
      <c r="AB354" s="18"/>
      <c r="AC354" s="18"/>
      <c r="AD354" s="18"/>
    </row>
    <row r="355" ht="24.75" customHeight="1">
      <c r="A355" s="19"/>
      <c r="B355" s="18"/>
      <c r="C355" s="18"/>
      <c r="D355" s="18"/>
      <c r="E355" s="18"/>
      <c r="F355" s="18"/>
      <c r="G355" s="14"/>
      <c r="H355" s="14"/>
      <c r="I355" s="14"/>
      <c r="J355" s="14"/>
      <c r="K355" s="14"/>
      <c r="L355" s="14"/>
      <c r="M355" s="18"/>
      <c r="N355" s="14"/>
      <c r="O355" s="14"/>
      <c r="P355" s="14"/>
      <c r="Q355" s="14"/>
      <c r="R355" s="14"/>
      <c r="S355" s="14"/>
      <c r="T355" s="14"/>
      <c r="U355" s="18"/>
      <c r="V355" s="18"/>
      <c r="W355" s="18"/>
      <c r="X355" s="18"/>
      <c r="Y355" s="18"/>
      <c r="Z355" s="18"/>
      <c r="AA355" s="18"/>
      <c r="AB355" s="18"/>
      <c r="AC355" s="18"/>
      <c r="AD355" s="18"/>
    </row>
    <row r="356" ht="24.75" customHeight="1">
      <c r="A356" s="19"/>
      <c r="B356" s="18"/>
      <c r="C356" s="18"/>
      <c r="D356" s="18"/>
      <c r="E356" s="18"/>
      <c r="F356" s="18"/>
      <c r="G356" s="14"/>
      <c r="H356" s="14"/>
      <c r="I356" s="14"/>
      <c r="J356" s="14"/>
      <c r="K356" s="14"/>
      <c r="L356" s="14"/>
      <c r="M356" s="18"/>
      <c r="N356" s="14"/>
      <c r="O356" s="14"/>
      <c r="P356" s="14"/>
      <c r="Q356" s="14"/>
      <c r="R356" s="14"/>
      <c r="S356" s="14"/>
      <c r="T356" s="14"/>
      <c r="U356" s="18"/>
      <c r="V356" s="18"/>
      <c r="W356" s="18"/>
      <c r="X356" s="18"/>
      <c r="Y356" s="18"/>
      <c r="Z356" s="18"/>
      <c r="AA356" s="18"/>
      <c r="AB356" s="18"/>
      <c r="AC356" s="18"/>
      <c r="AD356" s="18"/>
    </row>
    <row r="357" ht="24.75" customHeight="1">
      <c r="A357" s="19"/>
      <c r="B357" s="18"/>
      <c r="C357" s="18"/>
      <c r="D357" s="18"/>
      <c r="E357" s="18"/>
      <c r="F357" s="18"/>
      <c r="G357" s="14"/>
      <c r="H357" s="14"/>
      <c r="I357" s="14"/>
      <c r="J357" s="14"/>
      <c r="K357" s="14"/>
      <c r="L357" s="14"/>
      <c r="M357" s="18"/>
      <c r="N357" s="14"/>
      <c r="O357" s="14"/>
      <c r="P357" s="14"/>
      <c r="Q357" s="14"/>
      <c r="R357" s="14"/>
      <c r="S357" s="14"/>
      <c r="T357" s="14"/>
      <c r="U357" s="18"/>
      <c r="V357" s="18"/>
      <c r="W357" s="18"/>
      <c r="X357" s="18"/>
      <c r="Y357" s="18"/>
      <c r="Z357" s="18"/>
      <c r="AA357" s="18"/>
      <c r="AB357" s="18"/>
      <c r="AC357" s="18"/>
      <c r="AD357" s="18"/>
    </row>
    <row r="358" ht="24.75" customHeight="1">
      <c r="A358" s="19"/>
      <c r="B358" s="18"/>
      <c r="C358" s="18"/>
      <c r="D358" s="18"/>
      <c r="E358" s="18"/>
      <c r="F358" s="18"/>
      <c r="G358" s="14"/>
      <c r="H358" s="14"/>
      <c r="I358" s="14"/>
      <c r="J358" s="14"/>
      <c r="K358" s="14"/>
      <c r="L358" s="14"/>
      <c r="M358" s="18"/>
      <c r="N358" s="14"/>
      <c r="O358" s="14"/>
      <c r="P358" s="14"/>
      <c r="Q358" s="14"/>
      <c r="R358" s="14"/>
      <c r="S358" s="14"/>
      <c r="T358" s="14"/>
      <c r="U358" s="18"/>
      <c r="V358" s="18"/>
      <c r="W358" s="18"/>
      <c r="X358" s="18"/>
      <c r="Y358" s="18"/>
      <c r="Z358" s="18"/>
      <c r="AA358" s="18"/>
      <c r="AB358" s="18"/>
      <c r="AC358" s="18"/>
      <c r="AD358" s="18"/>
    </row>
    <row r="359" ht="24.75" customHeight="1">
      <c r="A359" s="19"/>
      <c r="B359" s="18"/>
      <c r="C359" s="18"/>
      <c r="D359" s="18"/>
      <c r="E359" s="18"/>
      <c r="F359" s="18"/>
      <c r="G359" s="14"/>
      <c r="H359" s="14"/>
      <c r="I359" s="14"/>
      <c r="J359" s="14"/>
      <c r="K359" s="14"/>
      <c r="L359" s="14"/>
      <c r="M359" s="18"/>
      <c r="N359" s="14"/>
      <c r="O359" s="14"/>
      <c r="P359" s="14"/>
      <c r="Q359" s="14"/>
      <c r="R359" s="14"/>
      <c r="S359" s="14"/>
      <c r="T359" s="14"/>
      <c r="U359" s="18"/>
      <c r="V359" s="18"/>
      <c r="W359" s="18"/>
      <c r="X359" s="18"/>
      <c r="Y359" s="18"/>
      <c r="Z359" s="18"/>
      <c r="AA359" s="18"/>
      <c r="AB359" s="18"/>
      <c r="AC359" s="18"/>
      <c r="AD359" s="18"/>
    </row>
    <row r="360" ht="24.75" customHeight="1">
      <c r="A360" s="19"/>
      <c r="B360" s="18"/>
      <c r="C360" s="18"/>
      <c r="D360" s="18"/>
      <c r="E360" s="18"/>
      <c r="F360" s="18"/>
      <c r="G360" s="14"/>
      <c r="H360" s="14"/>
      <c r="I360" s="14"/>
      <c r="J360" s="14"/>
      <c r="K360" s="14"/>
      <c r="L360" s="14"/>
      <c r="M360" s="18"/>
      <c r="N360" s="14"/>
      <c r="O360" s="14"/>
      <c r="P360" s="14"/>
      <c r="Q360" s="14"/>
      <c r="R360" s="14"/>
      <c r="S360" s="14"/>
      <c r="T360" s="14"/>
      <c r="U360" s="18"/>
      <c r="V360" s="18"/>
      <c r="W360" s="18"/>
      <c r="X360" s="18"/>
      <c r="Y360" s="18"/>
      <c r="Z360" s="18"/>
      <c r="AA360" s="18"/>
      <c r="AB360" s="18"/>
      <c r="AC360" s="18"/>
      <c r="AD360" s="18"/>
    </row>
    <row r="361" ht="24.75" customHeight="1">
      <c r="A361" s="19"/>
      <c r="B361" s="18"/>
      <c r="C361" s="18"/>
      <c r="D361" s="18"/>
      <c r="E361" s="18"/>
      <c r="F361" s="18"/>
      <c r="G361" s="14"/>
      <c r="H361" s="14"/>
      <c r="I361" s="14"/>
      <c r="J361" s="14"/>
      <c r="K361" s="14"/>
      <c r="L361" s="14"/>
      <c r="M361" s="18"/>
      <c r="N361" s="14"/>
      <c r="O361" s="14"/>
      <c r="P361" s="14"/>
      <c r="Q361" s="14"/>
      <c r="R361" s="14"/>
      <c r="S361" s="14"/>
      <c r="T361" s="14"/>
      <c r="U361" s="18"/>
      <c r="V361" s="18"/>
      <c r="W361" s="18"/>
      <c r="X361" s="18"/>
      <c r="Y361" s="18"/>
      <c r="Z361" s="18"/>
      <c r="AA361" s="18"/>
      <c r="AB361" s="18"/>
      <c r="AC361" s="18"/>
      <c r="AD361" s="18"/>
    </row>
    <row r="362" ht="24.75" customHeight="1">
      <c r="A362" s="19"/>
      <c r="B362" s="18"/>
      <c r="C362" s="18"/>
      <c r="D362" s="18"/>
      <c r="E362" s="18"/>
      <c r="F362" s="18"/>
      <c r="G362" s="14"/>
      <c r="H362" s="14"/>
      <c r="I362" s="14"/>
      <c r="J362" s="14"/>
      <c r="K362" s="14"/>
      <c r="L362" s="14"/>
      <c r="M362" s="18"/>
      <c r="N362" s="14"/>
      <c r="O362" s="14"/>
      <c r="P362" s="14"/>
      <c r="Q362" s="14"/>
      <c r="R362" s="14"/>
      <c r="S362" s="14"/>
      <c r="T362" s="14"/>
      <c r="U362" s="18"/>
      <c r="V362" s="18"/>
      <c r="W362" s="18"/>
      <c r="X362" s="18"/>
      <c r="Y362" s="18"/>
      <c r="Z362" s="18"/>
      <c r="AA362" s="18"/>
      <c r="AB362" s="18"/>
      <c r="AC362" s="18"/>
      <c r="AD362" s="18"/>
    </row>
    <row r="363" ht="24.75" customHeight="1">
      <c r="A363" s="19"/>
      <c r="B363" s="18"/>
      <c r="C363" s="18"/>
      <c r="D363" s="18"/>
      <c r="E363" s="18"/>
      <c r="F363" s="18"/>
      <c r="G363" s="14"/>
      <c r="H363" s="14"/>
      <c r="I363" s="14"/>
      <c r="J363" s="14"/>
      <c r="K363" s="14"/>
      <c r="L363" s="14"/>
      <c r="M363" s="18"/>
      <c r="N363" s="14"/>
      <c r="O363" s="14"/>
      <c r="P363" s="14"/>
      <c r="Q363" s="14"/>
      <c r="R363" s="14"/>
      <c r="S363" s="14"/>
      <c r="T363" s="14"/>
      <c r="U363" s="18"/>
      <c r="V363" s="18"/>
      <c r="W363" s="18"/>
      <c r="X363" s="18"/>
      <c r="Y363" s="18"/>
      <c r="Z363" s="18"/>
      <c r="AA363" s="18"/>
      <c r="AB363" s="18"/>
      <c r="AC363" s="18"/>
      <c r="AD363" s="18"/>
    </row>
    <row r="364" ht="24.75" customHeight="1">
      <c r="A364" s="19"/>
      <c r="B364" s="18"/>
      <c r="C364" s="18"/>
      <c r="D364" s="18"/>
      <c r="E364" s="18"/>
      <c r="F364" s="18"/>
      <c r="G364" s="14"/>
      <c r="H364" s="14"/>
      <c r="I364" s="14"/>
      <c r="J364" s="14"/>
      <c r="K364" s="14"/>
      <c r="L364" s="14"/>
      <c r="M364" s="18"/>
      <c r="N364" s="14"/>
      <c r="O364" s="14"/>
      <c r="P364" s="14"/>
      <c r="Q364" s="14"/>
      <c r="R364" s="14"/>
      <c r="S364" s="14"/>
      <c r="T364" s="14"/>
      <c r="U364" s="18"/>
      <c r="V364" s="18"/>
      <c r="W364" s="18"/>
      <c r="X364" s="18"/>
      <c r="Y364" s="18"/>
      <c r="Z364" s="18"/>
      <c r="AA364" s="18"/>
      <c r="AB364" s="18"/>
      <c r="AC364" s="18"/>
      <c r="AD364" s="18"/>
    </row>
    <row r="365" ht="24.75" customHeight="1">
      <c r="A365" s="19"/>
      <c r="B365" s="18"/>
      <c r="C365" s="18"/>
      <c r="D365" s="18"/>
      <c r="E365" s="18"/>
      <c r="F365" s="18"/>
      <c r="G365" s="14"/>
      <c r="H365" s="14"/>
      <c r="I365" s="14"/>
      <c r="J365" s="14"/>
      <c r="K365" s="14"/>
      <c r="L365" s="14"/>
      <c r="M365" s="18"/>
      <c r="N365" s="14"/>
      <c r="O365" s="14"/>
      <c r="P365" s="14"/>
      <c r="Q365" s="14"/>
      <c r="R365" s="14"/>
      <c r="S365" s="14"/>
      <c r="T365" s="14"/>
      <c r="U365" s="18"/>
      <c r="V365" s="18"/>
      <c r="W365" s="18"/>
      <c r="X365" s="18"/>
      <c r="Y365" s="18"/>
      <c r="Z365" s="18"/>
      <c r="AA365" s="18"/>
      <c r="AB365" s="18"/>
      <c r="AC365" s="18"/>
      <c r="AD365" s="18"/>
    </row>
    <row r="366" ht="24.75" customHeight="1">
      <c r="A366" s="19"/>
      <c r="B366" s="18"/>
      <c r="C366" s="18"/>
      <c r="D366" s="18"/>
      <c r="E366" s="18"/>
      <c r="F366" s="18"/>
      <c r="G366" s="14"/>
      <c r="H366" s="14"/>
      <c r="I366" s="14"/>
      <c r="J366" s="14"/>
      <c r="K366" s="14"/>
      <c r="L366" s="14"/>
      <c r="M366" s="18"/>
      <c r="N366" s="14"/>
      <c r="O366" s="14"/>
      <c r="P366" s="14"/>
      <c r="Q366" s="14"/>
      <c r="R366" s="14"/>
      <c r="S366" s="14"/>
      <c r="T366" s="14"/>
      <c r="U366" s="18"/>
      <c r="V366" s="18"/>
      <c r="W366" s="18"/>
      <c r="X366" s="18"/>
      <c r="Y366" s="18"/>
      <c r="Z366" s="18"/>
      <c r="AA366" s="18"/>
      <c r="AB366" s="18"/>
      <c r="AC366" s="18"/>
      <c r="AD366" s="18"/>
    </row>
    <row r="367" ht="24.75" customHeight="1">
      <c r="A367" s="19"/>
      <c r="B367" s="18"/>
      <c r="C367" s="18"/>
      <c r="D367" s="18"/>
      <c r="E367" s="18"/>
      <c r="F367" s="18"/>
      <c r="G367" s="14"/>
      <c r="H367" s="14"/>
      <c r="I367" s="14"/>
      <c r="J367" s="14"/>
      <c r="K367" s="14"/>
      <c r="L367" s="14"/>
      <c r="M367" s="18"/>
      <c r="N367" s="14"/>
      <c r="O367" s="14"/>
      <c r="P367" s="14"/>
      <c r="Q367" s="14"/>
      <c r="R367" s="14"/>
      <c r="S367" s="14"/>
      <c r="T367" s="14"/>
      <c r="U367" s="18"/>
      <c r="V367" s="18"/>
      <c r="W367" s="18"/>
      <c r="X367" s="18"/>
      <c r="Y367" s="18"/>
      <c r="Z367" s="18"/>
      <c r="AA367" s="18"/>
      <c r="AB367" s="18"/>
      <c r="AC367" s="18"/>
      <c r="AD367" s="18"/>
    </row>
    <row r="368" ht="24.75" customHeight="1">
      <c r="A368" s="19"/>
      <c r="B368" s="18"/>
      <c r="C368" s="18"/>
      <c r="D368" s="18"/>
      <c r="E368" s="18"/>
      <c r="F368" s="18"/>
      <c r="G368" s="14"/>
      <c r="H368" s="14"/>
      <c r="I368" s="14"/>
      <c r="J368" s="14"/>
      <c r="K368" s="14"/>
      <c r="L368" s="14"/>
      <c r="M368" s="18"/>
      <c r="N368" s="14"/>
      <c r="O368" s="14"/>
      <c r="P368" s="14"/>
      <c r="Q368" s="14"/>
      <c r="R368" s="14"/>
      <c r="S368" s="14"/>
      <c r="T368" s="14"/>
      <c r="U368" s="18"/>
      <c r="V368" s="18"/>
      <c r="W368" s="18"/>
      <c r="X368" s="18"/>
      <c r="Y368" s="18"/>
      <c r="Z368" s="18"/>
      <c r="AA368" s="18"/>
      <c r="AB368" s="18"/>
      <c r="AC368" s="18"/>
      <c r="AD368" s="18"/>
    </row>
    <row r="369" ht="24.75" customHeight="1">
      <c r="A369" s="19"/>
      <c r="B369" s="18"/>
      <c r="C369" s="18"/>
      <c r="D369" s="18"/>
      <c r="E369" s="18"/>
      <c r="F369" s="18"/>
      <c r="G369" s="14"/>
      <c r="H369" s="14"/>
      <c r="I369" s="14"/>
      <c r="J369" s="14"/>
      <c r="K369" s="14"/>
      <c r="L369" s="14"/>
      <c r="M369" s="18"/>
      <c r="N369" s="14"/>
      <c r="O369" s="14"/>
      <c r="P369" s="14"/>
      <c r="Q369" s="14"/>
      <c r="R369" s="14"/>
      <c r="S369" s="14"/>
      <c r="T369" s="14"/>
      <c r="U369" s="18"/>
      <c r="V369" s="18"/>
      <c r="W369" s="18"/>
      <c r="X369" s="18"/>
      <c r="Y369" s="18"/>
      <c r="Z369" s="18"/>
      <c r="AA369" s="18"/>
      <c r="AB369" s="18"/>
      <c r="AC369" s="18"/>
      <c r="AD369" s="18"/>
    </row>
    <row r="370" ht="24.75" customHeight="1">
      <c r="A370" s="19"/>
      <c r="B370" s="18"/>
      <c r="C370" s="18"/>
      <c r="D370" s="18"/>
      <c r="E370" s="18"/>
      <c r="F370" s="18"/>
      <c r="G370" s="14"/>
      <c r="H370" s="14"/>
      <c r="I370" s="14"/>
      <c r="J370" s="14"/>
      <c r="K370" s="14"/>
      <c r="L370" s="14"/>
      <c r="M370" s="18"/>
      <c r="N370" s="14"/>
      <c r="O370" s="14"/>
      <c r="P370" s="14"/>
      <c r="Q370" s="14"/>
      <c r="R370" s="14"/>
      <c r="S370" s="14"/>
      <c r="T370" s="14"/>
      <c r="U370" s="18"/>
      <c r="V370" s="18"/>
      <c r="W370" s="18"/>
      <c r="X370" s="18"/>
      <c r="Y370" s="18"/>
      <c r="Z370" s="18"/>
      <c r="AA370" s="18"/>
      <c r="AB370" s="18"/>
      <c r="AC370" s="18"/>
      <c r="AD370" s="18"/>
    </row>
    <row r="371" ht="24.75" customHeight="1">
      <c r="A371" s="19"/>
      <c r="B371" s="18"/>
      <c r="C371" s="18"/>
      <c r="D371" s="18"/>
      <c r="E371" s="18"/>
      <c r="F371" s="18"/>
      <c r="G371" s="14"/>
      <c r="H371" s="14"/>
      <c r="I371" s="14"/>
      <c r="J371" s="14"/>
      <c r="K371" s="14"/>
      <c r="L371" s="14"/>
      <c r="M371" s="18"/>
      <c r="N371" s="14"/>
      <c r="O371" s="14"/>
      <c r="P371" s="14"/>
      <c r="Q371" s="14"/>
      <c r="R371" s="14"/>
      <c r="S371" s="14"/>
      <c r="T371" s="14"/>
      <c r="U371" s="18"/>
      <c r="V371" s="18"/>
      <c r="W371" s="18"/>
      <c r="X371" s="18"/>
      <c r="Y371" s="18"/>
      <c r="Z371" s="18"/>
      <c r="AA371" s="18"/>
      <c r="AB371" s="18"/>
      <c r="AC371" s="18"/>
      <c r="AD371" s="18"/>
    </row>
    <row r="372" ht="24.75" customHeight="1">
      <c r="A372" s="19"/>
      <c r="B372" s="18"/>
      <c r="C372" s="18"/>
      <c r="D372" s="18"/>
      <c r="E372" s="18"/>
      <c r="F372" s="18"/>
      <c r="G372" s="14"/>
      <c r="H372" s="14"/>
      <c r="I372" s="14"/>
      <c r="J372" s="14"/>
      <c r="K372" s="14"/>
      <c r="L372" s="14"/>
      <c r="M372" s="18"/>
      <c r="N372" s="14"/>
      <c r="O372" s="14"/>
      <c r="P372" s="14"/>
      <c r="Q372" s="14"/>
      <c r="R372" s="14"/>
      <c r="S372" s="14"/>
      <c r="T372" s="14"/>
      <c r="U372" s="18"/>
      <c r="V372" s="18"/>
      <c r="W372" s="18"/>
      <c r="X372" s="18"/>
      <c r="Y372" s="18"/>
      <c r="Z372" s="18"/>
      <c r="AA372" s="18"/>
      <c r="AB372" s="18"/>
      <c r="AC372" s="18"/>
      <c r="AD372" s="18"/>
    </row>
    <row r="373" ht="24.75" customHeight="1">
      <c r="A373" s="19"/>
      <c r="B373" s="18"/>
      <c r="C373" s="18"/>
      <c r="D373" s="18"/>
      <c r="E373" s="18"/>
      <c r="F373" s="18"/>
      <c r="G373" s="14"/>
      <c r="H373" s="14"/>
      <c r="I373" s="14"/>
      <c r="J373" s="14"/>
      <c r="K373" s="14"/>
      <c r="L373" s="14"/>
      <c r="M373" s="18"/>
      <c r="N373" s="14"/>
      <c r="O373" s="14"/>
      <c r="P373" s="14"/>
      <c r="Q373" s="14"/>
      <c r="R373" s="14"/>
      <c r="S373" s="14"/>
      <c r="T373" s="14"/>
      <c r="U373" s="18"/>
      <c r="V373" s="18"/>
      <c r="W373" s="18"/>
      <c r="X373" s="18"/>
      <c r="Y373" s="18"/>
      <c r="Z373" s="18"/>
      <c r="AA373" s="18"/>
      <c r="AB373" s="18"/>
      <c r="AC373" s="18"/>
      <c r="AD373" s="18"/>
    </row>
    <row r="374" ht="24.75" customHeight="1">
      <c r="A374" s="19"/>
      <c r="B374" s="18"/>
      <c r="C374" s="18"/>
      <c r="D374" s="18"/>
      <c r="E374" s="18"/>
      <c r="F374" s="18"/>
      <c r="G374" s="14"/>
      <c r="H374" s="14"/>
      <c r="I374" s="14"/>
      <c r="J374" s="14"/>
      <c r="K374" s="14"/>
      <c r="L374" s="14"/>
      <c r="M374" s="18"/>
      <c r="N374" s="14"/>
      <c r="O374" s="14"/>
      <c r="P374" s="14"/>
      <c r="Q374" s="14"/>
      <c r="R374" s="14"/>
      <c r="S374" s="14"/>
      <c r="T374" s="14"/>
      <c r="U374" s="18"/>
      <c r="V374" s="18"/>
      <c r="W374" s="18"/>
      <c r="X374" s="18"/>
      <c r="Y374" s="18"/>
      <c r="Z374" s="18"/>
      <c r="AA374" s="18"/>
      <c r="AB374" s="18"/>
      <c r="AC374" s="18"/>
      <c r="AD374" s="18"/>
    </row>
    <row r="375" ht="24.75" customHeight="1">
      <c r="A375" s="19"/>
      <c r="B375" s="18"/>
      <c r="C375" s="18"/>
      <c r="D375" s="18"/>
      <c r="E375" s="18"/>
      <c r="F375" s="18"/>
      <c r="G375" s="14"/>
      <c r="H375" s="14"/>
      <c r="I375" s="14"/>
      <c r="J375" s="14"/>
      <c r="K375" s="14"/>
      <c r="L375" s="14"/>
      <c r="M375" s="18"/>
      <c r="N375" s="14"/>
      <c r="O375" s="14"/>
      <c r="P375" s="14"/>
      <c r="Q375" s="14"/>
      <c r="R375" s="14"/>
      <c r="S375" s="14"/>
      <c r="T375" s="14"/>
      <c r="U375" s="18"/>
      <c r="V375" s="18"/>
      <c r="W375" s="18"/>
      <c r="X375" s="18"/>
      <c r="Y375" s="18"/>
      <c r="Z375" s="18"/>
      <c r="AA375" s="18"/>
      <c r="AB375" s="18"/>
      <c r="AC375" s="18"/>
      <c r="AD375" s="18"/>
    </row>
    <row r="376" ht="24.75" customHeight="1">
      <c r="A376" s="19"/>
      <c r="B376" s="18"/>
      <c r="C376" s="18"/>
      <c r="D376" s="18"/>
      <c r="E376" s="18"/>
      <c r="F376" s="18"/>
      <c r="G376" s="14"/>
      <c r="H376" s="14"/>
      <c r="I376" s="14"/>
      <c r="J376" s="14"/>
      <c r="K376" s="14"/>
      <c r="L376" s="14"/>
      <c r="M376" s="18"/>
      <c r="N376" s="14"/>
      <c r="O376" s="14"/>
      <c r="P376" s="14"/>
      <c r="Q376" s="14"/>
      <c r="R376" s="14"/>
      <c r="S376" s="14"/>
      <c r="T376" s="14"/>
      <c r="U376" s="18"/>
      <c r="V376" s="18"/>
      <c r="W376" s="18"/>
      <c r="X376" s="18"/>
      <c r="Y376" s="18"/>
      <c r="Z376" s="18"/>
      <c r="AA376" s="18"/>
      <c r="AB376" s="18"/>
      <c r="AC376" s="18"/>
      <c r="AD376" s="18"/>
    </row>
    <row r="377" ht="24.75" customHeight="1">
      <c r="A377" s="19"/>
      <c r="B377" s="18"/>
      <c r="C377" s="18"/>
      <c r="D377" s="18"/>
      <c r="E377" s="18"/>
      <c r="F377" s="18"/>
      <c r="G377" s="14"/>
      <c r="H377" s="14"/>
      <c r="I377" s="14"/>
      <c r="J377" s="14"/>
      <c r="K377" s="14"/>
      <c r="L377" s="14"/>
      <c r="M377" s="18"/>
      <c r="N377" s="14"/>
      <c r="O377" s="14"/>
      <c r="P377" s="14"/>
      <c r="Q377" s="14"/>
      <c r="R377" s="14"/>
      <c r="S377" s="14"/>
      <c r="T377" s="14"/>
      <c r="U377" s="18"/>
      <c r="V377" s="18"/>
      <c r="W377" s="18"/>
      <c r="X377" s="18"/>
      <c r="Y377" s="18"/>
      <c r="Z377" s="18"/>
      <c r="AA377" s="18"/>
      <c r="AB377" s="18"/>
      <c r="AC377" s="18"/>
      <c r="AD377" s="18"/>
    </row>
    <row r="378" ht="24.75" customHeight="1">
      <c r="A378" s="19"/>
      <c r="B378" s="18"/>
      <c r="C378" s="18"/>
      <c r="D378" s="18"/>
      <c r="E378" s="18"/>
      <c r="F378" s="18"/>
      <c r="G378" s="14"/>
      <c r="H378" s="14"/>
      <c r="I378" s="14"/>
      <c r="J378" s="14"/>
      <c r="K378" s="14"/>
      <c r="L378" s="14"/>
      <c r="M378" s="18"/>
      <c r="N378" s="14"/>
      <c r="O378" s="14"/>
      <c r="P378" s="14"/>
      <c r="Q378" s="14"/>
      <c r="R378" s="14"/>
      <c r="S378" s="14"/>
      <c r="T378" s="14"/>
      <c r="U378" s="18"/>
      <c r="V378" s="18"/>
      <c r="W378" s="18"/>
      <c r="X378" s="18"/>
      <c r="Y378" s="18"/>
      <c r="Z378" s="18"/>
      <c r="AA378" s="18"/>
      <c r="AB378" s="18"/>
      <c r="AC378" s="18"/>
      <c r="AD378" s="18"/>
    </row>
    <row r="379" ht="24.75" customHeight="1">
      <c r="A379" s="19"/>
      <c r="B379" s="18"/>
      <c r="C379" s="18"/>
      <c r="D379" s="18"/>
      <c r="E379" s="18"/>
      <c r="F379" s="18"/>
      <c r="G379" s="14"/>
      <c r="H379" s="14"/>
      <c r="I379" s="14"/>
      <c r="J379" s="14"/>
      <c r="K379" s="14"/>
      <c r="L379" s="14"/>
      <c r="M379" s="18"/>
      <c r="N379" s="14"/>
      <c r="O379" s="14"/>
      <c r="P379" s="14"/>
      <c r="Q379" s="14"/>
      <c r="R379" s="14"/>
      <c r="S379" s="14"/>
      <c r="T379" s="14"/>
      <c r="U379" s="18"/>
      <c r="V379" s="18"/>
      <c r="W379" s="18"/>
      <c r="X379" s="18"/>
      <c r="Y379" s="18"/>
      <c r="Z379" s="18"/>
      <c r="AA379" s="18"/>
      <c r="AB379" s="18"/>
      <c r="AC379" s="18"/>
      <c r="AD379" s="18"/>
    </row>
    <row r="380" ht="24.75" customHeight="1">
      <c r="A380" s="19"/>
      <c r="B380" s="18"/>
      <c r="C380" s="18"/>
      <c r="D380" s="18"/>
      <c r="E380" s="18"/>
      <c r="F380" s="18"/>
      <c r="G380" s="14"/>
      <c r="H380" s="14"/>
      <c r="I380" s="14"/>
      <c r="J380" s="14"/>
      <c r="K380" s="14"/>
      <c r="L380" s="14"/>
      <c r="M380" s="18"/>
      <c r="N380" s="14"/>
      <c r="O380" s="14"/>
      <c r="P380" s="14"/>
      <c r="Q380" s="14"/>
      <c r="R380" s="14"/>
      <c r="S380" s="14"/>
      <c r="T380" s="14"/>
      <c r="U380" s="18"/>
      <c r="V380" s="18"/>
      <c r="W380" s="18"/>
      <c r="X380" s="18"/>
      <c r="Y380" s="18"/>
      <c r="Z380" s="18"/>
      <c r="AA380" s="18"/>
      <c r="AB380" s="18"/>
      <c r="AC380" s="18"/>
      <c r="AD380" s="18"/>
    </row>
    <row r="381" ht="24.75" customHeight="1">
      <c r="A381" s="19"/>
      <c r="B381" s="18"/>
      <c r="C381" s="18"/>
      <c r="D381" s="18"/>
      <c r="E381" s="18"/>
      <c r="F381" s="18"/>
      <c r="G381" s="14"/>
      <c r="H381" s="14"/>
      <c r="I381" s="14"/>
      <c r="J381" s="14"/>
      <c r="K381" s="14"/>
      <c r="L381" s="14"/>
      <c r="M381" s="18"/>
      <c r="N381" s="14"/>
      <c r="O381" s="14"/>
      <c r="P381" s="14"/>
      <c r="Q381" s="14"/>
      <c r="R381" s="14"/>
      <c r="S381" s="14"/>
      <c r="T381" s="14"/>
      <c r="U381" s="18"/>
      <c r="V381" s="18"/>
      <c r="W381" s="18"/>
      <c r="X381" s="18"/>
      <c r="Y381" s="18"/>
      <c r="Z381" s="18"/>
      <c r="AA381" s="18"/>
      <c r="AB381" s="18"/>
      <c r="AC381" s="18"/>
      <c r="AD381" s="18"/>
    </row>
    <row r="382" ht="24.75" customHeight="1">
      <c r="A382" s="19"/>
      <c r="B382" s="18"/>
      <c r="C382" s="18"/>
      <c r="D382" s="18"/>
      <c r="E382" s="18"/>
      <c r="F382" s="18"/>
      <c r="G382" s="14"/>
      <c r="H382" s="14"/>
      <c r="I382" s="14"/>
      <c r="J382" s="14"/>
      <c r="K382" s="14"/>
      <c r="L382" s="14"/>
      <c r="M382" s="18"/>
      <c r="N382" s="14"/>
      <c r="O382" s="14"/>
      <c r="P382" s="14"/>
      <c r="Q382" s="14"/>
      <c r="R382" s="14"/>
      <c r="S382" s="14"/>
      <c r="T382" s="14"/>
      <c r="U382" s="18"/>
      <c r="V382" s="18"/>
      <c r="W382" s="18"/>
      <c r="X382" s="18"/>
      <c r="Y382" s="18"/>
      <c r="Z382" s="18"/>
      <c r="AA382" s="18"/>
      <c r="AB382" s="18"/>
      <c r="AC382" s="18"/>
      <c r="AD382" s="18"/>
    </row>
    <row r="383" ht="24.75" customHeight="1">
      <c r="A383" s="19"/>
      <c r="B383" s="18"/>
      <c r="C383" s="18"/>
      <c r="D383" s="18"/>
      <c r="E383" s="18"/>
      <c r="F383" s="18"/>
      <c r="G383" s="14"/>
      <c r="H383" s="14"/>
      <c r="I383" s="14"/>
      <c r="J383" s="14"/>
      <c r="K383" s="14"/>
      <c r="L383" s="14"/>
      <c r="M383" s="18"/>
      <c r="N383" s="14"/>
      <c r="O383" s="14"/>
      <c r="P383" s="14"/>
      <c r="Q383" s="14"/>
      <c r="R383" s="14"/>
      <c r="S383" s="14"/>
      <c r="T383" s="14"/>
      <c r="U383" s="18"/>
      <c r="V383" s="18"/>
      <c r="W383" s="18"/>
      <c r="X383" s="18"/>
      <c r="Y383" s="18"/>
      <c r="Z383" s="18"/>
      <c r="AA383" s="18"/>
      <c r="AB383" s="18"/>
      <c r="AC383" s="18"/>
      <c r="AD383" s="18"/>
    </row>
    <row r="384" ht="24.75" customHeight="1">
      <c r="A384" s="19"/>
      <c r="B384" s="18"/>
      <c r="C384" s="18"/>
      <c r="D384" s="18"/>
      <c r="E384" s="18"/>
      <c r="F384" s="18"/>
      <c r="G384" s="14"/>
      <c r="H384" s="14"/>
      <c r="I384" s="14"/>
      <c r="J384" s="14"/>
      <c r="K384" s="14"/>
      <c r="L384" s="14"/>
      <c r="M384" s="18"/>
      <c r="N384" s="14"/>
      <c r="O384" s="14"/>
      <c r="P384" s="14"/>
      <c r="Q384" s="14"/>
      <c r="R384" s="14"/>
      <c r="S384" s="14"/>
      <c r="T384" s="14"/>
      <c r="U384" s="18"/>
      <c r="V384" s="18"/>
      <c r="W384" s="18"/>
      <c r="X384" s="18"/>
      <c r="Y384" s="18"/>
      <c r="Z384" s="18"/>
      <c r="AA384" s="18"/>
      <c r="AB384" s="18"/>
      <c r="AC384" s="18"/>
      <c r="AD384" s="18"/>
    </row>
    <row r="385" ht="24.75" customHeight="1">
      <c r="A385" s="19"/>
      <c r="B385" s="18"/>
      <c r="C385" s="18"/>
      <c r="D385" s="18"/>
      <c r="E385" s="18"/>
      <c r="F385" s="18"/>
      <c r="G385" s="14"/>
      <c r="H385" s="14"/>
      <c r="I385" s="14"/>
      <c r="J385" s="14"/>
      <c r="K385" s="14"/>
      <c r="L385" s="14"/>
      <c r="M385" s="18"/>
      <c r="N385" s="14"/>
      <c r="O385" s="14"/>
      <c r="P385" s="14"/>
      <c r="Q385" s="14"/>
      <c r="R385" s="14"/>
      <c r="S385" s="14"/>
      <c r="T385" s="14"/>
      <c r="U385" s="18"/>
      <c r="V385" s="18"/>
      <c r="W385" s="18"/>
      <c r="X385" s="18"/>
      <c r="Y385" s="18"/>
      <c r="Z385" s="18"/>
      <c r="AA385" s="18"/>
      <c r="AB385" s="18"/>
      <c r="AC385" s="18"/>
      <c r="AD385" s="18"/>
    </row>
    <row r="386" ht="24.75" customHeight="1">
      <c r="A386" s="19"/>
      <c r="B386" s="18"/>
      <c r="C386" s="18"/>
      <c r="D386" s="18"/>
      <c r="E386" s="18"/>
      <c r="F386" s="18"/>
      <c r="G386" s="14"/>
      <c r="H386" s="14"/>
      <c r="I386" s="14"/>
      <c r="J386" s="14"/>
      <c r="K386" s="14"/>
      <c r="L386" s="14"/>
      <c r="M386" s="18"/>
      <c r="N386" s="14"/>
      <c r="O386" s="14"/>
      <c r="P386" s="14"/>
      <c r="Q386" s="14"/>
      <c r="R386" s="14"/>
      <c r="S386" s="14"/>
      <c r="T386" s="14"/>
      <c r="U386" s="18"/>
      <c r="V386" s="18"/>
      <c r="W386" s="18"/>
      <c r="X386" s="18"/>
      <c r="Y386" s="18"/>
      <c r="Z386" s="18"/>
      <c r="AA386" s="18"/>
      <c r="AB386" s="18"/>
      <c r="AC386" s="18"/>
      <c r="AD386" s="18"/>
    </row>
    <row r="387" ht="24.75" customHeight="1">
      <c r="A387" s="19"/>
      <c r="B387" s="18"/>
      <c r="C387" s="18"/>
      <c r="D387" s="18"/>
      <c r="E387" s="18"/>
      <c r="F387" s="18"/>
      <c r="G387" s="14"/>
      <c r="H387" s="14"/>
      <c r="I387" s="14"/>
      <c r="J387" s="14"/>
      <c r="K387" s="14"/>
      <c r="L387" s="14"/>
      <c r="M387" s="18"/>
      <c r="N387" s="14"/>
      <c r="O387" s="14"/>
      <c r="P387" s="14"/>
      <c r="Q387" s="14"/>
      <c r="R387" s="14"/>
      <c r="S387" s="14"/>
      <c r="T387" s="14"/>
      <c r="U387" s="18"/>
      <c r="V387" s="18"/>
      <c r="W387" s="18"/>
      <c r="X387" s="18"/>
      <c r="Y387" s="18"/>
      <c r="Z387" s="18"/>
      <c r="AA387" s="18"/>
      <c r="AB387" s="18"/>
      <c r="AC387" s="18"/>
      <c r="AD387" s="18"/>
    </row>
    <row r="388" ht="24.75" customHeight="1">
      <c r="A388" s="19"/>
      <c r="B388" s="18"/>
      <c r="C388" s="18"/>
      <c r="D388" s="18"/>
      <c r="E388" s="18"/>
      <c r="F388" s="18"/>
      <c r="G388" s="14"/>
      <c r="H388" s="14"/>
      <c r="I388" s="14"/>
      <c r="J388" s="14"/>
      <c r="K388" s="14"/>
      <c r="L388" s="14"/>
      <c r="M388" s="18"/>
      <c r="N388" s="14"/>
      <c r="O388" s="14"/>
      <c r="P388" s="14"/>
      <c r="Q388" s="14"/>
      <c r="R388" s="14"/>
      <c r="S388" s="14"/>
      <c r="T388" s="14"/>
      <c r="U388" s="18"/>
      <c r="V388" s="18"/>
      <c r="W388" s="18"/>
      <c r="X388" s="18"/>
      <c r="Y388" s="18"/>
      <c r="Z388" s="18"/>
      <c r="AA388" s="18"/>
      <c r="AB388" s="18"/>
      <c r="AC388" s="18"/>
      <c r="AD388" s="18"/>
    </row>
    <row r="389" ht="24.75" customHeight="1">
      <c r="A389" s="19"/>
      <c r="B389" s="18"/>
      <c r="C389" s="18"/>
      <c r="D389" s="18"/>
      <c r="E389" s="18"/>
      <c r="F389" s="18"/>
      <c r="G389" s="14"/>
      <c r="H389" s="14"/>
      <c r="I389" s="14"/>
      <c r="J389" s="14"/>
      <c r="K389" s="14"/>
      <c r="L389" s="14"/>
      <c r="M389" s="18"/>
      <c r="N389" s="14"/>
      <c r="O389" s="14"/>
      <c r="P389" s="14"/>
      <c r="Q389" s="14"/>
      <c r="R389" s="14"/>
      <c r="S389" s="14"/>
      <c r="T389" s="14"/>
      <c r="U389" s="18"/>
      <c r="V389" s="18"/>
      <c r="W389" s="18"/>
      <c r="X389" s="18"/>
      <c r="Y389" s="18"/>
      <c r="Z389" s="18"/>
      <c r="AA389" s="18"/>
      <c r="AB389" s="18"/>
      <c r="AC389" s="18"/>
      <c r="AD389" s="18"/>
    </row>
    <row r="390" ht="24.75" customHeight="1">
      <c r="A390" s="19"/>
      <c r="B390" s="18"/>
      <c r="C390" s="18"/>
      <c r="D390" s="18"/>
      <c r="E390" s="18"/>
      <c r="F390" s="18"/>
      <c r="G390" s="14"/>
      <c r="H390" s="14"/>
      <c r="I390" s="14"/>
      <c r="J390" s="14"/>
      <c r="K390" s="14"/>
      <c r="L390" s="14"/>
      <c r="M390" s="18"/>
      <c r="N390" s="14"/>
      <c r="O390" s="14"/>
      <c r="P390" s="14"/>
      <c r="Q390" s="14"/>
      <c r="R390" s="14"/>
      <c r="S390" s="14"/>
      <c r="T390" s="14"/>
      <c r="U390" s="18"/>
      <c r="V390" s="18"/>
      <c r="W390" s="18"/>
      <c r="X390" s="18"/>
      <c r="Y390" s="18"/>
      <c r="Z390" s="18"/>
      <c r="AA390" s="18"/>
      <c r="AB390" s="18"/>
      <c r="AC390" s="18"/>
      <c r="AD390" s="18"/>
    </row>
    <row r="391" ht="24.75" customHeight="1">
      <c r="A391" s="19"/>
      <c r="B391" s="18"/>
      <c r="C391" s="18"/>
      <c r="D391" s="18"/>
      <c r="E391" s="18"/>
      <c r="F391" s="18"/>
      <c r="G391" s="14"/>
      <c r="H391" s="14"/>
      <c r="I391" s="14"/>
      <c r="J391" s="14"/>
      <c r="K391" s="14"/>
      <c r="L391" s="14"/>
      <c r="M391" s="18"/>
      <c r="N391" s="14"/>
      <c r="O391" s="14"/>
      <c r="P391" s="14"/>
      <c r="Q391" s="14"/>
      <c r="R391" s="14"/>
      <c r="S391" s="14"/>
      <c r="T391" s="14"/>
      <c r="U391" s="18"/>
      <c r="V391" s="18"/>
      <c r="W391" s="18"/>
      <c r="X391" s="18"/>
      <c r="Y391" s="18"/>
      <c r="Z391" s="18"/>
      <c r="AA391" s="18"/>
      <c r="AB391" s="18"/>
      <c r="AC391" s="18"/>
      <c r="AD391" s="18"/>
    </row>
    <row r="392" ht="24.75" customHeight="1">
      <c r="A392" s="19"/>
      <c r="B392" s="18"/>
      <c r="C392" s="18"/>
      <c r="D392" s="18"/>
      <c r="E392" s="18"/>
      <c r="F392" s="18"/>
      <c r="G392" s="14"/>
      <c r="H392" s="14"/>
      <c r="I392" s="14"/>
      <c r="J392" s="14"/>
      <c r="K392" s="14"/>
      <c r="L392" s="14"/>
      <c r="M392" s="18"/>
      <c r="N392" s="14"/>
      <c r="O392" s="14"/>
      <c r="P392" s="14"/>
      <c r="Q392" s="14"/>
      <c r="R392" s="14"/>
      <c r="S392" s="14"/>
      <c r="T392" s="14"/>
      <c r="U392" s="18"/>
      <c r="V392" s="18"/>
      <c r="W392" s="18"/>
      <c r="X392" s="18"/>
      <c r="Y392" s="18"/>
      <c r="Z392" s="18"/>
      <c r="AA392" s="18"/>
      <c r="AB392" s="18"/>
      <c r="AC392" s="18"/>
      <c r="AD392" s="18"/>
    </row>
    <row r="393" ht="24.75" customHeight="1">
      <c r="A393" s="19"/>
      <c r="B393" s="18"/>
      <c r="C393" s="18"/>
      <c r="D393" s="18"/>
      <c r="E393" s="18"/>
      <c r="F393" s="18"/>
      <c r="G393" s="14"/>
      <c r="H393" s="14"/>
      <c r="I393" s="14"/>
      <c r="J393" s="14"/>
      <c r="K393" s="14"/>
      <c r="L393" s="14"/>
      <c r="M393" s="18"/>
      <c r="N393" s="14"/>
      <c r="O393" s="14"/>
      <c r="P393" s="14"/>
      <c r="Q393" s="14"/>
      <c r="R393" s="14"/>
      <c r="S393" s="14"/>
      <c r="T393" s="14"/>
      <c r="U393" s="18"/>
      <c r="V393" s="18"/>
      <c r="W393" s="18"/>
      <c r="X393" s="18"/>
      <c r="Y393" s="18"/>
      <c r="Z393" s="18"/>
      <c r="AA393" s="18"/>
      <c r="AB393" s="18"/>
      <c r="AC393" s="18"/>
      <c r="AD393" s="18"/>
    </row>
    <row r="394" ht="24.75" customHeight="1">
      <c r="A394" s="19"/>
      <c r="B394" s="18"/>
      <c r="C394" s="18"/>
      <c r="D394" s="18"/>
      <c r="E394" s="18"/>
      <c r="F394" s="18"/>
      <c r="G394" s="14"/>
      <c r="H394" s="14"/>
      <c r="I394" s="14"/>
      <c r="J394" s="14"/>
      <c r="K394" s="14"/>
      <c r="L394" s="14"/>
      <c r="M394" s="18"/>
      <c r="N394" s="14"/>
      <c r="O394" s="14"/>
      <c r="P394" s="14"/>
      <c r="Q394" s="14"/>
      <c r="R394" s="14"/>
      <c r="S394" s="14"/>
      <c r="T394" s="14"/>
      <c r="U394" s="18"/>
      <c r="V394" s="18"/>
      <c r="W394" s="18"/>
      <c r="X394" s="18"/>
      <c r="Y394" s="18"/>
      <c r="Z394" s="18"/>
      <c r="AA394" s="18"/>
      <c r="AB394" s="18"/>
      <c r="AC394" s="18"/>
      <c r="AD394" s="18"/>
    </row>
    <row r="395" ht="24.75" customHeight="1">
      <c r="A395" s="19"/>
      <c r="B395" s="18"/>
      <c r="C395" s="18"/>
      <c r="D395" s="18"/>
      <c r="E395" s="18"/>
      <c r="F395" s="18"/>
      <c r="G395" s="14"/>
      <c r="H395" s="14"/>
      <c r="I395" s="14"/>
      <c r="J395" s="14"/>
      <c r="K395" s="14"/>
      <c r="L395" s="14"/>
      <c r="M395" s="18"/>
      <c r="N395" s="14"/>
      <c r="O395" s="14"/>
      <c r="P395" s="14"/>
      <c r="Q395" s="14"/>
      <c r="R395" s="14"/>
      <c r="S395" s="14"/>
      <c r="T395" s="14"/>
      <c r="U395" s="18"/>
      <c r="V395" s="18"/>
      <c r="W395" s="18"/>
      <c r="X395" s="18"/>
      <c r="Y395" s="18"/>
      <c r="Z395" s="18"/>
      <c r="AA395" s="18"/>
      <c r="AB395" s="18"/>
      <c r="AC395" s="18"/>
      <c r="AD395" s="18"/>
    </row>
    <row r="396" ht="24.75" customHeight="1">
      <c r="A396" s="19"/>
      <c r="B396" s="18"/>
      <c r="C396" s="18"/>
      <c r="D396" s="18"/>
      <c r="E396" s="18"/>
      <c r="F396" s="18"/>
      <c r="G396" s="14"/>
      <c r="H396" s="14"/>
      <c r="I396" s="14"/>
      <c r="J396" s="14"/>
      <c r="K396" s="14"/>
      <c r="L396" s="14"/>
      <c r="M396" s="18"/>
      <c r="N396" s="14"/>
      <c r="O396" s="14"/>
      <c r="P396" s="14"/>
      <c r="Q396" s="14"/>
      <c r="R396" s="14"/>
      <c r="S396" s="14"/>
      <c r="T396" s="14"/>
      <c r="U396" s="18"/>
      <c r="V396" s="18"/>
      <c r="W396" s="18"/>
      <c r="X396" s="18"/>
      <c r="Y396" s="18"/>
      <c r="Z396" s="18"/>
      <c r="AA396" s="18"/>
      <c r="AB396" s="18"/>
      <c r="AC396" s="18"/>
      <c r="AD396" s="18"/>
    </row>
    <row r="397" ht="24.75" customHeight="1">
      <c r="A397" s="19"/>
      <c r="B397" s="18"/>
      <c r="C397" s="18"/>
      <c r="D397" s="18"/>
      <c r="E397" s="18"/>
      <c r="F397" s="18"/>
      <c r="G397" s="14"/>
      <c r="H397" s="14"/>
      <c r="I397" s="14"/>
      <c r="J397" s="14"/>
      <c r="K397" s="14"/>
      <c r="L397" s="14"/>
      <c r="M397" s="18"/>
      <c r="N397" s="14"/>
      <c r="O397" s="14"/>
      <c r="P397" s="14"/>
      <c r="Q397" s="14"/>
      <c r="R397" s="14"/>
      <c r="S397" s="14"/>
      <c r="T397" s="14"/>
      <c r="U397" s="18"/>
      <c r="V397" s="18"/>
      <c r="W397" s="18"/>
      <c r="X397" s="18"/>
      <c r="Y397" s="18"/>
      <c r="Z397" s="18"/>
      <c r="AA397" s="18"/>
      <c r="AB397" s="18"/>
      <c r="AC397" s="18"/>
      <c r="AD397" s="18"/>
    </row>
    <row r="398" ht="24.75" customHeight="1">
      <c r="A398" s="19"/>
      <c r="B398" s="18"/>
      <c r="C398" s="18"/>
      <c r="D398" s="18"/>
      <c r="E398" s="18"/>
      <c r="F398" s="18"/>
      <c r="G398" s="14"/>
      <c r="H398" s="14"/>
      <c r="I398" s="14"/>
      <c r="J398" s="14"/>
      <c r="K398" s="14"/>
      <c r="L398" s="14"/>
      <c r="M398" s="18"/>
      <c r="N398" s="14"/>
      <c r="O398" s="14"/>
      <c r="P398" s="14"/>
      <c r="Q398" s="14"/>
      <c r="R398" s="14"/>
      <c r="S398" s="14"/>
      <c r="T398" s="14"/>
      <c r="U398" s="18"/>
      <c r="V398" s="18"/>
      <c r="W398" s="18"/>
      <c r="X398" s="18"/>
      <c r="Y398" s="18"/>
      <c r="Z398" s="18"/>
      <c r="AA398" s="18"/>
      <c r="AB398" s="18"/>
      <c r="AC398" s="18"/>
      <c r="AD398" s="18"/>
    </row>
    <row r="399" ht="24.75" customHeight="1">
      <c r="A399" s="19"/>
      <c r="B399" s="18"/>
      <c r="C399" s="18"/>
      <c r="D399" s="18"/>
      <c r="E399" s="18"/>
      <c r="F399" s="18"/>
      <c r="G399" s="14"/>
      <c r="H399" s="14"/>
      <c r="I399" s="14"/>
      <c r="J399" s="14"/>
      <c r="K399" s="14"/>
      <c r="L399" s="14"/>
      <c r="M399" s="18"/>
      <c r="N399" s="14"/>
      <c r="O399" s="14"/>
      <c r="P399" s="14"/>
      <c r="Q399" s="14"/>
      <c r="R399" s="14"/>
      <c r="S399" s="14"/>
      <c r="T399" s="14"/>
      <c r="U399" s="18"/>
      <c r="V399" s="18"/>
      <c r="W399" s="18"/>
      <c r="X399" s="18"/>
      <c r="Y399" s="18"/>
      <c r="Z399" s="18"/>
      <c r="AA399" s="18"/>
      <c r="AB399" s="18"/>
      <c r="AC399" s="18"/>
      <c r="AD399" s="18"/>
    </row>
    <row r="400" ht="24.75" customHeight="1">
      <c r="A400" s="19"/>
      <c r="B400" s="18"/>
      <c r="C400" s="18"/>
      <c r="D400" s="18"/>
      <c r="E400" s="18"/>
      <c r="F400" s="18"/>
      <c r="G400" s="14"/>
      <c r="H400" s="14"/>
      <c r="I400" s="14"/>
      <c r="J400" s="14"/>
      <c r="K400" s="14"/>
      <c r="L400" s="14"/>
      <c r="M400" s="18"/>
      <c r="N400" s="14"/>
      <c r="O400" s="14"/>
      <c r="P400" s="14"/>
      <c r="Q400" s="14"/>
      <c r="R400" s="14"/>
      <c r="S400" s="14"/>
      <c r="T400" s="14"/>
      <c r="U400" s="18"/>
      <c r="V400" s="18"/>
      <c r="W400" s="18"/>
      <c r="X400" s="18"/>
      <c r="Y400" s="18"/>
      <c r="Z400" s="18"/>
      <c r="AA400" s="18"/>
      <c r="AB400" s="18"/>
      <c r="AC400" s="18"/>
      <c r="AD400" s="18"/>
    </row>
    <row r="401" ht="24.75" customHeight="1">
      <c r="A401" s="19"/>
      <c r="B401" s="18"/>
      <c r="C401" s="18"/>
      <c r="D401" s="18"/>
      <c r="E401" s="18"/>
      <c r="F401" s="18"/>
      <c r="G401" s="14"/>
      <c r="H401" s="14"/>
      <c r="I401" s="14"/>
      <c r="J401" s="14"/>
      <c r="K401" s="14"/>
      <c r="L401" s="14"/>
      <c r="M401" s="18"/>
      <c r="N401" s="14"/>
      <c r="O401" s="14"/>
      <c r="P401" s="14"/>
      <c r="Q401" s="14"/>
      <c r="R401" s="14"/>
      <c r="S401" s="14"/>
      <c r="T401" s="14"/>
      <c r="U401" s="18"/>
      <c r="V401" s="18"/>
      <c r="W401" s="18"/>
      <c r="X401" s="18"/>
      <c r="Y401" s="18"/>
      <c r="Z401" s="18"/>
      <c r="AA401" s="18"/>
      <c r="AB401" s="18"/>
      <c r="AC401" s="18"/>
      <c r="AD401" s="18"/>
    </row>
    <row r="402" ht="24.75" customHeight="1">
      <c r="A402" s="19"/>
      <c r="B402" s="18"/>
      <c r="C402" s="18"/>
      <c r="D402" s="18"/>
      <c r="E402" s="18"/>
      <c r="F402" s="18"/>
      <c r="G402" s="14"/>
      <c r="H402" s="14"/>
      <c r="I402" s="14"/>
      <c r="J402" s="14"/>
      <c r="K402" s="14"/>
      <c r="L402" s="14"/>
      <c r="M402" s="18"/>
      <c r="N402" s="14"/>
      <c r="O402" s="14"/>
      <c r="P402" s="14"/>
      <c r="Q402" s="14"/>
      <c r="R402" s="14"/>
      <c r="S402" s="14"/>
      <c r="T402" s="14"/>
      <c r="U402" s="18"/>
      <c r="V402" s="18"/>
      <c r="W402" s="18"/>
      <c r="X402" s="18"/>
      <c r="Y402" s="18"/>
      <c r="Z402" s="18"/>
      <c r="AA402" s="18"/>
      <c r="AB402" s="18"/>
      <c r="AC402" s="18"/>
      <c r="AD402" s="18"/>
    </row>
    <row r="403" ht="24.75" customHeight="1">
      <c r="A403" s="19"/>
      <c r="B403" s="18"/>
      <c r="C403" s="18"/>
      <c r="D403" s="18"/>
      <c r="E403" s="18"/>
      <c r="F403" s="18"/>
      <c r="G403" s="14"/>
      <c r="H403" s="14"/>
      <c r="I403" s="14"/>
      <c r="J403" s="14"/>
      <c r="K403" s="14"/>
      <c r="L403" s="14"/>
      <c r="M403" s="18"/>
      <c r="N403" s="14"/>
      <c r="O403" s="14"/>
      <c r="P403" s="14"/>
      <c r="Q403" s="14"/>
      <c r="R403" s="14"/>
      <c r="S403" s="14"/>
      <c r="T403" s="14"/>
      <c r="U403" s="18"/>
      <c r="V403" s="18"/>
      <c r="W403" s="18"/>
      <c r="X403" s="18"/>
      <c r="Y403" s="18"/>
      <c r="Z403" s="18"/>
      <c r="AA403" s="18"/>
      <c r="AB403" s="18"/>
      <c r="AC403" s="18"/>
      <c r="AD403" s="18"/>
    </row>
    <row r="404" ht="24.75" customHeight="1">
      <c r="A404" s="19"/>
      <c r="B404" s="18"/>
      <c r="C404" s="18"/>
      <c r="D404" s="18"/>
      <c r="E404" s="18"/>
      <c r="F404" s="18"/>
      <c r="G404" s="14"/>
      <c r="H404" s="14"/>
      <c r="I404" s="14"/>
      <c r="J404" s="14"/>
      <c r="K404" s="14"/>
      <c r="L404" s="14"/>
      <c r="M404" s="18"/>
      <c r="N404" s="14"/>
      <c r="O404" s="14"/>
      <c r="P404" s="14"/>
      <c r="Q404" s="14"/>
      <c r="R404" s="14"/>
      <c r="S404" s="14"/>
      <c r="T404" s="14"/>
      <c r="U404" s="18"/>
      <c r="V404" s="18"/>
      <c r="W404" s="18"/>
      <c r="X404" s="18"/>
      <c r="Y404" s="18"/>
      <c r="Z404" s="18"/>
      <c r="AA404" s="18"/>
      <c r="AB404" s="18"/>
      <c r="AC404" s="18"/>
      <c r="AD404" s="18"/>
    </row>
    <row r="405" ht="24.75" customHeight="1">
      <c r="A405" s="19"/>
      <c r="B405" s="18"/>
      <c r="C405" s="18"/>
      <c r="D405" s="18"/>
      <c r="E405" s="18"/>
      <c r="F405" s="18"/>
      <c r="G405" s="14"/>
      <c r="H405" s="14"/>
      <c r="I405" s="14"/>
      <c r="J405" s="14"/>
      <c r="K405" s="14"/>
      <c r="L405" s="14"/>
      <c r="M405" s="18"/>
      <c r="N405" s="14"/>
      <c r="O405" s="14"/>
      <c r="P405" s="14"/>
      <c r="Q405" s="14"/>
      <c r="R405" s="14"/>
      <c r="S405" s="14"/>
      <c r="T405" s="14"/>
      <c r="U405" s="18"/>
      <c r="V405" s="18"/>
      <c r="W405" s="18"/>
      <c r="X405" s="18"/>
      <c r="Y405" s="18"/>
      <c r="Z405" s="18"/>
      <c r="AA405" s="18"/>
      <c r="AB405" s="18"/>
      <c r="AC405" s="18"/>
      <c r="AD405" s="18"/>
    </row>
    <row r="406" ht="24.75" customHeight="1">
      <c r="A406" s="19"/>
      <c r="B406" s="18"/>
      <c r="C406" s="18"/>
      <c r="D406" s="18"/>
      <c r="E406" s="18"/>
      <c r="F406" s="18"/>
      <c r="G406" s="14"/>
      <c r="H406" s="14"/>
      <c r="I406" s="14"/>
      <c r="J406" s="14"/>
      <c r="K406" s="14"/>
      <c r="L406" s="14"/>
      <c r="M406" s="18"/>
      <c r="N406" s="14"/>
      <c r="O406" s="14"/>
      <c r="P406" s="14"/>
      <c r="Q406" s="14"/>
      <c r="R406" s="14"/>
      <c r="S406" s="14"/>
      <c r="T406" s="14"/>
      <c r="U406" s="18"/>
      <c r="V406" s="18"/>
      <c r="W406" s="18"/>
      <c r="X406" s="18"/>
      <c r="Y406" s="18"/>
      <c r="Z406" s="18"/>
      <c r="AA406" s="18"/>
      <c r="AB406" s="18"/>
      <c r="AC406" s="18"/>
      <c r="AD406" s="18"/>
    </row>
    <row r="407" ht="24.75" customHeight="1">
      <c r="A407" s="19"/>
      <c r="B407" s="18"/>
      <c r="C407" s="18"/>
      <c r="D407" s="18"/>
      <c r="E407" s="18"/>
      <c r="F407" s="18"/>
      <c r="G407" s="14"/>
      <c r="H407" s="14"/>
      <c r="I407" s="14"/>
      <c r="J407" s="14"/>
      <c r="K407" s="14"/>
      <c r="L407" s="14"/>
      <c r="M407" s="18"/>
      <c r="N407" s="14"/>
      <c r="O407" s="14"/>
      <c r="P407" s="14"/>
      <c r="Q407" s="14"/>
      <c r="R407" s="14"/>
      <c r="S407" s="14"/>
      <c r="T407" s="14"/>
      <c r="U407" s="18"/>
      <c r="V407" s="18"/>
      <c r="W407" s="18"/>
      <c r="X407" s="18"/>
      <c r="Y407" s="18"/>
      <c r="Z407" s="18"/>
      <c r="AA407" s="18"/>
      <c r="AB407" s="18"/>
      <c r="AC407" s="18"/>
      <c r="AD407" s="18"/>
    </row>
    <row r="408" ht="24.75" customHeight="1">
      <c r="A408" s="19"/>
      <c r="B408" s="18"/>
      <c r="C408" s="18"/>
      <c r="D408" s="18"/>
      <c r="E408" s="18"/>
      <c r="F408" s="18"/>
      <c r="G408" s="14"/>
      <c r="H408" s="14"/>
      <c r="I408" s="14"/>
      <c r="J408" s="14"/>
      <c r="K408" s="14"/>
      <c r="L408" s="14"/>
      <c r="M408" s="18"/>
      <c r="N408" s="14"/>
      <c r="O408" s="14"/>
      <c r="P408" s="14"/>
      <c r="Q408" s="14"/>
      <c r="R408" s="14"/>
      <c r="S408" s="14"/>
      <c r="T408" s="14"/>
      <c r="U408" s="18"/>
      <c r="V408" s="18"/>
      <c r="W408" s="18"/>
      <c r="X408" s="18"/>
      <c r="Y408" s="18"/>
      <c r="Z408" s="18"/>
      <c r="AA408" s="18"/>
      <c r="AB408" s="18"/>
      <c r="AC408" s="18"/>
      <c r="AD408" s="18"/>
    </row>
    <row r="409" ht="24.75" customHeight="1">
      <c r="A409" s="19"/>
      <c r="B409" s="18"/>
      <c r="C409" s="18"/>
      <c r="D409" s="18"/>
      <c r="E409" s="18"/>
      <c r="F409" s="18"/>
      <c r="G409" s="14"/>
      <c r="H409" s="14"/>
      <c r="I409" s="14"/>
      <c r="J409" s="14"/>
      <c r="K409" s="14"/>
      <c r="L409" s="14"/>
      <c r="M409" s="18"/>
      <c r="N409" s="14"/>
      <c r="O409" s="14"/>
      <c r="P409" s="14"/>
      <c r="Q409" s="14"/>
      <c r="R409" s="14"/>
      <c r="S409" s="14"/>
      <c r="T409" s="14"/>
      <c r="U409" s="18"/>
      <c r="V409" s="18"/>
      <c r="W409" s="18"/>
      <c r="X409" s="18"/>
      <c r="Y409" s="18"/>
      <c r="Z409" s="18"/>
      <c r="AA409" s="18"/>
      <c r="AB409" s="18"/>
      <c r="AC409" s="18"/>
      <c r="AD409" s="18"/>
    </row>
    <row r="410" ht="24.75" customHeight="1">
      <c r="A410" s="19"/>
      <c r="B410" s="18"/>
      <c r="C410" s="18"/>
      <c r="D410" s="18"/>
      <c r="E410" s="18"/>
      <c r="F410" s="18"/>
      <c r="G410" s="14"/>
      <c r="H410" s="14"/>
      <c r="I410" s="14"/>
      <c r="J410" s="14"/>
      <c r="K410" s="14"/>
      <c r="L410" s="14"/>
      <c r="M410" s="18"/>
      <c r="N410" s="14"/>
      <c r="O410" s="14"/>
      <c r="P410" s="14"/>
      <c r="Q410" s="14"/>
      <c r="R410" s="14"/>
      <c r="S410" s="14"/>
      <c r="T410" s="14"/>
      <c r="U410" s="18"/>
      <c r="V410" s="18"/>
      <c r="W410" s="18"/>
      <c r="X410" s="18"/>
      <c r="Y410" s="18"/>
      <c r="Z410" s="18"/>
      <c r="AA410" s="18"/>
      <c r="AB410" s="18"/>
      <c r="AC410" s="18"/>
      <c r="AD410" s="18"/>
    </row>
    <row r="411" ht="24.75" customHeight="1">
      <c r="A411" s="19"/>
      <c r="B411" s="18"/>
      <c r="C411" s="18"/>
      <c r="D411" s="18"/>
      <c r="E411" s="18"/>
      <c r="F411" s="18"/>
      <c r="G411" s="14"/>
      <c r="H411" s="14"/>
      <c r="I411" s="14"/>
      <c r="J411" s="14"/>
      <c r="K411" s="14"/>
      <c r="L411" s="14"/>
      <c r="M411" s="18"/>
      <c r="N411" s="14"/>
      <c r="O411" s="14"/>
      <c r="P411" s="14"/>
      <c r="Q411" s="14"/>
      <c r="R411" s="14"/>
      <c r="S411" s="14"/>
      <c r="T411" s="14"/>
      <c r="U411" s="18"/>
      <c r="V411" s="18"/>
      <c r="W411" s="18"/>
      <c r="X411" s="18"/>
      <c r="Y411" s="18"/>
      <c r="Z411" s="18"/>
      <c r="AA411" s="18"/>
      <c r="AB411" s="18"/>
      <c r="AC411" s="18"/>
      <c r="AD411" s="18"/>
    </row>
    <row r="412" ht="24.75" customHeight="1">
      <c r="A412" s="19"/>
      <c r="B412" s="18"/>
      <c r="C412" s="18"/>
      <c r="D412" s="18"/>
      <c r="E412" s="18"/>
      <c r="F412" s="18"/>
      <c r="G412" s="14"/>
      <c r="H412" s="14"/>
      <c r="I412" s="14"/>
      <c r="J412" s="14"/>
      <c r="K412" s="14"/>
      <c r="L412" s="14"/>
      <c r="M412" s="18"/>
      <c r="N412" s="14"/>
      <c r="O412" s="14"/>
      <c r="P412" s="14"/>
      <c r="Q412" s="14"/>
      <c r="R412" s="14"/>
      <c r="S412" s="14"/>
      <c r="T412" s="14"/>
      <c r="U412" s="18"/>
      <c r="V412" s="18"/>
      <c r="W412" s="18"/>
      <c r="X412" s="18"/>
      <c r="Y412" s="18"/>
      <c r="Z412" s="18"/>
      <c r="AA412" s="18"/>
      <c r="AB412" s="18"/>
      <c r="AC412" s="18"/>
      <c r="AD412" s="18"/>
    </row>
    <row r="413" ht="24.75" customHeight="1">
      <c r="A413" s="19"/>
      <c r="B413" s="18"/>
      <c r="C413" s="18"/>
      <c r="D413" s="18"/>
      <c r="E413" s="18"/>
      <c r="F413" s="18"/>
      <c r="G413" s="14"/>
      <c r="H413" s="14"/>
      <c r="I413" s="14"/>
      <c r="J413" s="14"/>
      <c r="K413" s="14"/>
      <c r="L413" s="14"/>
      <c r="M413" s="18"/>
      <c r="N413" s="14"/>
      <c r="O413" s="14"/>
      <c r="P413" s="14"/>
      <c r="Q413" s="14"/>
      <c r="R413" s="14"/>
      <c r="S413" s="14"/>
      <c r="T413" s="14"/>
      <c r="U413" s="18"/>
      <c r="V413" s="18"/>
      <c r="W413" s="18"/>
      <c r="X413" s="18"/>
      <c r="Y413" s="18"/>
      <c r="Z413" s="18"/>
      <c r="AA413" s="18"/>
      <c r="AB413" s="18"/>
      <c r="AC413" s="18"/>
      <c r="AD413" s="18"/>
    </row>
    <row r="414" ht="24.75" customHeight="1">
      <c r="A414" s="19"/>
      <c r="B414" s="18"/>
      <c r="C414" s="18"/>
      <c r="D414" s="18"/>
      <c r="E414" s="18"/>
      <c r="F414" s="18"/>
      <c r="G414" s="14"/>
      <c r="H414" s="14"/>
      <c r="I414" s="14"/>
      <c r="J414" s="14"/>
      <c r="K414" s="14"/>
      <c r="L414" s="14"/>
      <c r="M414" s="18"/>
      <c r="N414" s="14"/>
      <c r="O414" s="14"/>
      <c r="P414" s="14"/>
      <c r="Q414" s="14"/>
      <c r="R414" s="14"/>
      <c r="S414" s="14"/>
      <c r="T414" s="14"/>
      <c r="U414" s="18"/>
      <c r="V414" s="18"/>
      <c r="W414" s="18"/>
      <c r="X414" s="18"/>
      <c r="Y414" s="18"/>
      <c r="Z414" s="18"/>
      <c r="AA414" s="18"/>
      <c r="AB414" s="18"/>
      <c r="AC414" s="18"/>
      <c r="AD414" s="18"/>
    </row>
    <row r="415" ht="24.75" customHeight="1">
      <c r="A415" s="19"/>
      <c r="B415" s="18"/>
      <c r="C415" s="18"/>
      <c r="D415" s="18"/>
      <c r="E415" s="18"/>
      <c r="F415" s="18"/>
      <c r="G415" s="14"/>
      <c r="H415" s="14"/>
      <c r="I415" s="14"/>
      <c r="J415" s="14"/>
      <c r="K415" s="14"/>
      <c r="L415" s="14"/>
      <c r="M415" s="18"/>
      <c r="N415" s="14"/>
      <c r="O415" s="14"/>
      <c r="P415" s="14"/>
      <c r="Q415" s="14"/>
      <c r="R415" s="14"/>
      <c r="S415" s="14"/>
      <c r="T415" s="14"/>
      <c r="U415" s="18"/>
      <c r="V415" s="18"/>
      <c r="W415" s="18"/>
      <c r="X415" s="18"/>
      <c r="Y415" s="18"/>
      <c r="Z415" s="18"/>
      <c r="AA415" s="18"/>
      <c r="AB415" s="18"/>
      <c r="AC415" s="18"/>
      <c r="AD415" s="18"/>
    </row>
    <row r="416" ht="24.75" customHeight="1">
      <c r="A416" s="19"/>
      <c r="B416" s="18"/>
      <c r="C416" s="18"/>
      <c r="D416" s="18"/>
      <c r="E416" s="18"/>
      <c r="F416" s="18"/>
      <c r="G416" s="14"/>
      <c r="H416" s="14"/>
      <c r="I416" s="14"/>
      <c r="J416" s="14"/>
      <c r="K416" s="14"/>
      <c r="L416" s="14"/>
      <c r="M416" s="18"/>
      <c r="N416" s="14"/>
      <c r="O416" s="14"/>
      <c r="P416" s="14"/>
      <c r="Q416" s="14"/>
      <c r="R416" s="14"/>
      <c r="S416" s="14"/>
      <c r="T416" s="14"/>
      <c r="U416" s="18"/>
      <c r="V416" s="18"/>
      <c r="W416" s="18"/>
      <c r="X416" s="18"/>
      <c r="Y416" s="18"/>
      <c r="Z416" s="18"/>
      <c r="AA416" s="18"/>
      <c r="AB416" s="18"/>
      <c r="AC416" s="18"/>
      <c r="AD416" s="18"/>
    </row>
    <row r="417" ht="24.75" customHeight="1">
      <c r="A417" s="19"/>
      <c r="B417" s="18"/>
      <c r="C417" s="18"/>
      <c r="D417" s="18"/>
      <c r="E417" s="18"/>
      <c r="F417" s="18"/>
      <c r="G417" s="14"/>
      <c r="H417" s="14"/>
      <c r="I417" s="14"/>
      <c r="J417" s="14"/>
      <c r="K417" s="14"/>
      <c r="L417" s="14"/>
      <c r="M417" s="18"/>
      <c r="N417" s="14"/>
      <c r="O417" s="14"/>
      <c r="P417" s="14"/>
      <c r="Q417" s="14"/>
      <c r="R417" s="14"/>
      <c r="S417" s="14"/>
      <c r="T417" s="14"/>
      <c r="U417" s="18"/>
      <c r="V417" s="18"/>
      <c r="W417" s="18"/>
      <c r="X417" s="18"/>
      <c r="Y417" s="18"/>
      <c r="Z417" s="18"/>
      <c r="AA417" s="18"/>
      <c r="AB417" s="18"/>
      <c r="AC417" s="18"/>
      <c r="AD417" s="18"/>
    </row>
    <row r="418" ht="24.75" customHeight="1">
      <c r="A418" s="19"/>
      <c r="B418" s="18"/>
      <c r="C418" s="18"/>
      <c r="D418" s="18"/>
      <c r="E418" s="18"/>
      <c r="F418" s="18"/>
      <c r="G418" s="14"/>
      <c r="H418" s="14"/>
      <c r="I418" s="14"/>
      <c r="J418" s="14"/>
      <c r="K418" s="14"/>
      <c r="L418" s="14"/>
      <c r="M418" s="18"/>
      <c r="N418" s="14"/>
      <c r="O418" s="14"/>
      <c r="P418" s="14"/>
      <c r="Q418" s="14"/>
      <c r="R418" s="14"/>
      <c r="S418" s="14"/>
      <c r="T418" s="14"/>
      <c r="U418" s="18"/>
      <c r="V418" s="18"/>
      <c r="W418" s="18"/>
      <c r="X418" s="18"/>
      <c r="Y418" s="18"/>
      <c r="Z418" s="18"/>
      <c r="AA418" s="18"/>
      <c r="AB418" s="18"/>
      <c r="AC418" s="18"/>
      <c r="AD418" s="18"/>
    </row>
    <row r="419" ht="24.75" customHeight="1">
      <c r="A419" s="19"/>
      <c r="B419" s="18"/>
      <c r="C419" s="18"/>
      <c r="D419" s="18"/>
      <c r="E419" s="18"/>
      <c r="F419" s="18"/>
      <c r="G419" s="14"/>
      <c r="H419" s="14"/>
      <c r="I419" s="14"/>
      <c r="J419" s="14"/>
      <c r="K419" s="14"/>
      <c r="L419" s="14"/>
      <c r="M419" s="18"/>
      <c r="N419" s="14"/>
      <c r="O419" s="14"/>
      <c r="P419" s="14"/>
      <c r="Q419" s="14"/>
      <c r="R419" s="14"/>
      <c r="S419" s="14"/>
      <c r="T419" s="14"/>
      <c r="U419" s="18"/>
      <c r="V419" s="18"/>
      <c r="W419" s="18"/>
      <c r="X419" s="18"/>
      <c r="Y419" s="18"/>
      <c r="Z419" s="18"/>
      <c r="AA419" s="18"/>
      <c r="AB419" s="18"/>
      <c r="AC419" s="18"/>
      <c r="AD419" s="18"/>
    </row>
    <row r="420" ht="24.75" customHeight="1">
      <c r="A420" s="19"/>
      <c r="B420" s="18"/>
      <c r="C420" s="18"/>
      <c r="D420" s="18"/>
      <c r="E420" s="18"/>
      <c r="F420" s="18"/>
      <c r="G420" s="14"/>
      <c r="H420" s="14"/>
      <c r="I420" s="14"/>
      <c r="J420" s="14"/>
      <c r="K420" s="14"/>
      <c r="L420" s="14"/>
      <c r="M420" s="18"/>
      <c r="N420" s="14"/>
      <c r="O420" s="14"/>
      <c r="P420" s="14"/>
      <c r="Q420" s="14"/>
      <c r="R420" s="14"/>
      <c r="S420" s="14"/>
      <c r="T420" s="14"/>
      <c r="U420" s="18"/>
      <c r="V420" s="18"/>
      <c r="W420" s="18"/>
      <c r="X420" s="18"/>
      <c r="Y420" s="18"/>
      <c r="Z420" s="18"/>
      <c r="AA420" s="18"/>
      <c r="AB420" s="18"/>
      <c r="AC420" s="18"/>
      <c r="AD420" s="18"/>
    </row>
    <row r="421" ht="24.75" customHeight="1">
      <c r="A421" s="19"/>
      <c r="B421" s="18"/>
      <c r="C421" s="18"/>
      <c r="D421" s="18"/>
      <c r="E421" s="18"/>
      <c r="F421" s="18"/>
      <c r="G421" s="14"/>
      <c r="H421" s="14"/>
      <c r="I421" s="14"/>
      <c r="J421" s="14"/>
      <c r="K421" s="14"/>
      <c r="L421" s="14"/>
      <c r="M421" s="18"/>
      <c r="N421" s="14"/>
      <c r="O421" s="14"/>
      <c r="P421" s="14"/>
      <c r="Q421" s="14"/>
      <c r="R421" s="14"/>
      <c r="S421" s="14"/>
      <c r="T421" s="14"/>
      <c r="U421" s="18"/>
      <c r="V421" s="18"/>
      <c r="W421" s="18"/>
      <c r="X421" s="18"/>
      <c r="Y421" s="18"/>
      <c r="Z421" s="18"/>
      <c r="AA421" s="18"/>
      <c r="AB421" s="18"/>
      <c r="AC421" s="18"/>
      <c r="AD421" s="18"/>
    </row>
    <row r="422" ht="24.75" customHeight="1">
      <c r="A422" s="19"/>
      <c r="B422" s="18"/>
      <c r="C422" s="18"/>
      <c r="D422" s="18"/>
      <c r="E422" s="18"/>
      <c r="F422" s="18"/>
      <c r="G422" s="14"/>
      <c r="H422" s="14"/>
      <c r="I422" s="14"/>
      <c r="J422" s="14"/>
      <c r="K422" s="14"/>
      <c r="L422" s="14"/>
      <c r="M422" s="18"/>
      <c r="N422" s="14"/>
      <c r="O422" s="14"/>
      <c r="P422" s="14"/>
      <c r="Q422" s="14"/>
      <c r="R422" s="14"/>
      <c r="S422" s="14"/>
      <c r="T422" s="14"/>
      <c r="U422" s="18"/>
      <c r="V422" s="18"/>
      <c r="W422" s="18"/>
      <c r="X422" s="18"/>
      <c r="Y422" s="18"/>
      <c r="Z422" s="18"/>
      <c r="AA422" s="18"/>
      <c r="AB422" s="18"/>
      <c r="AC422" s="18"/>
      <c r="AD422" s="18"/>
    </row>
    <row r="423" ht="24.75" customHeight="1">
      <c r="A423" s="19"/>
      <c r="B423" s="18"/>
      <c r="C423" s="18"/>
      <c r="D423" s="18"/>
      <c r="E423" s="18"/>
      <c r="F423" s="18"/>
      <c r="G423" s="14"/>
      <c r="H423" s="14"/>
      <c r="I423" s="14"/>
      <c r="J423" s="14"/>
      <c r="K423" s="14"/>
      <c r="L423" s="14"/>
      <c r="M423" s="18"/>
      <c r="N423" s="14"/>
      <c r="O423" s="14"/>
      <c r="P423" s="14"/>
      <c r="Q423" s="14"/>
      <c r="R423" s="14"/>
      <c r="S423" s="14"/>
      <c r="T423" s="14"/>
      <c r="U423" s="18"/>
      <c r="V423" s="18"/>
      <c r="W423" s="18"/>
      <c r="X423" s="18"/>
      <c r="Y423" s="18"/>
      <c r="Z423" s="18"/>
      <c r="AA423" s="18"/>
      <c r="AB423" s="18"/>
      <c r="AC423" s="18"/>
      <c r="AD423" s="18"/>
    </row>
    <row r="424" ht="24.75" customHeight="1">
      <c r="A424" s="19"/>
      <c r="B424" s="18"/>
      <c r="C424" s="18"/>
      <c r="D424" s="18"/>
      <c r="E424" s="18"/>
      <c r="F424" s="18"/>
      <c r="G424" s="14"/>
      <c r="H424" s="14"/>
      <c r="I424" s="14"/>
      <c r="J424" s="14"/>
      <c r="K424" s="14"/>
      <c r="L424" s="14"/>
      <c r="M424" s="18"/>
      <c r="N424" s="14"/>
      <c r="O424" s="14"/>
      <c r="P424" s="14"/>
      <c r="Q424" s="14"/>
      <c r="R424" s="14"/>
      <c r="S424" s="14"/>
      <c r="T424" s="14"/>
      <c r="U424" s="18"/>
      <c r="V424" s="18"/>
      <c r="W424" s="18"/>
      <c r="X424" s="18"/>
      <c r="Y424" s="18"/>
      <c r="Z424" s="18"/>
      <c r="AA424" s="18"/>
      <c r="AB424" s="18"/>
      <c r="AC424" s="18"/>
      <c r="AD424" s="18"/>
    </row>
    <row r="425" ht="24.75" customHeight="1">
      <c r="A425" s="19"/>
      <c r="B425" s="18"/>
      <c r="C425" s="18"/>
      <c r="D425" s="18"/>
      <c r="E425" s="18"/>
      <c r="F425" s="18"/>
      <c r="G425" s="14"/>
      <c r="H425" s="14"/>
      <c r="I425" s="14"/>
      <c r="J425" s="14"/>
      <c r="K425" s="14"/>
      <c r="L425" s="14"/>
      <c r="M425" s="18"/>
      <c r="N425" s="14"/>
      <c r="O425" s="14"/>
      <c r="P425" s="14"/>
      <c r="Q425" s="14"/>
      <c r="R425" s="14"/>
      <c r="S425" s="14"/>
      <c r="T425" s="14"/>
      <c r="U425" s="18"/>
      <c r="V425" s="18"/>
      <c r="W425" s="18"/>
      <c r="X425" s="18"/>
      <c r="Y425" s="18"/>
      <c r="Z425" s="18"/>
      <c r="AA425" s="18"/>
      <c r="AB425" s="18"/>
      <c r="AC425" s="18"/>
      <c r="AD425" s="18"/>
    </row>
    <row r="426" ht="24.75" customHeight="1">
      <c r="A426" s="19"/>
      <c r="B426" s="18"/>
      <c r="C426" s="18"/>
      <c r="D426" s="18"/>
      <c r="E426" s="18"/>
      <c r="F426" s="18"/>
      <c r="G426" s="14"/>
      <c r="H426" s="14"/>
      <c r="I426" s="14"/>
      <c r="J426" s="14"/>
      <c r="K426" s="14"/>
      <c r="L426" s="14"/>
      <c r="M426" s="18"/>
      <c r="N426" s="14"/>
      <c r="O426" s="14"/>
      <c r="P426" s="14"/>
      <c r="Q426" s="14"/>
      <c r="R426" s="14"/>
      <c r="S426" s="14"/>
      <c r="T426" s="14"/>
      <c r="U426" s="18"/>
      <c r="V426" s="18"/>
      <c r="W426" s="18"/>
      <c r="X426" s="18"/>
      <c r="Y426" s="18"/>
      <c r="Z426" s="18"/>
      <c r="AA426" s="18"/>
      <c r="AB426" s="18"/>
      <c r="AC426" s="18"/>
      <c r="AD426" s="18"/>
    </row>
    <row r="427" ht="24.75" customHeight="1">
      <c r="A427" s="19"/>
      <c r="B427" s="18"/>
      <c r="C427" s="18"/>
      <c r="D427" s="18"/>
      <c r="E427" s="18"/>
      <c r="F427" s="18"/>
      <c r="G427" s="14"/>
      <c r="H427" s="14"/>
      <c r="I427" s="14"/>
      <c r="J427" s="14"/>
      <c r="K427" s="14"/>
      <c r="L427" s="14"/>
      <c r="M427" s="18"/>
      <c r="N427" s="14"/>
      <c r="O427" s="14"/>
      <c r="P427" s="14"/>
      <c r="Q427" s="14"/>
      <c r="R427" s="14"/>
      <c r="S427" s="14"/>
      <c r="T427" s="14"/>
      <c r="U427" s="18"/>
      <c r="V427" s="18"/>
      <c r="W427" s="18"/>
      <c r="X427" s="18"/>
      <c r="Y427" s="18"/>
      <c r="Z427" s="18"/>
      <c r="AA427" s="18"/>
      <c r="AB427" s="18"/>
      <c r="AC427" s="18"/>
      <c r="AD427" s="18"/>
    </row>
    <row r="428" ht="24.75" customHeight="1">
      <c r="A428" s="19"/>
      <c r="B428" s="18"/>
      <c r="C428" s="18"/>
      <c r="D428" s="18"/>
      <c r="E428" s="18"/>
      <c r="F428" s="18"/>
      <c r="G428" s="14"/>
      <c r="H428" s="14"/>
      <c r="I428" s="14"/>
      <c r="J428" s="14"/>
      <c r="K428" s="14"/>
      <c r="L428" s="14"/>
      <c r="M428" s="18"/>
      <c r="N428" s="14"/>
      <c r="O428" s="14"/>
      <c r="P428" s="14"/>
      <c r="Q428" s="14"/>
      <c r="R428" s="14"/>
      <c r="S428" s="14"/>
      <c r="T428" s="14"/>
      <c r="U428" s="18"/>
      <c r="V428" s="18"/>
      <c r="W428" s="18"/>
      <c r="X428" s="18"/>
      <c r="Y428" s="18"/>
      <c r="Z428" s="18"/>
      <c r="AA428" s="18"/>
      <c r="AB428" s="18"/>
      <c r="AC428" s="18"/>
      <c r="AD428" s="18"/>
    </row>
    <row r="429" ht="24.75" customHeight="1">
      <c r="A429" s="19"/>
      <c r="B429" s="18"/>
      <c r="C429" s="18"/>
      <c r="D429" s="18"/>
      <c r="E429" s="18"/>
      <c r="F429" s="18"/>
      <c r="G429" s="14"/>
      <c r="H429" s="14"/>
      <c r="I429" s="14"/>
      <c r="J429" s="14"/>
      <c r="K429" s="14"/>
      <c r="L429" s="14"/>
      <c r="M429" s="18"/>
      <c r="N429" s="14"/>
      <c r="O429" s="14"/>
      <c r="P429" s="14"/>
      <c r="Q429" s="14"/>
      <c r="R429" s="14"/>
      <c r="S429" s="14"/>
      <c r="T429" s="14"/>
      <c r="U429" s="18"/>
      <c r="V429" s="18"/>
      <c r="W429" s="18"/>
      <c r="X429" s="18"/>
      <c r="Y429" s="18"/>
      <c r="Z429" s="18"/>
      <c r="AA429" s="18"/>
      <c r="AB429" s="18"/>
      <c r="AC429" s="18"/>
      <c r="AD429" s="18"/>
    </row>
    <row r="430" ht="24.75" customHeight="1">
      <c r="A430" s="19"/>
      <c r="B430" s="18"/>
      <c r="C430" s="18"/>
      <c r="D430" s="18"/>
      <c r="E430" s="18"/>
      <c r="F430" s="18"/>
      <c r="G430" s="14"/>
      <c r="H430" s="14"/>
      <c r="I430" s="14"/>
      <c r="J430" s="14"/>
      <c r="K430" s="14"/>
      <c r="L430" s="14"/>
      <c r="M430" s="18"/>
      <c r="N430" s="14"/>
      <c r="O430" s="14"/>
      <c r="P430" s="14"/>
      <c r="Q430" s="14"/>
      <c r="R430" s="14"/>
      <c r="S430" s="14"/>
      <c r="T430" s="14"/>
      <c r="U430" s="18"/>
      <c r="V430" s="18"/>
      <c r="W430" s="18"/>
      <c r="X430" s="18"/>
      <c r="Y430" s="18"/>
      <c r="Z430" s="18"/>
      <c r="AA430" s="18"/>
      <c r="AB430" s="18"/>
      <c r="AC430" s="18"/>
      <c r="AD430" s="18"/>
    </row>
    <row r="431" ht="24.75" customHeight="1">
      <c r="A431" s="19"/>
      <c r="B431" s="18"/>
      <c r="C431" s="18"/>
      <c r="D431" s="18"/>
      <c r="E431" s="18"/>
      <c r="F431" s="18"/>
      <c r="G431" s="14"/>
      <c r="H431" s="14"/>
      <c r="I431" s="14"/>
      <c r="J431" s="14"/>
      <c r="K431" s="14"/>
      <c r="L431" s="14"/>
      <c r="M431" s="18"/>
      <c r="N431" s="14"/>
      <c r="O431" s="14"/>
      <c r="P431" s="14"/>
      <c r="Q431" s="14"/>
      <c r="R431" s="14"/>
      <c r="S431" s="14"/>
      <c r="T431" s="14"/>
      <c r="U431" s="18"/>
      <c r="V431" s="18"/>
      <c r="W431" s="18"/>
      <c r="X431" s="18"/>
      <c r="Y431" s="18"/>
      <c r="Z431" s="18"/>
      <c r="AA431" s="18"/>
      <c r="AB431" s="18"/>
      <c r="AC431" s="18"/>
      <c r="AD431" s="18"/>
    </row>
    <row r="432" ht="24.75" customHeight="1">
      <c r="A432" s="19"/>
      <c r="B432" s="18"/>
      <c r="C432" s="18"/>
      <c r="D432" s="18"/>
      <c r="E432" s="18"/>
      <c r="F432" s="18"/>
      <c r="G432" s="14"/>
      <c r="H432" s="14"/>
      <c r="I432" s="14"/>
      <c r="J432" s="14"/>
      <c r="K432" s="14"/>
      <c r="L432" s="14"/>
      <c r="M432" s="18"/>
      <c r="N432" s="14"/>
      <c r="O432" s="14"/>
      <c r="P432" s="14"/>
      <c r="Q432" s="14"/>
      <c r="R432" s="14"/>
      <c r="S432" s="14"/>
      <c r="T432" s="14"/>
      <c r="U432" s="18"/>
      <c r="V432" s="18"/>
      <c r="W432" s="18"/>
      <c r="X432" s="18"/>
      <c r="Y432" s="18"/>
      <c r="Z432" s="18"/>
      <c r="AA432" s="18"/>
      <c r="AB432" s="18"/>
      <c r="AC432" s="18"/>
      <c r="AD432" s="18"/>
    </row>
    <row r="433" ht="24.75" customHeight="1">
      <c r="A433" s="19"/>
      <c r="B433" s="18"/>
      <c r="C433" s="18"/>
      <c r="D433" s="18"/>
      <c r="E433" s="18"/>
      <c r="F433" s="18"/>
      <c r="G433" s="14"/>
      <c r="H433" s="14"/>
      <c r="I433" s="14"/>
      <c r="J433" s="14"/>
      <c r="K433" s="14"/>
      <c r="L433" s="14"/>
      <c r="M433" s="18"/>
      <c r="N433" s="14"/>
      <c r="O433" s="14"/>
      <c r="P433" s="14"/>
      <c r="Q433" s="14"/>
      <c r="R433" s="14"/>
      <c r="S433" s="14"/>
      <c r="T433" s="14"/>
      <c r="U433" s="18"/>
      <c r="V433" s="18"/>
      <c r="W433" s="18"/>
      <c r="X433" s="18"/>
      <c r="Y433" s="18"/>
      <c r="Z433" s="18"/>
      <c r="AA433" s="18"/>
      <c r="AB433" s="18"/>
      <c r="AC433" s="18"/>
      <c r="AD433" s="18"/>
    </row>
    <row r="434" ht="24.75" customHeight="1">
      <c r="A434" s="19"/>
      <c r="B434" s="18"/>
      <c r="C434" s="18"/>
      <c r="D434" s="18"/>
      <c r="E434" s="18"/>
      <c r="F434" s="18"/>
      <c r="G434" s="14"/>
      <c r="H434" s="14"/>
      <c r="I434" s="14"/>
      <c r="J434" s="14"/>
      <c r="K434" s="14"/>
      <c r="L434" s="14"/>
      <c r="M434" s="18"/>
      <c r="N434" s="14"/>
      <c r="O434" s="14"/>
      <c r="P434" s="14"/>
      <c r="Q434" s="14"/>
      <c r="R434" s="14"/>
      <c r="S434" s="14"/>
      <c r="T434" s="14"/>
      <c r="U434" s="18"/>
      <c r="V434" s="18"/>
      <c r="W434" s="18"/>
      <c r="X434" s="18"/>
      <c r="Y434" s="18"/>
      <c r="Z434" s="18"/>
      <c r="AA434" s="18"/>
      <c r="AB434" s="18"/>
      <c r="AC434" s="18"/>
      <c r="AD434" s="18"/>
    </row>
    <row r="435" ht="24.75" customHeight="1">
      <c r="A435" s="19"/>
      <c r="B435" s="18"/>
      <c r="C435" s="18"/>
      <c r="D435" s="18"/>
      <c r="E435" s="18"/>
      <c r="F435" s="18"/>
      <c r="G435" s="14"/>
      <c r="H435" s="14"/>
      <c r="I435" s="14"/>
      <c r="J435" s="14"/>
      <c r="K435" s="14"/>
      <c r="L435" s="14"/>
      <c r="M435" s="18"/>
      <c r="N435" s="14"/>
      <c r="O435" s="14"/>
      <c r="P435" s="14"/>
      <c r="Q435" s="14"/>
      <c r="R435" s="14"/>
      <c r="S435" s="14"/>
      <c r="T435" s="14"/>
      <c r="U435" s="18"/>
      <c r="V435" s="18"/>
      <c r="W435" s="18"/>
      <c r="X435" s="18"/>
      <c r="Y435" s="18"/>
      <c r="Z435" s="18"/>
      <c r="AA435" s="18"/>
      <c r="AB435" s="18"/>
      <c r="AC435" s="18"/>
      <c r="AD435" s="18"/>
    </row>
    <row r="436" ht="24.75" customHeight="1">
      <c r="A436" s="19"/>
      <c r="B436" s="18"/>
      <c r="C436" s="18"/>
      <c r="D436" s="18"/>
      <c r="E436" s="18"/>
      <c r="F436" s="18"/>
      <c r="G436" s="14"/>
      <c r="H436" s="14"/>
      <c r="I436" s="14"/>
      <c r="J436" s="14"/>
      <c r="K436" s="14"/>
      <c r="L436" s="14"/>
      <c r="M436" s="18"/>
      <c r="N436" s="14"/>
      <c r="O436" s="14"/>
      <c r="P436" s="14"/>
      <c r="Q436" s="14"/>
      <c r="R436" s="14"/>
      <c r="S436" s="14"/>
      <c r="T436" s="14"/>
      <c r="U436" s="18"/>
      <c r="V436" s="18"/>
      <c r="W436" s="18"/>
      <c r="X436" s="18"/>
      <c r="Y436" s="18"/>
      <c r="Z436" s="18"/>
      <c r="AA436" s="18"/>
      <c r="AB436" s="18"/>
      <c r="AC436" s="18"/>
      <c r="AD436" s="18"/>
    </row>
    <row r="437" ht="24.75" customHeight="1">
      <c r="A437" s="19"/>
      <c r="B437" s="18"/>
      <c r="C437" s="18"/>
      <c r="D437" s="18"/>
      <c r="E437" s="18"/>
      <c r="F437" s="18"/>
      <c r="G437" s="14"/>
      <c r="H437" s="14"/>
      <c r="I437" s="14"/>
      <c r="J437" s="14"/>
      <c r="K437" s="14"/>
      <c r="L437" s="14"/>
      <c r="M437" s="18"/>
      <c r="N437" s="14"/>
      <c r="O437" s="14"/>
      <c r="P437" s="14"/>
      <c r="Q437" s="14"/>
      <c r="R437" s="14"/>
      <c r="S437" s="14"/>
      <c r="T437" s="14"/>
      <c r="U437" s="18"/>
      <c r="V437" s="18"/>
      <c r="W437" s="18"/>
      <c r="X437" s="18"/>
      <c r="Y437" s="18"/>
      <c r="Z437" s="18"/>
      <c r="AA437" s="18"/>
      <c r="AB437" s="18"/>
      <c r="AC437" s="18"/>
      <c r="AD437" s="18"/>
    </row>
    <row r="438" ht="24.75" customHeight="1">
      <c r="A438" s="19"/>
      <c r="B438" s="18"/>
      <c r="C438" s="18"/>
      <c r="D438" s="18"/>
      <c r="E438" s="18"/>
      <c r="F438" s="18"/>
      <c r="G438" s="14"/>
      <c r="H438" s="14"/>
      <c r="I438" s="14"/>
      <c r="J438" s="14"/>
      <c r="K438" s="14"/>
      <c r="L438" s="14"/>
      <c r="M438" s="18"/>
      <c r="N438" s="14"/>
      <c r="O438" s="14"/>
      <c r="P438" s="14"/>
      <c r="Q438" s="14"/>
      <c r="R438" s="14"/>
      <c r="S438" s="14"/>
      <c r="T438" s="14"/>
      <c r="U438" s="18"/>
      <c r="V438" s="18"/>
      <c r="W438" s="18"/>
      <c r="X438" s="18"/>
      <c r="Y438" s="18"/>
      <c r="Z438" s="18"/>
      <c r="AA438" s="18"/>
      <c r="AB438" s="18"/>
      <c r="AC438" s="18"/>
      <c r="AD438" s="18"/>
    </row>
    <row r="439" ht="24.75" customHeight="1">
      <c r="A439" s="19"/>
      <c r="B439" s="18"/>
      <c r="C439" s="18"/>
      <c r="D439" s="18"/>
      <c r="E439" s="18"/>
      <c r="F439" s="18"/>
      <c r="G439" s="14"/>
      <c r="H439" s="14"/>
      <c r="I439" s="14"/>
      <c r="J439" s="14"/>
      <c r="K439" s="14"/>
      <c r="L439" s="14"/>
      <c r="M439" s="18"/>
      <c r="N439" s="14"/>
      <c r="O439" s="14"/>
      <c r="P439" s="14"/>
      <c r="Q439" s="14"/>
      <c r="R439" s="14"/>
      <c r="S439" s="14"/>
      <c r="T439" s="14"/>
      <c r="U439" s="18"/>
      <c r="V439" s="18"/>
      <c r="W439" s="18"/>
      <c r="X439" s="18"/>
      <c r="Y439" s="18"/>
      <c r="Z439" s="18"/>
      <c r="AA439" s="18"/>
      <c r="AB439" s="18"/>
      <c r="AC439" s="18"/>
      <c r="AD439" s="18"/>
    </row>
    <row r="440" ht="24.75" customHeight="1">
      <c r="A440" s="19"/>
      <c r="B440" s="18"/>
      <c r="C440" s="18"/>
      <c r="D440" s="18"/>
      <c r="E440" s="18"/>
      <c r="F440" s="18"/>
      <c r="G440" s="14"/>
      <c r="H440" s="14"/>
      <c r="I440" s="14"/>
      <c r="J440" s="14"/>
      <c r="K440" s="14"/>
      <c r="L440" s="14"/>
      <c r="M440" s="18"/>
      <c r="N440" s="14"/>
      <c r="O440" s="14"/>
      <c r="P440" s="14"/>
      <c r="Q440" s="14"/>
      <c r="R440" s="14"/>
      <c r="S440" s="14"/>
      <c r="T440" s="14"/>
      <c r="U440" s="18"/>
      <c r="V440" s="18"/>
      <c r="W440" s="18"/>
      <c r="X440" s="18"/>
      <c r="Y440" s="18"/>
      <c r="Z440" s="18"/>
      <c r="AA440" s="18"/>
      <c r="AB440" s="18"/>
      <c r="AC440" s="18"/>
      <c r="AD440" s="18"/>
    </row>
    <row r="441" ht="24.75" customHeight="1">
      <c r="A441" s="19"/>
      <c r="B441" s="18"/>
      <c r="C441" s="18"/>
      <c r="D441" s="18"/>
      <c r="E441" s="18"/>
      <c r="F441" s="18"/>
      <c r="G441" s="14"/>
      <c r="H441" s="14"/>
      <c r="I441" s="14"/>
      <c r="J441" s="14"/>
      <c r="K441" s="14"/>
      <c r="L441" s="14"/>
      <c r="M441" s="18"/>
      <c r="N441" s="14"/>
      <c r="O441" s="14"/>
      <c r="P441" s="14"/>
      <c r="Q441" s="14"/>
      <c r="R441" s="14"/>
      <c r="S441" s="14"/>
      <c r="T441" s="14"/>
      <c r="U441" s="18"/>
      <c r="V441" s="18"/>
      <c r="W441" s="18"/>
      <c r="X441" s="18"/>
      <c r="Y441" s="18"/>
      <c r="Z441" s="18"/>
      <c r="AA441" s="18"/>
      <c r="AB441" s="18"/>
      <c r="AC441" s="18"/>
      <c r="AD441" s="18"/>
    </row>
    <row r="442" ht="24.75" customHeight="1">
      <c r="A442" s="19"/>
      <c r="B442" s="18"/>
      <c r="C442" s="18"/>
      <c r="D442" s="18"/>
      <c r="E442" s="18"/>
      <c r="F442" s="18"/>
      <c r="G442" s="14"/>
      <c r="H442" s="14"/>
      <c r="I442" s="14"/>
      <c r="J442" s="14"/>
      <c r="K442" s="14"/>
      <c r="L442" s="14"/>
      <c r="M442" s="18"/>
      <c r="N442" s="14"/>
      <c r="O442" s="14"/>
      <c r="P442" s="14"/>
      <c r="Q442" s="14"/>
      <c r="R442" s="14"/>
      <c r="S442" s="14"/>
      <c r="T442" s="14"/>
      <c r="U442" s="18"/>
      <c r="V442" s="18"/>
      <c r="W442" s="18"/>
      <c r="X442" s="18"/>
      <c r="Y442" s="18"/>
      <c r="Z442" s="18"/>
      <c r="AA442" s="18"/>
      <c r="AB442" s="18"/>
      <c r="AC442" s="18"/>
      <c r="AD442" s="18"/>
    </row>
    <row r="443" ht="24.75" customHeight="1">
      <c r="A443" s="19"/>
      <c r="B443" s="18"/>
      <c r="C443" s="18"/>
      <c r="D443" s="18"/>
      <c r="E443" s="18"/>
      <c r="F443" s="18"/>
      <c r="G443" s="14"/>
      <c r="H443" s="14"/>
      <c r="I443" s="14"/>
      <c r="J443" s="14"/>
      <c r="K443" s="14"/>
      <c r="L443" s="14"/>
      <c r="M443" s="18"/>
      <c r="N443" s="14"/>
      <c r="O443" s="14"/>
      <c r="P443" s="14"/>
      <c r="Q443" s="14"/>
      <c r="R443" s="14"/>
      <c r="S443" s="14"/>
      <c r="T443" s="14"/>
      <c r="U443" s="18"/>
      <c r="V443" s="18"/>
      <c r="W443" s="18"/>
      <c r="X443" s="18"/>
      <c r="Y443" s="18"/>
      <c r="Z443" s="18"/>
      <c r="AA443" s="18"/>
      <c r="AB443" s="18"/>
      <c r="AC443" s="18"/>
      <c r="AD443" s="18"/>
    </row>
    <row r="444" ht="24.75" customHeight="1">
      <c r="A444" s="19"/>
      <c r="B444" s="18"/>
      <c r="C444" s="18"/>
      <c r="D444" s="18"/>
      <c r="E444" s="18"/>
      <c r="F444" s="18"/>
      <c r="G444" s="14"/>
      <c r="H444" s="14"/>
      <c r="I444" s="14"/>
      <c r="J444" s="14"/>
      <c r="K444" s="14"/>
      <c r="L444" s="14"/>
      <c r="M444" s="18"/>
      <c r="N444" s="14"/>
      <c r="O444" s="14"/>
      <c r="P444" s="14"/>
      <c r="Q444" s="14"/>
      <c r="R444" s="14"/>
      <c r="S444" s="14"/>
      <c r="T444" s="14"/>
      <c r="U444" s="18"/>
      <c r="V444" s="18"/>
      <c r="W444" s="18"/>
      <c r="X444" s="18"/>
      <c r="Y444" s="18"/>
      <c r="Z444" s="18"/>
      <c r="AA444" s="18"/>
      <c r="AB444" s="18"/>
      <c r="AC444" s="18"/>
      <c r="AD444" s="18"/>
    </row>
    <row r="445" ht="24.75" customHeight="1">
      <c r="A445" s="19"/>
      <c r="B445" s="18"/>
      <c r="C445" s="18"/>
      <c r="D445" s="18"/>
      <c r="E445" s="18"/>
      <c r="F445" s="18"/>
      <c r="G445" s="14"/>
      <c r="H445" s="14"/>
      <c r="I445" s="14"/>
      <c r="J445" s="14"/>
      <c r="K445" s="14"/>
      <c r="L445" s="14"/>
      <c r="M445" s="18"/>
      <c r="N445" s="14"/>
      <c r="O445" s="14"/>
      <c r="P445" s="14"/>
      <c r="Q445" s="14"/>
      <c r="R445" s="14"/>
      <c r="S445" s="14"/>
      <c r="T445" s="14"/>
      <c r="U445" s="18"/>
      <c r="V445" s="18"/>
      <c r="W445" s="18"/>
      <c r="X445" s="18"/>
      <c r="Y445" s="18"/>
      <c r="Z445" s="18"/>
      <c r="AA445" s="18"/>
      <c r="AB445" s="18"/>
      <c r="AC445" s="18"/>
      <c r="AD445" s="18"/>
    </row>
    <row r="446" ht="24.75" customHeight="1">
      <c r="A446" s="19"/>
      <c r="B446" s="18"/>
      <c r="C446" s="18"/>
      <c r="D446" s="18"/>
      <c r="E446" s="18"/>
      <c r="F446" s="18"/>
      <c r="G446" s="14"/>
      <c r="H446" s="14"/>
      <c r="I446" s="14"/>
      <c r="J446" s="14"/>
      <c r="K446" s="14"/>
      <c r="L446" s="14"/>
      <c r="M446" s="18"/>
      <c r="N446" s="14"/>
      <c r="O446" s="14"/>
      <c r="P446" s="14"/>
      <c r="Q446" s="14"/>
      <c r="R446" s="14"/>
      <c r="S446" s="14"/>
      <c r="T446" s="14"/>
      <c r="U446" s="18"/>
      <c r="V446" s="18"/>
      <c r="W446" s="18"/>
      <c r="X446" s="18"/>
      <c r="Y446" s="18"/>
      <c r="Z446" s="18"/>
      <c r="AA446" s="18"/>
      <c r="AB446" s="18"/>
      <c r="AC446" s="18"/>
      <c r="AD446" s="18"/>
    </row>
    <row r="447" ht="24.75" customHeight="1">
      <c r="A447" s="19"/>
      <c r="B447" s="18"/>
      <c r="C447" s="18"/>
      <c r="D447" s="18"/>
      <c r="E447" s="18"/>
      <c r="F447" s="18"/>
      <c r="G447" s="14"/>
      <c r="H447" s="14"/>
      <c r="I447" s="14"/>
      <c r="J447" s="14"/>
      <c r="K447" s="14"/>
      <c r="L447" s="14"/>
      <c r="M447" s="18"/>
      <c r="N447" s="14"/>
      <c r="O447" s="14"/>
      <c r="P447" s="14"/>
      <c r="Q447" s="14"/>
      <c r="R447" s="14"/>
      <c r="S447" s="14"/>
      <c r="T447" s="14"/>
      <c r="U447" s="18"/>
      <c r="V447" s="18"/>
      <c r="W447" s="18"/>
      <c r="X447" s="18"/>
      <c r="Y447" s="18"/>
      <c r="Z447" s="18"/>
      <c r="AA447" s="18"/>
      <c r="AB447" s="18"/>
      <c r="AC447" s="18"/>
      <c r="AD447" s="18"/>
    </row>
    <row r="448" ht="24.75" customHeight="1">
      <c r="A448" s="19"/>
      <c r="B448" s="18"/>
      <c r="C448" s="18"/>
      <c r="D448" s="18"/>
      <c r="E448" s="18"/>
      <c r="F448" s="18"/>
      <c r="G448" s="14"/>
      <c r="H448" s="14"/>
      <c r="I448" s="14"/>
      <c r="J448" s="14"/>
      <c r="K448" s="14"/>
      <c r="L448" s="14"/>
      <c r="M448" s="18"/>
      <c r="N448" s="14"/>
      <c r="O448" s="14"/>
      <c r="P448" s="14"/>
      <c r="Q448" s="14"/>
      <c r="R448" s="14"/>
      <c r="S448" s="14"/>
      <c r="T448" s="14"/>
      <c r="U448" s="18"/>
      <c r="V448" s="18"/>
      <c r="W448" s="18"/>
      <c r="X448" s="18"/>
      <c r="Y448" s="18"/>
      <c r="Z448" s="18"/>
      <c r="AA448" s="18"/>
      <c r="AB448" s="18"/>
      <c r="AC448" s="18"/>
      <c r="AD448" s="18"/>
    </row>
    <row r="449" ht="24.75" customHeight="1">
      <c r="A449" s="19"/>
      <c r="B449" s="18"/>
      <c r="C449" s="18"/>
      <c r="D449" s="18"/>
      <c r="E449" s="18"/>
      <c r="F449" s="18"/>
      <c r="G449" s="14"/>
      <c r="H449" s="14"/>
      <c r="I449" s="14"/>
      <c r="J449" s="14"/>
      <c r="K449" s="14"/>
      <c r="L449" s="14"/>
      <c r="M449" s="18"/>
      <c r="N449" s="14"/>
      <c r="O449" s="14"/>
      <c r="P449" s="14"/>
      <c r="Q449" s="14"/>
      <c r="R449" s="14"/>
      <c r="S449" s="14"/>
      <c r="T449" s="14"/>
      <c r="U449" s="18"/>
      <c r="V449" s="18"/>
      <c r="W449" s="18"/>
      <c r="X449" s="18"/>
      <c r="Y449" s="18"/>
      <c r="Z449" s="18"/>
      <c r="AA449" s="18"/>
      <c r="AB449" s="18"/>
      <c r="AC449" s="18"/>
      <c r="AD449" s="18"/>
    </row>
    <row r="450" ht="24.75" customHeight="1">
      <c r="A450" s="19"/>
      <c r="B450" s="18"/>
      <c r="C450" s="18"/>
      <c r="D450" s="18"/>
      <c r="E450" s="18"/>
      <c r="F450" s="18"/>
      <c r="G450" s="14"/>
      <c r="H450" s="14"/>
      <c r="I450" s="14"/>
      <c r="J450" s="14"/>
      <c r="K450" s="14"/>
      <c r="L450" s="14"/>
      <c r="M450" s="18"/>
      <c r="N450" s="14"/>
      <c r="O450" s="14"/>
      <c r="P450" s="14"/>
      <c r="Q450" s="14"/>
      <c r="R450" s="14"/>
      <c r="S450" s="14"/>
      <c r="T450" s="14"/>
      <c r="U450" s="18"/>
      <c r="V450" s="18"/>
      <c r="W450" s="18"/>
      <c r="X450" s="18"/>
      <c r="Y450" s="18"/>
      <c r="Z450" s="18"/>
      <c r="AA450" s="18"/>
      <c r="AB450" s="18"/>
      <c r="AC450" s="18"/>
      <c r="AD450" s="18"/>
    </row>
    <row r="451" ht="24.75" customHeight="1">
      <c r="A451" s="19"/>
      <c r="B451" s="18"/>
      <c r="C451" s="18"/>
      <c r="D451" s="18"/>
      <c r="E451" s="18"/>
      <c r="F451" s="18"/>
      <c r="G451" s="14"/>
      <c r="H451" s="14"/>
      <c r="I451" s="14"/>
      <c r="J451" s="14"/>
      <c r="K451" s="14"/>
      <c r="L451" s="14"/>
      <c r="M451" s="18"/>
      <c r="N451" s="14"/>
      <c r="O451" s="14"/>
      <c r="P451" s="14"/>
      <c r="Q451" s="14"/>
      <c r="R451" s="14"/>
      <c r="S451" s="14"/>
      <c r="T451" s="14"/>
      <c r="U451" s="18"/>
      <c r="V451" s="18"/>
      <c r="W451" s="18"/>
      <c r="X451" s="18"/>
      <c r="Y451" s="18"/>
      <c r="Z451" s="18"/>
      <c r="AA451" s="18"/>
      <c r="AB451" s="18"/>
      <c r="AC451" s="18"/>
      <c r="AD451" s="18"/>
    </row>
    <row r="452" ht="24.75" customHeight="1">
      <c r="A452" s="19"/>
      <c r="B452" s="18"/>
      <c r="C452" s="18"/>
      <c r="D452" s="18"/>
      <c r="E452" s="18"/>
      <c r="F452" s="18"/>
      <c r="G452" s="14"/>
      <c r="H452" s="14"/>
      <c r="I452" s="14"/>
      <c r="J452" s="14"/>
      <c r="K452" s="14"/>
      <c r="L452" s="14"/>
      <c r="M452" s="18"/>
      <c r="N452" s="14"/>
      <c r="O452" s="14"/>
      <c r="P452" s="14"/>
      <c r="Q452" s="14"/>
      <c r="R452" s="14"/>
      <c r="S452" s="14"/>
      <c r="T452" s="14"/>
      <c r="U452" s="18"/>
      <c r="V452" s="18"/>
      <c r="W452" s="18"/>
      <c r="X452" s="18"/>
      <c r="Y452" s="18"/>
      <c r="Z452" s="18"/>
      <c r="AA452" s="18"/>
      <c r="AB452" s="18"/>
      <c r="AC452" s="18"/>
      <c r="AD452" s="18"/>
    </row>
    <row r="453" ht="24.75" customHeight="1">
      <c r="A453" s="19"/>
      <c r="B453" s="18"/>
      <c r="C453" s="18"/>
      <c r="D453" s="18"/>
      <c r="E453" s="18"/>
      <c r="F453" s="18"/>
      <c r="G453" s="14"/>
      <c r="H453" s="14"/>
      <c r="I453" s="14"/>
      <c r="J453" s="14"/>
      <c r="K453" s="14"/>
      <c r="L453" s="14"/>
      <c r="M453" s="18"/>
      <c r="N453" s="14"/>
      <c r="O453" s="14"/>
      <c r="P453" s="14"/>
      <c r="Q453" s="14"/>
      <c r="R453" s="14"/>
      <c r="S453" s="14"/>
      <c r="T453" s="14"/>
      <c r="U453" s="18"/>
      <c r="V453" s="18"/>
      <c r="W453" s="18"/>
      <c r="X453" s="18"/>
      <c r="Y453" s="18"/>
      <c r="Z453" s="18"/>
      <c r="AA453" s="18"/>
      <c r="AB453" s="18"/>
      <c r="AC453" s="18"/>
      <c r="AD453" s="18"/>
    </row>
    <row r="454" ht="24.75" customHeight="1">
      <c r="A454" s="19"/>
      <c r="B454" s="18"/>
      <c r="C454" s="18"/>
      <c r="D454" s="18"/>
      <c r="E454" s="18"/>
      <c r="F454" s="18"/>
      <c r="G454" s="14"/>
      <c r="H454" s="14"/>
      <c r="I454" s="14"/>
      <c r="J454" s="14"/>
      <c r="K454" s="14"/>
      <c r="L454" s="14"/>
      <c r="M454" s="18"/>
      <c r="N454" s="14"/>
      <c r="O454" s="14"/>
      <c r="P454" s="14"/>
      <c r="Q454" s="14"/>
      <c r="R454" s="14"/>
      <c r="S454" s="14"/>
      <c r="T454" s="14"/>
      <c r="U454" s="18"/>
      <c r="V454" s="18"/>
      <c r="W454" s="18"/>
      <c r="X454" s="18"/>
      <c r="Y454" s="18"/>
      <c r="Z454" s="18"/>
      <c r="AA454" s="18"/>
      <c r="AB454" s="18"/>
      <c r="AC454" s="18"/>
      <c r="AD454" s="18"/>
    </row>
    <row r="455" ht="24.75" customHeight="1">
      <c r="A455" s="19"/>
      <c r="B455" s="18"/>
      <c r="C455" s="18"/>
      <c r="D455" s="18"/>
      <c r="E455" s="18"/>
      <c r="F455" s="18"/>
      <c r="G455" s="14"/>
      <c r="H455" s="14"/>
      <c r="I455" s="14"/>
      <c r="J455" s="14"/>
      <c r="K455" s="14"/>
      <c r="L455" s="14"/>
      <c r="M455" s="18"/>
      <c r="N455" s="14"/>
      <c r="O455" s="14"/>
      <c r="P455" s="14"/>
      <c r="Q455" s="14"/>
      <c r="R455" s="14"/>
      <c r="S455" s="14"/>
      <c r="T455" s="14"/>
      <c r="U455" s="18"/>
      <c r="V455" s="18"/>
      <c r="W455" s="18"/>
      <c r="X455" s="18"/>
      <c r="Y455" s="18"/>
      <c r="Z455" s="18"/>
      <c r="AA455" s="18"/>
      <c r="AB455" s="18"/>
      <c r="AC455" s="18"/>
      <c r="AD455" s="18"/>
    </row>
    <row r="456" ht="24.75" customHeight="1">
      <c r="A456" s="19"/>
      <c r="B456" s="18"/>
      <c r="C456" s="18"/>
      <c r="D456" s="18"/>
      <c r="E456" s="18"/>
      <c r="F456" s="18"/>
      <c r="G456" s="14"/>
      <c r="H456" s="14"/>
      <c r="I456" s="14"/>
      <c r="J456" s="14"/>
      <c r="K456" s="14"/>
      <c r="L456" s="14"/>
      <c r="M456" s="18"/>
      <c r="N456" s="14"/>
      <c r="O456" s="14"/>
      <c r="P456" s="14"/>
      <c r="Q456" s="14"/>
      <c r="R456" s="14"/>
      <c r="S456" s="14"/>
      <c r="T456" s="14"/>
      <c r="U456" s="18"/>
      <c r="V456" s="18"/>
      <c r="W456" s="18"/>
      <c r="X456" s="18"/>
      <c r="Y456" s="18"/>
      <c r="Z456" s="18"/>
      <c r="AA456" s="18"/>
      <c r="AB456" s="18"/>
      <c r="AC456" s="18"/>
      <c r="AD456" s="18"/>
    </row>
    <row r="457" ht="24.75" customHeight="1">
      <c r="A457" s="19"/>
      <c r="B457" s="18"/>
      <c r="C457" s="18"/>
      <c r="D457" s="18"/>
      <c r="E457" s="18"/>
      <c r="F457" s="18"/>
      <c r="G457" s="14"/>
      <c r="H457" s="14"/>
      <c r="I457" s="14"/>
      <c r="J457" s="14"/>
      <c r="K457" s="14"/>
      <c r="L457" s="14"/>
      <c r="M457" s="18"/>
      <c r="N457" s="14"/>
      <c r="O457" s="14"/>
      <c r="P457" s="14"/>
      <c r="Q457" s="14"/>
      <c r="R457" s="14"/>
      <c r="S457" s="14"/>
      <c r="T457" s="14"/>
      <c r="U457" s="18"/>
      <c r="V457" s="18"/>
      <c r="W457" s="18"/>
      <c r="X457" s="18"/>
      <c r="Y457" s="18"/>
      <c r="Z457" s="18"/>
      <c r="AA457" s="18"/>
      <c r="AB457" s="18"/>
      <c r="AC457" s="18"/>
      <c r="AD457" s="18"/>
    </row>
    <row r="458" ht="24.75" customHeight="1">
      <c r="A458" s="19"/>
      <c r="B458" s="18"/>
      <c r="C458" s="18"/>
      <c r="D458" s="18"/>
      <c r="E458" s="18"/>
      <c r="F458" s="18"/>
      <c r="G458" s="14"/>
      <c r="H458" s="14"/>
      <c r="I458" s="14"/>
      <c r="J458" s="14"/>
      <c r="K458" s="14"/>
      <c r="L458" s="14"/>
      <c r="M458" s="18"/>
      <c r="N458" s="14"/>
      <c r="O458" s="14"/>
      <c r="P458" s="14"/>
      <c r="Q458" s="14"/>
      <c r="R458" s="14"/>
      <c r="S458" s="14"/>
      <c r="T458" s="14"/>
      <c r="U458" s="18"/>
      <c r="V458" s="18"/>
      <c r="W458" s="18"/>
      <c r="X458" s="18"/>
      <c r="Y458" s="18"/>
      <c r="Z458" s="18"/>
      <c r="AA458" s="18"/>
      <c r="AB458" s="18"/>
      <c r="AC458" s="18"/>
      <c r="AD458" s="18"/>
    </row>
    <row r="459" ht="24.75" customHeight="1">
      <c r="A459" s="19"/>
      <c r="B459" s="18"/>
      <c r="C459" s="18"/>
      <c r="D459" s="18"/>
      <c r="E459" s="18"/>
      <c r="F459" s="18"/>
      <c r="G459" s="14"/>
      <c r="H459" s="14"/>
      <c r="I459" s="14"/>
      <c r="J459" s="14"/>
      <c r="K459" s="14"/>
      <c r="L459" s="14"/>
      <c r="M459" s="18"/>
      <c r="N459" s="14"/>
      <c r="O459" s="14"/>
      <c r="P459" s="14"/>
      <c r="Q459" s="14"/>
      <c r="R459" s="14"/>
      <c r="S459" s="14"/>
      <c r="T459" s="14"/>
      <c r="U459" s="18"/>
      <c r="V459" s="18"/>
      <c r="W459" s="18"/>
      <c r="X459" s="18"/>
      <c r="Y459" s="18"/>
      <c r="Z459" s="18"/>
      <c r="AA459" s="18"/>
      <c r="AB459" s="18"/>
      <c r="AC459" s="18"/>
      <c r="AD459" s="18"/>
    </row>
    <row r="460" ht="24.75" customHeight="1">
      <c r="A460" s="19"/>
      <c r="B460" s="18"/>
      <c r="C460" s="18"/>
      <c r="D460" s="18"/>
      <c r="E460" s="18"/>
      <c r="F460" s="18"/>
      <c r="G460" s="14"/>
      <c r="H460" s="14"/>
      <c r="I460" s="14"/>
      <c r="J460" s="14"/>
      <c r="K460" s="14"/>
      <c r="L460" s="14"/>
      <c r="M460" s="18"/>
      <c r="N460" s="14"/>
      <c r="O460" s="14"/>
      <c r="P460" s="14"/>
      <c r="Q460" s="14"/>
      <c r="R460" s="14"/>
      <c r="S460" s="14"/>
      <c r="T460" s="14"/>
      <c r="U460" s="18"/>
      <c r="V460" s="18"/>
      <c r="W460" s="18"/>
      <c r="X460" s="18"/>
      <c r="Y460" s="18"/>
      <c r="Z460" s="18"/>
      <c r="AA460" s="18"/>
      <c r="AB460" s="18"/>
      <c r="AC460" s="18"/>
      <c r="AD460" s="18"/>
    </row>
    <row r="461" ht="24.75" customHeight="1">
      <c r="A461" s="19"/>
      <c r="B461" s="18"/>
      <c r="C461" s="18"/>
      <c r="D461" s="18"/>
      <c r="E461" s="18"/>
      <c r="F461" s="18"/>
      <c r="G461" s="14"/>
      <c r="H461" s="14"/>
      <c r="I461" s="14"/>
      <c r="J461" s="14"/>
      <c r="K461" s="14"/>
      <c r="L461" s="14"/>
      <c r="M461" s="18"/>
      <c r="N461" s="14"/>
      <c r="O461" s="14"/>
      <c r="P461" s="14"/>
      <c r="Q461" s="14"/>
      <c r="R461" s="14"/>
      <c r="S461" s="14"/>
      <c r="T461" s="14"/>
      <c r="U461" s="18"/>
      <c r="V461" s="18"/>
      <c r="W461" s="18"/>
      <c r="X461" s="18"/>
      <c r="Y461" s="18"/>
      <c r="Z461" s="18"/>
      <c r="AA461" s="18"/>
      <c r="AB461" s="18"/>
      <c r="AC461" s="18"/>
      <c r="AD461" s="18"/>
    </row>
    <row r="462" ht="24.75" customHeight="1">
      <c r="A462" s="19"/>
      <c r="B462" s="18"/>
      <c r="C462" s="18"/>
      <c r="D462" s="18"/>
      <c r="E462" s="18"/>
      <c r="F462" s="18"/>
      <c r="G462" s="14"/>
      <c r="H462" s="14"/>
      <c r="I462" s="14"/>
      <c r="J462" s="14"/>
      <c r="K462" s="14"/>
      <c r="L462" s="14"/>
      <c r="M462" s="18"/>
      <c r="N462" s="14"/>
      <c r="O462" s="14"/>
      <c r="P462" s="14"/>
      <c r="Q462" s="14"/>
      <c r="R462" s="14"/>
      <c r="S462" s="14"/>
      <c r="T462" s="14"/>
      <c r="U462" s="18"/>
      <c r="V462" s="18"/>
      <c r="W462" s="18"/>
      <c r="X462" s="18"/>
      <c r="Y462" s="18"/>
      <c r="Z462" s="18"/>
      <c r="AA462" s="18"/>
      <c r="AB462" s="18"/>
      <c r="AC462" s="18"/>
      <c r="AD462" s="18"/>
    </row>
    <row r="463" ht="24.75" customHeight="1">
      <c r="A463" s="19"/>
      <c r="B463" s="18"/>
      <c r="C463" s="18"/>
      <c r="D463" s="18"/>
      <c r="E463" s="18"/>
      <c r="F463" s="18"/>
      <c r="G463" s="14"/>
      <c r="H463" s="14"/>
      <c r="I463" s="14"/>
      <c r="J463" s="14"/>
      <c r="K463" s="14"/>
      <c r="L463" s="14"/>
      <c r="M463" s="18"/>
      <c r="N463" s="14"/>
      <c r="O463" s="14"/>
      <c r="P463" s="14"/>
      <c r="Q463" s="14"/>
      <c r="R463" s="14"/>
      <c r="S463" s="14"/>
      <c r="T463" s="14"/>
      <c r="U463" s="18"/>
      <c r="V463" s="18"/>
      <c r="W463" s="18"/>
      <c r="X463" s="18"/>
      <c r="Y463" s="18"/>
      <c r="Z463" s="18"/>
      <c r="AA463" s="18"/>
      <c r="AB463" s="18"/>
      <c r="AC463" s="18"/>
      <c r="AD463" s="18"/>
    </row>
    <row r="464" ht="24.75" customHeight="1">
      <c r="A464" s="19"/>
      <c r="B464" s="18"/>
      <c r="C464" s="18"/>
      <c r="D464" s="18"/>
      <c r="E464" s="18"/>
      <c r="F464" s="18"/>
      <c r="G464" s="14"/>
      <c r="H464" s="14"/>
      <c r="I464" s="14"/>
      <c r="J464" s="14"/>
      <c r="K464" s="14"/>
      <c r="L464" s="14"/>
      <c r="M464" s="18"/>
      <c r="N464" s="14"/>
      <c r="O464" s="14"/>
      <c r="P464" s="14"/>
      <c r="Q464" s="14"/>
      <c r="R464" s="14"/>
      <c r="S464" s="14"/>
      <c r="T464" s="14"/>
      <c r="U464" s="18"/>
      <c r="V464" s="18"/>
      <c r="W464" s="18"/>
      <c r="X464" s="18"/>
      <c r="Y464" s="18"/>
      <c r="Z464" s="18"/>
      <c r="AA464" s="18"/>
      <c r="AB464" s="18"/>
      <c r="AC464" s="18"/>
      <c r="AD464" s="18"/>
    </row>
    <row r="465" ht="24.75" customHeight="1">
      <c r="A465" s="19"/>
      <c r="B465" s="18"/>
      <c r="C465" s="18"/>
      <c r="D465" s="18"/>
      <c r="E465" s="18"/>
      <c r="F465" s="18"/>
      <c r="G465" s="14"/>
      <c r="H465" s="14"/>
      <c r="I465" s="14"/>
      <c r="J465" s="14"/>
      <c r="K465" s="14"/>
      <c r="L465" s="14"/>
      <c r="M465" s="18"/>
      <c r="N465" s="14"/>
      <c r="O465" s="14"/>
      <c r="P465" s="14"/>
      <c r="Q465" s="14"/>
      <c r="R465" s="14"/>
      <c r="S465" s="14"/>
      <c r="T465" s="14"/>
      <c r="U465" s="18"/>
      <c r="V465" s="18"/>
      <c r="W465" s="18"/>
      <c r="X465" s="18"/>
      <c r="Y465" s="18"/>
      <c r="Z465" s="18"/>
      <c r="AA465" s="18"/>
      <c r="AB465" s="18"/>
      <c r="AC465" s="18"/>
      <c r="AD465" s="18"/>
    </row>
    <row r="466" ht="24.75" customHeight="1">
      <c r="A466" s="19"/>
      <c r="B466" s="18"/>
      <c r="C466" s="18"/>
      <c r="D466" s="18"/>
      <c r="E466" s="18"/>
      <c r="F466" s="18"/>
      <c r="G466" s="14"/>
      <c r="H466" s="14"/>
      <c r="I466" s="14"/>
      <c r="J466" s="14"/>
      <c r="K466" s="14"/>
      <c r="L466" s="14"/>
      <c r="M466" s="18"/>
      <c r="N466" s="14"/>
      <c r="O466" s="14"/>
      <c r="P466" s="14"/>
      <c r="Q466" s="14"/>
      <c r="R466" s="14"/>
      <c r="S466" s="14"/>
      <c r="T466" s="14"/>
      <c r="U466" s="18"/>
      <c r="V466" s="18"/>
      <c r="W466" s="18"/>
      <c r="X466" s="18"/>
      <c r="Y466" s="18"/>
      <c r="Z466" s="18"/>
      <c r="AA466" s="18"/>
      <c r="AB466" s="18"/>
      <c r="AC466" s="18"/>
      <c r="AD466" s="18"/>
    </row>
    <row r="467" ht="24.75" customHeight="1">
      <c r="A467" s="19"/>
      <c r="B467" s="18"/>
      <c r="C467" s="18"/>
      <c r="D467" s="18"/>
      <c r="E467" s="18"/>
      <c r="F467" s="18"/>
      <c r="G467" s="14"/>
      <c r="H467" s="14"/>
      <c r="I467" s="14"/>
      <c r="J467" s="14"/>
      <c r="K467" s="14"/>
      <c r="L467" s="14"/>
      <c r="M467" s="18"/>
      <c r="N467" s="14"/>
      <c r="O467" s="14"/>
      <c r="P467" s="14"/>
      <c r="Q467" s="14"/>
      <c r="R467" s="14"/>
      <c r="S467" s="14"/>
      <c r="T467" s="14"/>
      <c r="U467" s="18"/>
      <c r="V467" s="18"/>
      <c r="W467" s="18"/>
      <c r="X467" s="18"/>
      <c r="Y467" s="18"/>
      <c r="Z467" s="18"/>
      <c r="AA467" s="18"/>
      <c r="AB467" s="18"/>
      <c r="AC467" s="18"/>
      <c r="AD467" s="18"/>
    </row>
    <row r="468" ht="24.75" customHeight="1">
      <c r="A468" s="19"/>
      <c r="B468" s="18"/>
      <c r="C468" s="18"/>
      <c r="D468" s="18"/>
      <c r="E468" s="18"/>
      <c r="F468" s="18"/>
      <c r="G468" s="14"/>
      <c r="H468" s="14"/>
      <c r="I468" s="14"/>
      <c r="J468" s="14"/>
      <c r="K468" s="14"/>
      <c r="L468" s="14"/>
      <c r="M468" s="18"/>
      <c r="N468" s="14"/>
      <c r="O468" s="14"/>
      <c r="P468" s="14"/>
      <c r="Q468" s="14"/>
      <c r="R468" s="14"/>
      <c r="S468" s="14"/>
      <c r="T468" s="14"/>
      <c r="U468" s="18"/>
      <c r="V468" s="18"/>
      <c r="W468" s="18"/>
      <c r="X468" s="18"/>
      <c r="Y468" s="18"/>
      <c r="Z468" s="18"/>
      <c r="AA468" s="18"/>
      <c r="AB468" s="18"/>
      <c r="AC468" s="18"/>
      <c r="AD468" s="18"/>
    </row>
    <row r="469" ht="24.75" customHeight="1">
      <c r="A469" s="19"/>
      <c r="B469" s="18"/>
      <c r="C469" s="18"/>
      <c r="D469" s="18"/>
      <c r="E469" s="18"/>
      <c r="F469" s="18"/>
      <c r="G469" s="14"/>
      <c r="H469" s="14"/>
      <c r="I469" s="14"/>
      <c r="J469" s="14"/>
      <c r="K469" s="14"/>
      <c r="L469" s="14"/>
      <c r="M469" s="18"/>
      <c r="N469" s="14"/>
      <c r="O469" s="14"/>
      <c r="P469" s="14"/>
      <c r="Q469" s="14"/>
      <c r="R469" s="14"/>
      <c r="S469" s="14"/>
      <c r="T469" s="14"/>
      <c r="U469" s="18"/>
      <c r="V469" s="18"/>
      <c r="W469" s="18"/>
      <c r="X469" s="18"/>
      <c r="Y469" s="18"/>
      <c r="Z469" s="18"/>
      <c r="AA469" s="18"/>
      <c r="AB469" s="18"/>
      <c r="AC469" s="18"/>
      <c r="AD469" s="18"/>
    </row>
    <row r="470" ht="24.75" customHeight="1">
      <c r="A470" s="19"/>
      <c r="B470" s="18"/>
      <c r="C470" s="18"/>
      <c r="D470" s="18"/>
      <c r="E470" s="18"/>
      <c r="F470" s="18"/>
      <c r="G470" s="14"/>
      <c r="H470" s="14"/>
      <c r="I470" s="14"/>
      <c r="J470" s="14"/>
      <c r="K470" s="14"/>
      <c r="L470" s="14"/>
      <c r="M470" s="18"/>
      <c r="N470" s="14"/>
      <c r="O470" s="14"/>
      <c r="P470" s="14"/>
      <c r="Q470" s="14"/>
      <c r="R470" s="14"/>
      <c r="S470" s="14"/>
      <c r="T470" s="14"/>
      <c r="U470" s="18"/>
      <c r="V470" s="18"/>
      <c r="W470" s="18"/>
      <c r="X470" s="18"/>
      <c r="Y470" s="18"/>
      <c r="Z470" s="18"/>
      <c r="AA470" s="18"/>
      <c r="AB470" s="18"/>
      <c r="AC470" s="18"/>
      <c r="AD470" s="18"/>
    </row>
    <row r="471" ht="24.75" customHeight="1">
      <c r="A471" s="19"/>
      <c r="B471" s="18"/>
      <c r="C471" s="18"/>
      <c r="D471" s="18"/>
      <c r="E471" s="18"/>
      <c r="F471" s="18"/>
      <c r="G471" s="14"/>
      <c r="H471" s="14"/>
      <c r="I471" s="14"/>
      <c r="J471" s="14"/>
      <c r="K471" s="14"/>
      <c r="L471" s="14"/>
      <c r="M471" s="18"/>
      <c r="N471" s="14"/>
      <c r="O471" s="14"/>
      <c r="P471" s="14"/>
      <c r="Q471" s="14"/>
      <c r="R471" s="14"/>
      <c r="S471" s="14"/>
      <c r="T471" s="14"/>
      <c r="U471" s="18"/>
      <c r="V471" s="18"/>
      <c r="W471" s="18"/>
      <c r="X471" s="18"/>
      <c r="Y471" s="18"/>
      <c r="Z471" s="18"/>
      <c r="AA471" s="18"/>
      <c r="AB471" s="18"/>
      <c r="AC471" s="18"/>
      <c r="AD471" s="18"/>
    </row>
    <row r="472" ht="24.75" customHeight="1">
      <c r="A472" s="19"/>
      <c r="B472" s="18"/>
      <c r="C472" s="18"/>
      <c r="D472" s="18"/>
      <c r="E472" s="18"/>
      <c r="F472" s="18"/>
      <c r="G472" s="14"/>
      <c r="H472" s="14"/>
      <c r="I472" s="14"/>
      <c r="J472" s="14"/>
      <c r="K472" s="14"/>
      <c r="L472" s="14"/>
      <c r="M472" s="18"/>
      <c r="N472" s="14"/>
      <c r="O472" s="14"/>
      <c r="P472" s="14"/>
      <c r="Q472" s="14"/>
      <c r="R472" s="14"/>
      <c r="S472" s="14"/>
      <c r="T472" s="14"/>
      <c r="U472" s="18"/>
      <c r="V472" s="18"/>
      <c r="W472" s="18"/>
      <c r="X472" s="18"/>
      <c r="Y472" s="18"/>
      <c r="Z472" s="18"/>
      <c r="AA472" s="18"/>
      <c r="AB472" s="18"/>
      <c r="AC472" s="18"/>
      <c r="AD472" s="18"/>
    </row>
    <row r="473" ht="24.75" customHeight="1">
      <c r="A473" s="19"/>
      <c r="B473" s="18"/>
      <c r="C473" s="18"/>
      <c r="D473" s="18"/>
      <c r="E473" s="18"/>
      <c r="F473" s="18"/>
      <c r="G473" s="14"/>
      <c r="H473" s="14"/>
      <c r="I473" s="14"/>
      <c r="J473" s="14"/>
      <c r="K473" s="14"/>
      <c r="L473" s="14"/>
      <c r="M473" s="18"/>
      <c r="N473" s="14"/>
      <c r="O473" s="14"/>
      <c r="P473" s="14"/>
      <c r="Q473" s="14"/>
      <c r="R473" s="14"/>
      <c r="S473" s="14"/>
      <c r="T473" s="14"/>
      <c r="U473" s="18"/>
      <c r="V473" s="18"/>
      <c r="W473" s="18"/>
      <c r="X473" s="18"/>
      <c r="Y473" s="18"/>
      <c r="Z473" s="18"/>
      <c r="AA473" s="18"/>
      <c r="AB473" s="18"/>
      <c r="AC473" s="18"/>
      <c r="AD473" s="18"/>
    </row>
    <row r="474" ht="24.75" customHeight="1">
      <c r="A474" s="19"/>
      <c r="B474" s="18"/>
      <c r="C474" s="18"/>
      <c r="D474" s="18"/>
      <c r="E474" s="18"/>
      <c r="F474" s="18"/>
      <c r="G474" s="14"/>
      <c r="H474" s="14"/>
      <c r="I474" s="14"/>
      <c r="J474" s="14"/>
      <c r="K474" s="14"/>
      <c r="L474" s="14"/>
      <c r="M474" s="18"/>
      <c r="N474" s="14"/>
      <c r="O474" s="14"/>
      <c r="P474" s="14"/>
      <c r="Q474" s="14"/>
      <c r="R474" s="14"/>
      <c r="S474" s="14"/>
      <c r="T474" s="14"/>
      <c r="U474" s="18"/>
      <c r="V474" s="18"/>
      <c r="W474" s="18"/>
      <c r="X474" s="18"/>
      <c r="Y474" s="18"/>
      <c r="Z474" s="18"/>
      <c r="AA474" s="18"/>
      <c r="AB474" s="18"/>
      <c r="AC474" s="18"/>
      <c r="AD474" s="18"/>
    </row>
    <row r="475" ht="24.75" customHeight="1">
      <c r="A475" s="19"/>
      <c r="B475" s="18"/>
      <c r="C475" s="18"/>
      <c r="D475" s="18"/>
      <c r="E475" s="18"/>
      <c r="F475" s="18"/>
      <c r="G475" s="14"/>
      <c r="H475" s="14"/>
      <c r="I475" s="14"/>
      <c r="J475" s="14"/>
      <c r="K475" s="14"/>
      <c r="L475" s="14"/>
      <c r="M475" s="18"/>
      <c r="N475" s="14"/>
      <c r="O475" s="14"/>
      <c r="P475" s="14"/>
      <c r="Q475" s="14"/>
      <c r="R475" s="14"/>
      <c r="S475" s="14"/>
      <c r="T475" s="14"/>
      <c r="U475" s="18"/>
      <c r="V475" s="18"/>
      <c r="W475" s="18"/>
      <c r="X475" s="18"/>
      <c r="Y475" s="18"/>
      <c r="Z475" s="18"/>
      <c r="AA475" s="18"/>
      <c r="AB475" s="18"/>
      <c r="AC475" s="18"/>
      <c r="AD475" s="18"/>
    </row>
    <row r="476" ht="24.75" customHeight="1">
      <c r="A476" s="19"/>
      <c r="B476" s="18"/>
      <c r="C476" s="18"/>
      <c r="D476" s="18"/>
      <c r="E476" s="18"/>
      <c r="F476" s="18"/>
      <c r="G476" s="14"/>
      <c r="H476" s="14"/>
      <c r="I476" s="14"/>
      <c r="J476" s="14"/>
      <c r="K476" s="14"/>
      <c r="L476" s="14"/>
      <c r="M476" s="18"/>
      <c r="N476" s="14"/>
      <c r="O476" s="14"/>
      <c r="P476" s="14"/>
      <c r="Q476" s="14"/>
      <c r="R476" s="14"/>
      <c r="S476" s="14"/>
      <c r="T476" s="14"/>
      <c r="U476" s="18"/>
      <c r="V476" s="18"/>
      <c r="W476" s="18"/>
      <c r="X476" s="18"/>
      <c r="Y476" s="18"/>
      <c r="Z476" s="18"/>
      <c r="AA476" s="18"/>
      <c r="AB476" s="18"/>
      <c r="AC476" s="18"/>
      <c r="AD476" s="18"/>
    </row>
    <row r="477" ht="24.75" customHeight="1">
      <c r="A477" s="19"/>
      <c r="B477" s="18"/>
      <c r="C477" s="18"/>
      <c r="D477" s="18"/>
      <c r="E477" s="18"/>
      <c r="F477" s="18"/>
      <c r="G477" s="14"/>
      <c r="H477" s="14"/>
      <c r="I477" s="14"/>
      <c r="J477" s="14"/>
      <c r="K477" s="14"/>
      <c r="L477" s="14"/>
      <c r="M477" s="18"/>
      <c r="N477" s="14"/>
      <c r="O477" s="14"/>
      <c r="P477" s="14"/>
      <c r="Q477" s="14"/>
      <c r="R477" s="14"/>
      <c r="S477" s="14"/>
      <c r="T477" s="14"/>
      <c r="U477" s="18"/>
      <c r="V477" s="18"/>
      <c r="W477" s="18"/>
      <c r="X477" s="18"/>
      <c r="Y477" s="18"/>
      <c r="Z477" s="18"/>
      <c r="AA477" s="18"/>
      <c r="AB477" s="18"/>
      <c r="AC477" s="18"/>
      <c r="AD477" s="18"/>
    </row>
    <row r="478" ht="24.75" customHeight="1">
      <c r="A478" s="19"/>
      <c r="B478" s="18"/>
      <c r="C478" s="18"/>
      <c r="D478" s="18"/>
      <c r="E478" s="18"/>
      <c r="F478" s="18"/>
      <c r="G478" s="14"/>
      <c r="H478" s="14"/>
      <c r="I478" s="14"/>
      <c r="J478" s="14"/>
      <c r="K478" s="14"/>
      <c r="L478" s="14"/>
      <c r="M478" s="18"/>
      <c r="N478" s="14"/>
      <c r="O478" s="14"/>
      <c r="P478" s="14"/>
      <c r="Q478" s="14"/>
      <c r="R478" s="14"/>
      <c r="S478" s="14"/>
      <c r="T478" s="14"/>
      <c r="U478" s="18"/>
      <c r="V478" s="18"/>
      <c r="W478" s="18"/>
      <c r="X478" s="18"/>
      <c r="Y478" s="18"/>
      <c r="Z478" s="18"/>
      <c r="AA478" s="18"/>
      <c r="AB478" s="18"/>
      <c r="AC478" s="18"/>
      <c r="AD478" s="18"/>
    </row>
    <row r="479" ht="24.75" customHeight="1">
      <c r="A479" s="19"/>
      <c r="B479" s="18"/>
      <c r="C479" s="18"/>
      <c r="D479" s="18"/>
      <c r="E479" s="18"/>
      <c r="F479" s="18"/>
      <c r="G479" s="14"/>
      <c r="H479" s="14"/>
      <c r="I479" s="14"/>
      <c r="J479" s="14"/>
      <c r="K479" s="14"/>
      <c r="L479" s="14"/>
      <c r="M479" s="18"/>
      <c r="N479" s="14"/>
      <c r="O479" s="14"/>
      <c r="P479" s="14"/>
      <c r="Q479" s="14"/>
      <c r="R479" s="14"/>
      <c r="S479" s="14"/>
      <c r="T479" s="14"/>
      <c r="U479" s="18"/>
      <c r="V479" s="18"/>
      <c r="W479" s="18"/>
      <c r="X479" s="18"/>
      <c r="Y479" s="18"/>
      <c r="Z479" s="18"/>
      <c r="AA479" s="18"/>
      <c r="AB479" s="18"/>
      <c r="AC479" s="18"/>
      <c r="AD479" s="18"/>
    </row>
    <row r="480" ht="24.75" customHeight="1">
      <c r="A480" s="19"/>
      <c r="B480" s="18"/>
      <c r="C480" s="18"/>
      <c r="D480" s="18"/>
      <c r="E480" s="18"/>
      <c r="F480" s="18"/>
      <c r="G480" s="14"/>
      <c r="H480" s="14"/>
      <c r="I480" s="14"/>
      <c r="J480" s="14"/>
      <c r="K480" s="14"/>
      <c r="L480" s="14"/>
      <c r="M480" s="18"/>
      <c r="N480" s="14"/>
      <c r="O480" s="14"/>
      <c r="P480" s="14"/>
      <c r="Q480" s="14"/>
      <c r="R480" s="14"/>
      <c r="S480" s="14"/>
      <c r="T480" s="14"/>
      <c r="U480" s="18"/>
      <c r="V480" s="18"/>
      <c r="W480" s="18"/>
      <c r="X480" s="18"/>
      <c r="Y480" s="18"/>
      <c r="Z480" s="18"/>
      <c r="AA480" s="18"/>
      <c r="AB480" s="18"/>
      <c r="AC480" s="18"/>
      <c r="AD480" s="18"/>
    </row>
    <row r="481" ht="24.75" customHeight="1">
      <c r="A481" s="19"/>
      <c r="B481" s="18"/>
      <c r="C481" s="18"/>
      <c r="D481" s="18"/>
      <c r="E481" s="18"/>
      <c r="F481" s="18"/>
      <c r="G481" s="14"/>
      <c r="H481" s="14"/>
      <c r="I481" s="14"/>
      <c r="J481" s="14"/>
      <c r="K481" s="14"/>
      <c r="L481" s="14"/>
      <c r="M481" s="18"/>
      <c r="N481" s="14"/>
      <c r="O481" s="14"/>
      <c r="P481" s="14"/>
      <c r="Q481" s="14"/>
      <c r="R481" s="14"/>
      <c r="S481" s="14"/>
      <c r="T481" s="14"/>
      <c r="U481" s="18"/>
      <c r="V481" s="18"/>
      <c r="W481" s="18"/>
      <c r="X481" s="18"/>
      <c r="Y481" s="18"/>
      <c r="Z481" s="18"/>
      <c r="AA481" s="18"/>
      <c r="AB481" s="18"/>
      <c r="AC481" s="18"/>
      <c r="AD481" s="18"/>
    </row>
    <row r="482" ht="24.75" customHeight="1">
      <c r="A482" s="19"/>
      <c r="B482" s="18"/>
      <c r="C482" s="18"/>
      <c r="D482" s="18"/>
      <c r="E482" s="18"/>
      <c r="F482" s="18"/>
      <c r="G482" s="14"/>
      <c r="H482" s="14"/>
      <c r="I482" s="14"/>
      <c r="J482" s="14"/>
      <c r="K482" s="14"/>
      <c r="L482" s="14"/>
      <c r="M482" s="18"/>
      <c r="N482" s="14"/>
      <c r="O482" s="14"/>
      <c r="P482" s="14"/>
      <c r="Q482" s="14"/>
      <c r="R482" s="14"/>
      <c r="S482" s="14"/>
      <c r="T482" s="14"/>
      <c r="U482" s="18"/>
      <c r="V482" s="18"/>
      <c r="W482" s="18"/>
      <c r="X482" s="18"/>
      <c r="Y482" s="18"/>
      <c r="Z482" s="18"/>
      <c r="AA482" s="18"/>
      <c r="AB482" s="18"/>
      <c r="AC482" s="18"/>
      <c r="AD482" s="18"/>
    </row>
    <row r="483" ht="24.75" customHeight="1">
      <c r="A483" s="19"/>
      <c r="B483" s="18"/>
      <c r="C483" s="18"/>
      <c r="D483" s="18"/>
      <c r="E483" s="18"/>
      <c r="F483" s="18"/>
      <c r="G483" s="14"/>
      <c r="H483" s="14"/>
      <c r="I483" s="14"/>
      <c r="J483" s="14"/>
      <c r="K483" s="14"/>
      <c r="L483" s="14"/>
      <c r="M483" s="18"/>
      <c r="N483" s="14"/>
      <c r="O483" s="14"/>
      <c r="P483" s="14"/>
      <c r="Q483" s="14"/>
      <c r="R483" s="14"/>
      <c r="S483" s="14"/>
      <c r="T483" s="14"/>
      <c r="U483" s="18"/>
      <c r="V483" s="18"/>
      <c r="W483" s="18"/>
      <c r="X483" s="18"/>
      <c r="Y483" s="18"/>
      <c r="Z483" s="18"/>
      <c r="AA483" s="18"/>
      <c r="AB483" s="18"/>
      <c r="AC483" s="18"/>
      <c r="AD483" s="18"/>
    </row>
    <row r="484" ht="24.75" customHeight="1">
      <c r="A484" s="19"/>
      <c r="B484" s="18"/>
      <c r="C484" s="18"/>
      <c r="D484" s="18"/>
      <c r="E484" s="18"/>
      <c r="F484" s="18"/>
      <c r="G484" s="14"/>
      <c r="H484" s="14"/>
      <c r="I484" s="14"/>
      <c r="J484" s="14"/>
      <c r="K484" s="14"/>
      <c r="L484" s="14"/>
      <c r="M484" s="18"/>
      <c r="N484" s="14"/>
      <c r="O484" s="14"/>
      <c r="P484" s="14"/>
      <c r="Q484" s="14"/>
      <c r="R484" s="14"/>
      <c r="S484" s="14"/>
      <c r="T484" s="14"/>
      <c r="U484" s="18"/>
      <c r="V484" s="18"/>
      <c r="W484" s="18"/>
      <c r="X484" s="18"/>
      <c r="Y484" s="18"/>
      <c r="Z484" s="18"/>
      <c r="AA484" s="18"/>
      <c r="AB484" s="18"/>
      <c r="AC484" s="18"/>
      <c r="AD484" s="18"/>
    </row>
    <row r="485" ht="24.75" customHeight="1">
      <c r="A485" s="19"/>
      <c r="B485" s="18"/>
      <c r="C485" s="18"/>
      <c r="D485" s="18"/>
      <c r="E485" s="18"/>
      <c r="F485" s="18"/>
      <c r="G485" s="14"/>
      <c r="H485" s="14"/>
      <c r="I485" s="14"/>
      <c r="J485" s="14"/>
      <c r="K485" s="14"/>
      <c r="L485" s="14"/>
      <c r="M485" s="18"/>
      <c r="N485" s="14"/>
      <c r="O485" s="14"/>
      <c r="P485" s="14"/>
      <c r="Q485" s="14"/>
      <c r="R485" s="14"/>
      <c r="S485" s="14"/>
      <c r="T485" s="14"/>
      <c r="U485" s="18"/>
      <c r="V485" s="18"/>
      <c r="W485" s="18"/>
      <c r="X485" s="18"/>
      <c r="Y485" s="18"/>
      <c r="Z485" s="18"/>
      <c r="AA485" s="18"/>
      <c r="AB485" s="18"/>
      <c r="AC485" s="18"/>
      <c r="AD485" s="18"/>
    </row>
    <row r="486" ht="24.75" customHeight="1">
      <c r="A486" s="19"/>
      <c r="B486" s="18"/>
      <c r="C486" s="18"/>
      <c r="D486" s="18"/>
      <c r="E486" s="18"/>
      <c r="F486" s="18"/>
      <c r="G486" s="14"/>
      <c r="H486" s="14"/>
      <c r="I486" s="14"/>
      <c r="J486" s="14"/>
      <c r="K486" s="14"/>
      <c r="L486" s="14"/>
      <c r="M486" s="18"/>
      <c r="N486" s="14"/>
      <c r="O486" s="14"/>
      <c r="P486" s="14"/>
      <c r="Q486" s="14"/>
      <c r="R486" s="14"/>
      <c r="S486" s="14"/>
      <c r="T486" s="14"/>
      <c r="U486" s="18"/>
      <c r="V486" s="18"/>
      <c r="W486" s="18"/>
      <c r="X486" s="18"/>
      <c r="Y486" s="18"/>
      <c r="Z486" s="18"/>
      <c r="AA486" s="18"/>
      <c r="AB486" s="18"/>
      <c r="AC486" s="18"/>
      <c r="AD486" s="18"/>
    </row>
    <row r="487" ht="24.75" customHeight="1">
      <c r="A487" s="19"/>
      <c r="B487" s="18"/>
      <c r="C487" s="18"/>
      <c r="D487" s="18"/>
      <c r="E487" s="18"/>
      <c r="F487" s="18"/>
      <c r="G487" s="14"/>
      <c r="H487" s="14"/>
      <c r="I487" s="14"/>
      <c r="J487" s="14"/>
      <c r="K487" s="14"/>
      <c r="L487" s="14"/>
      <c r="M487" s="18"/>
      <c r="N487" s="14"/>
      <c r="O487" s="14"/>
      <c r="P487" s="14"/>
      <c r="Q487" s="14"/>
      <c r="R487" s="14"/>
      <c r="S487" s="14"/>
      <c r="T487" s="14"/>
      <c r="U487" s="18"/>
      <c r="V487" s="18"/>
      <c r="W487" s="18"/>
      <c r="X487" s="18"/>
      <c r="Y487" s="18"/>
      <c r="Z487" s="18"/>
      <c r="AA487" s="18"/>
      <c r="AB487" s="18"/>
      <c r="AC487" s="18"/>
      <c r="AD487" s="18"/>
    </row>
    <row r="488" ht="24.75" customHeight="1">
      <c r="A488" s="19"/>
      <c r="B488" s="18"/>
      <c r="C488" s="18"/>
      <c r="D488" s="18"/>
      <c r="E488" s="18"/>
      <c r="F488" s="18"/>
      <c r="G488" s="14"/>
      <c r="H488" s="14"/>
      <c r="I488" s="14"/>
      <c r="J488" s="14"/>
      <c r="K488" s="14"/>
      <c r="L488" s="14"/>
      <c r="M488" s="18"/>
      <c r="N488" s="14"/>
      <c r="O488" s="14"/>
      <c r="P488" s="14"/>
      <c r="Q488" s="14"/>
      <c r="R488" s="14"/>
      <c r="S488" s="14"/>
      <c r="T488" s="14"/>
      <c r="U488" s="18"/>
      <c r="V488" s="18"/>
      <c r="W488" s="18"/>
      <c r="X488" s="18"/>
      <c r="Y488" s="18"/>
      <c r="Z488" s="18"/>
      <c r="AA488" s="18"/>
      <c r="AB488" s="18"/>
      <c r="AC488" s="18"/>
      <c r="AD488" s="18"/>
    </row>
    <row r="489" ht="24.75" customHeight="1">
      <c r="A489" s="19"/>
      <c r="B489" s="18"/>
      <c r="C489" s="18"/>
      <c r="D489" s="18"/>
      <c r="E489" s="18"/>
      <c r="F489" s="18"/>
      <c r="G489" s="14"/>
      <c r="H489" s="14"/>
      <c r="I489" s="14"/>
      <c r="J489" s="14"/>
      <c r="K489" s="14"/>
      <c r="L489" s="14"/>
      <c r="M489" s="18"/>
      <c r="N489" s="14"/>
      <c r="O489" s="14"/>
      <c r="P489" s="14"/>
      <c r="Q489" s="14"/>
      <c r="R489" s="14"/>
      <c r="S489" s="14"/>
      <c r="T489" s="14"/>
      <c r="U489" s="18"/>
      <c r="V489" s="18"/>
      <c r="W489" s="18"/>
      <c r="X489" s="18"/>
      <c r="Y489" s="18"/>
      <c r="Z489" s="18"/>
      <c r="AA489" s="18"/>
      <c r="AB489" s="18"/>
      <c r="AC489" s="18"/>
      <c r="AD489" s="18"/>
    </row>
    <row r="490" ht="24.75" customHeight="1">
      <c r="A490" s="19"/>
      <c r="B490" s="18"/>
      <c r="C490" s="18"/>
      <c r="D490" s="18"/>
      <c r="E490" s="18"/>
      <c r="F490" s="18"/>
      <c r="G490" s="14"/>
      <c r="H490" s="14"/>
      <c r="I490" s="14"/>
      <c r="J490" s="14"/>
      <c r="K490" s="14"/>
      <c r="L490" s="14"/>
      <c r="M490" s="18"/>
      <c r="N490" s="14"/>
      <c r="O490" s="14"/>
      <c r="P490" s="14"/>
      <c r="Q490" s="14"/>
      <c r="R490" s="14"/>
      <c r="S490" s="14"/>
      <c r="T490" s="14"/>
      <c r="U490" s="18"/>
      <c r="V490" s="18"/>
      <c r="W490" s="18"/>
      <c r="X490" s="18"/>
      <c r="Y490" s="18"/>
      <c r="Z490" s="18"/>
      <c r="AA490" s="18"/>
      <c r="AB490" s="18"/>
      <c r="AC490" s="18"/>
      <c r="AD490" s="18"/>
    </row>
    <row r="491" ht="24.75" customHeight="1">
      <c r="A491" s="19"/>
      <c r="B491" s="18"/>
      <c r="C491" s="18"/>
      <c r="D491" s="18"/>
      <c r="E491" s="18"/>
      <c r="F491" s="18"/>
      <c r="G491" s="14"/>
      <c r="H491" s="14"/>
      <c r="I491" s="14"/>
      <c r="J491" s="14"/>
      <c r="K491" s="14"/>
      <c r="L491" s="14"/>
      <c r="M491" s="18"/>
      <c r="N491" s="14"/>
      <c r="O491" s="14"/>
      <c r="P491" s="14"/>
      <c r="Q491" s="14"/>
      <c r="R491" s="14"/>
      <c r="S491" s="14"/>
      <c r="T491" s="14"/>
      <c r="U491" s="18"/>
      <c r="V491" s="18"/>
      <c r="W491" s="18"/>
      <c r="X491" s="18"/>
      <c r="Y491" s="18"/>
      <c r="Z491" s="18"/>
      <c r="AA491" s="18"/>
      <c r="AB491" s="18"/>
      <c r="AC491" s="18"/>
      <c r="AD491" s="18"/>
    </row>
    <row r="492" ht="24.75" customHeight="1">
      <c r="A492" s="19"/>
      <c r="B492" s="18"/>
      <c r="C492" s="18"/>
      <c r="D492" s="18"/>
      <c r="E492" s="18"/>
      <c r="F492" s="18"/>
      <c r="G492" s="14"/>
      <c r="H492" s="14"/>
      <c r="I492" s="14"/>
      <c r="J492" s="14"/>
      <c r="K492" s="14"/>
      <c r="L492" s="14"/>
      <c r="M492" s="18"/>
      <c r="N492" s="14"/>
      <c r="O492" s="14"/>
      <c r="P492" s="14"/>
      <c r="Q492" s="14"/>
      <c r="R492" s="14"/>
      <c r="S492" s="14"/>
      <c r="T492" s="14"/>
      <c r="U492" s="18"/>
      <c r="V492" s="18"/>
      <c r="W492" s="18"/>
      <c r="X492" s="18"/>
      <c r="Y492" s="18"/>
      <c r="Z492" s="18"/>
      <c r="AA492" s="18"/>
      <c r="AB492" s="18"/>
      <c r="AC492" s="18"/>
      <c r="AD492" s="18"/>
    </row>
    <row r="493" ht="24.75" customHeight="1">
      <c r="A493" s="19"/>
      <c r="B493" s="18"/>
      <c r="C493" s="18"/>
      <c r="D493" s="18"/>
      <c r="E493" s="18"/>
      <c r="F493" s="18"/>
      <c r="G493" s="14"/>
      <c r="H493" s="14"/>
      <c r="I493" s="14"/>
      <c r="J493" s="14"/>
      <c r="K493" s="14"/>
      <c r="L493" s="14"/>
      <c r="M493" s="18"/>
      <c r="N493" s="14"/>
      <c r="O493" s="14"/>
      <c r="P493" s="14"/>
      <c r="Q493" s="14"/>
      <c r="R493" s="14"/>
      <c r="S493" s="14"/>
      <c r="T493" s="14"/>
      <c r="U493" s="18"/>
      <c r="V493" s="18"/>
      <c r="W493" s="18"/>
      <c r="X493" s="18"/>
      <c r="Y493" s="18"/>
      <c r="Z493" s="18"/>
      <c r="AA493" s="18"/>
      <c r="AB493" s="18"/>
      <c r="AC493" s="18"/>
      <c r="AD493" s="18"/>
    </row>
    <row r="494" ht="24.75" customHeight="1">
      <c r="A494" s="19"/>
      <c r="B494" s="18"/>
      <c r="C494" s="18"/>
      <c r="D494" s="18"/>
      <c r="E494" s="18"/>
      <c r="F494" s="18"/>
      <c r="G494" s="14"/>
      <c r="H494" s="14"/>
      <c r="I494" s="14"/>
      <c r="J494" s="14"/>
      <c r="K494" s="14"/>
      <c r="L494" s="14"/>
      <c r="M494" s="18"/>
      <c r="N494" s="14"/>
      <c r="O494" s="14"/>
      <c r="P494" s="14"/>
      <c r="Q494" s="14"/>
      <c r="R494" s="14"/>
      <c r="S494" s="14"/>
      <c r="T494" s="14"/>
      <c r="U494" s="18"/>
      <c r="V494" s="18"/>
      <c r="W494" s="18"/>
      <c r="X494" s="18"/>
      <c r="Y494" s="18"/>
      <c r="Z494" s="18"/>
      <c r="AA494" s="18"/>
      <c r="AB494" s="18"/>
      <c r="AC494" s="18"/>
      <c r="AD494" s="18"/>
    </row>
    <row r="495" ht="24.75" customHeight="1">
      <c r="A495" s="19"/>
      <c r="B495" s="18"/>
      <c r="C495" s="18"/>
      <c r="D495" s="18"/>
      <c r="E495" s="18"/>
      <c r="F495" s="18"/>
      <c r="G495" s="14"/>
      <c r="H495" s="14"/>
      <c r="I495" s="14"/>
      <c r="J495" s="14"/>
      <c r="K495" s="14"/>
      <c r="L495" s="14"/>
      <c r="M495" s="18"/>
      <c r="N495" s="14"/>
      <c r="O495" s="14"/>
      <c r="P495" s="14"/>
      <c r="Q495" s="14"/>
      <c r="R495" s="14"/>
      <c r="S495" s="14"/>
      <c r="T495" s="14"/>
      <c r="U495" s="18"/>
      <c r="V495" s="18"/>
      <c r="W495" s="18"/>
      <c r="X495" s="18"/>
      <c r="Y495" s="18"/>
      <c r="Z495" s="18"/>
      <c r="AA495" s="18"/>
      <c r="AB495" s="18"/>
      <c r="AC495" s="18"/>
      <c r="AD495" s="18"/>
    </row>
    <row r="496" ht="24.75" customHeight="1">
      <c r="A496" s="19"/>
      <c r="B496" s="18"/>
      <c r="C496" s="18"/>
      <c r="D496" s="18"/>
      <c r="E496" s="18"/>
      <c r="F496" s="18"/>
      <c r="G496" s="14"/>
      <c r="H496" s="14"/>
      <c r="I496" s="14"/>
      <c r="J496" s="14"/>
      <c r="K496" s="14"/>
      <c r="L496" s="14"/>
      <c r="M496" s="18"/>
      <c r="N496" s="14"/>
      <c r="O496" s="14"/>
      <c r="P496" s="14"/>
      <c r="Q496" s="14"/>
      <c r="R496" s="14"/>
      <c r="S496" s="14"/>
      <c r="T496" s="14"/>
      <c r="U496" s="18"/>
      <c r="V496" s="18"/>
      <c r="W496" s="18"/>
      <c r="X496" s="18"/>
      <c r="Y496" s="18"/>
      <c r="Z496" s="18"/>
      <c r="AA496" s="18"/>
      <c r="AB496" s="18"/>
      <c r="AC496" s="18"/>
      <c r="AD496" s="18"/>
    </row>
    <row r="497" ht="24.75" customHeight="1">
      <c r="A497" s="19"/>
      <c r="B497" s="18"/>
      <c r="C497" s="18"/>
      <c r="D497" s="18"/>
      <c r="E497" s="18"/>
      <c r="F497" s="18"/>
      <c r="G497" s="14"/>
      <c r="H497" s="14"/>
      <c r="I497" s="14"/>
      <c r="J497" s="14"/>
      <c r="K497" s="14"/>
      <c r="L497" s="14"/>
      <c r="M497" s="18"/>
      <c r="N497" s="14"/>
      <c r="O497" s="14"/>
      <c r="P497" s="14"/>
      <c r="Q497" s="14"/>
      <c r="R497" s="14"/>
      <c r="S497" s="14"/>
      <c r="T497" s="14"/>
      <c r="U497" s="18"/>
      <c r="V497" s="18"/>
      <c r="W497" s="18"/>
      <c r="X497" s="18"/>
      <c r="Y497" s="18"/>
      <c r="Z497" s="18"/>
      <c r="AA497" s="18"/>
      <c r="AB497" s="18"/>
      <c r="AC497" s="18"/>
      <c r="AD497" s="18"/>
    </row>
    <row r="498" ht="24.75" customHeight="1">
      <c r="A498" s="19"/>
      <c r="B498" s="18"/>
      <c r="C498" s="18"/>
      <c r="D498" s="18"/>
      <c r="E498" s="18"/>
      <c r="F498" s="18"/>
      <c r="G498" s="14"/>
      <c r="H498" s="14"/>
      <c r="I498" s="14"/>
      <c r="J498" s="14"/>
      <c r="K498" s="14"/>
      <c r="L498" s="14"/>
      <c r="M498" s="18"/>
      <c r="N498" s="14"/>
      <c r="O498" s="14"/>
      <c r="P498" s="14"/>
      <c r="Q498" s="14"/>
      <c r="R498" s="14"/>
      <c r="S498" s="14"/>
      <c r="T498" s="14"/>
      <c r="U498" s="18"/>
      <c r="V498" s="18"/>
      <c r="W498" s="18"/>
      <c r="X498" s="18"/>
      <c r="Y498" s="18"/>
      <c r="Z498" s="18"/>
      <c r="AA498" s="18"/>
      <c r="AB498" s="18"/>
      <c r="AC498" s="18"/>
      <c r="AD498" s="18"/>
    </row>
    <row r="499" ht="24.75" customHeight="1">
      <c r="A499" s="19"/>
      <c r="B499" s="18"/>
      <c r="C499" s="18"/>
      <c r="D499" s="18"/>
      <c r="E499" s="18"/>
      <c r="F499" s="18"/>
      <c r="G499" s="14"/>
      <c r="H499" s="14"/>
      <c r="I499" s="14"/>
      <c r="J499" s="14"/>
      <c r="K499" s="14"/>
      <c r="L499" s="14"/>
      <c r="M499" s="18"/>
      <c r="N499" s="14"/>
      <c r="O499" s="14"/>
      <c r="P499" s="14"/>
      <c r="Q499" s="14"/>
      <c r="R499" s="14"/>
      <c r="S499" s="14"/>
      <c r="T499" s="14"/>
      <c r="U499" s="18"/>
      <c r="V499" s="18"/>
      <c r="W499" s="18"/>
      <c r="X499" s="18"/>
      <c r="Y499" s="18"/>
      <c r="Z499" s="18"/>
      <c r="AA499" s="18"/>
      <c r="AB499" s="18"/>
      <c r="AC499" s="18"/>
      <c r="AD499" s="18"/>
    </row>
    <row r="500" ht="24.75" customHeight="1">
      <c r="A500" s="19"/>
      <c r="B500" s="18"/>
      <c r="C500" s="18"/>
      <c r="D500" s="18"/>
      <c r="E500" s="18"/>
      <c r="F500" s="18"/>
      <c r="G500" s="14"/>
      <c r="H500" s="14"/>
      <c r="I500" s="14"/>
      <c r="J500" s="14"/>
      <c r="K500" s="14"/>
      <c r="L500" s="14"/>
      <c r="M500" s="18"/>
      <c r="N500" s="14"/>
      <c r="O500" s="14"/>
      <c r="P500" s="14"/>
      <c r="Q500" s="14"/>
      <c r="R500" s="14"/>
      <c r="S500" s="14"/>
      <c r="T500" s="14"/>
      <c r="U500" s="18"/>
      <c r="V500" s="18"/>
      <c r="W500" s="18"/>
      <c r="X500" s="18"/>
      <c r="Y500" s="18"/>
      <c r="Z500" s="18"/>
      <c r="AA500" s="18"/>
      <c r="AB500" s="18"/>
      <c r="AC500" s="18"/>
      <c r="AD500" s="18"/>
    </row>
    <row r="501" ht="24.75" customHeight="1">
      <c r="A501" s="19"/>
      <c r="B501" s="18"/>
      <c r="C501" s="18"/>
      <c r="D501" s="18"/>
      <c r="E501" s="18"/>
      <c r="F501" s="18"/>
      <c r="G501" s="14"/>
      <c r="H501" s="14"/>
      <c r="I501" s="14"/>
      <c r="J501" s="14"/>
      <c r="K501" s="14"/>
      <c r="L501" s="14"/>
      <c r="M501" s="18"/>
      <c r="N501" s="14"/>
      <c r="O501" s="14"/>
      <c r="P501" s="14"/>
      <c r="Q501" s="14"/>
      <c r="R501" s="14"/>
      <c r="S501" s="14"/>
      <c r="T501" s="14"/>
      <c r="U501" s="18"/>
      <c r="V501" s="18"/>
      <c r="W501" s="18"/>
      <c r="X501" s="18"/>
      <c r="Y501" s="18"/>
      <c r="Z501" s="18"/>
      <c r="AA501" s="18"/>
      <c r="AB501" s="18"/>
      <c r="AC501" s="18"/>
      <c r="AD501" s="18"/>
    </row>
    <row r="502" ht="24.75" customHeight="1">
      <c r="A502" s="19"/>
      <c r="B502" s="18"/>
      <c r="C502" s="18"/>
      <c r="D502" s="18"/>
      <c r="E502" s="18"/>
      <c r="F502" s="18"/>
      <c r="G502" s="14"/>
      <c r="H502" s="14"/>
      <c r="I502" s="14"/>
      <c r="J502" s="14"/>
      <c r="K502" s="14"/>
      <c r="L502" s="14"/>
      <c r="M502" s="18"/>
      <c r="N502" s="14"/>
      <c r="O502" s="14"/>
      <c r="P502" s="14"/>
      <c r="Q502" s="14"/>
      <c r="R502" s="14"/>
      <c r="S502" s="14"/>
      <c r="T502" s="14"/>
      <c r="U502" s="18"/>
      <c r="V502" s="18"/>
      <c r="W502" s="18"/>
      <c r="X502" s="18"/>
      <c r="Y502" s="18"/>
      <c r="Z502" s="18"/>
      <c r="AA502" s="18"/>
      <c r="AB502" s="18"/>
      <c r="AC502" s="18"/>
      <c r="AD502" s="18"/>
    </row>
    <row r="503" ht="24.75" customHeight="1">
      <c r="A503" s="19"/>
      <c r="B503" s="18"/>
      <c r="C503" s="18"/>
      <c r="D503" s="18"/>
      <c r="E503" s="18"/>
      <c r="F503" s="18"/>
      <c r="G503" s="14"/>
      <c r="H503" s="14"/>
      <c r="I503" s="14"/>
      <c r="J503" s="14"/>
      <c r="K503" s="14"/>
      <c r="L503" s="14"/>
      <c r="M503" s="18"/>
      <c r="N503" s="14"/>
      <c r="O503" s="14"/>
      <c r="P503" s="14"/>
      <c r="Q503" s="14"/>
      <c r="R503" s="14"/>
      <c r="S503" s="14"/>
      <c r="T503" s="14"/>
      <c r="U503" s="18"/>
      <c r="V503" s="18"/>
      <c r="W503" s="18"/>
      <c r="X503" s="18"/>
      <c r="Y503" s="18"/>
      <c r="Z503" s="18"/>
      <c r="AA503" s="18"/>
      <c r="AB503" s="18"/>
      <c r="AC503" s="18"/>
      <c r="AD503" s="18"/>
    </row>
    <row r="504" ht="24.75" customHeight="1">
      <c r="A504" s="19"/>
      <c r="B504" s="18"/>
      <c r="C504" s="18"/>
      <c r="D504" s="18"/>
      <c r="E504" s="18"/>
      <c r="F504" s="18"/>
      <c r="G504" s="14"/>
      <c r="H504" s="14"/>
      <c r="I504" s="14"/>
      <c r="J504" s="14"/>
      <c r="K504" s="14"/>
      <c r="L504" s="14"/>
      <c r="M504" s="18"/>
      <c r="N504" s="14"/>
      <c r="O504" s="14"/>
      <c r="P504" s="14"/>
      <c r="Q504" s="14"/>
      <c r="R504" s="14"/>
      <c r="S504" s="14"/>
      <c r="T504" s="14"/>
      <c r="U504" s="18"/>
      <c r="V504" s="18"/>
      <c r="W504" s="18"/>
      <c r="X504" s="18"/>
      <c r="Y504" s="18"/>
      <c r="Z504" s="18"/>
      <c r="AA504" s="18"/>
      <c r="AB504" s="18"/>
      <c r="AC504" s="18"/>
      <c r="AD504" s="18"/>
    </row>
    <row r="505" ht="24.75" customHeight="1">
      <c r="A505" s="19"/>
      <c r="B505" s="18"/>
      <c r="C505" s="18"/>
      <c r="D505" s="18"/>
      <c r="E505" s="18"/>
      <c r="F505" s="18"/>
      <c r="G505" s="14"/>
      <c r="H505" s="14"/>
      <c r="I505" s="14"/>
      <c r="J505" s="14"/>
      <c r="K505" s="14"/>
      <c r="L505" s="14"/>
      <c r="M505" s="18"/>
      <c r="N505" s="14"/>
      <c r="O505" s="14"/>
      <c r="P505" s="14"/>
      <c r="Q505" s="14"/>
      <c r="R505" s="14"/>
      <c r="S505" s="14"/>
      <c r="T505" s="14"/>
      <c r="U505" s="18"/>
      <c r="V505" s="18"/>
      <c r="W505" s="18"/>
      <c r="X505" s="18"/>
      <c r="Y505" s="18"/>
      <c r="Z505" s="18"/>
      <c r="AA505" s="18"/>
      <c r="AB505" s="18"/>
      <c r="AC505" s="18"/>
      <c r="AD505" s="18"/>
    </row>
    <row r="506" ht="24.75" customHeight="1">
      <c r="A506" s="19"/>
      <c r="B506" s="18"/>
      <c r="C506" s="18"/>
      <c r="D506" s="18"/>
      <c r="E506" s="18"/>
      <c r="F506" s="18"/>
      <c r="G506" s="14"/>
      <c r="H506" s="14"/>
      <c r="I506" s="14"/>
      <c r="J506" s="14"/>
      <c r="K506" s="14"/>
      <c r="L506" s="14"/>
      <c r="M506" s="18"/>
      <c r="N506" s="14"/>
      <c r="O506" s="14"/>
      <c r="P506" s="14"/>
      <c r="Q506" s="14"/>
      <c r="R506" s="14"/>
      <c r="S506" s="14"/>
      <c r="T506" s="14"/>
      <c r="U506" s="18"/>
      <c r="V506" s="18"/>
      <c r="W506" s="18"/>
      <c r="X506" s="18"/>
      <c r="Y506" s="18"/>
      <c r="Z506" s="18"/>
      <c r="AA506" s="18"/>
      <c r="AB506" s="18"/>
      <c r="AC506" s="18"/>
      <c r="AD506" s="18"/>
    </row>
    <row r="507" ht="24.75" customHeight="1">
      <c r="A507" s="19"/>
      <c r="B507" s="18"/>
      <c r="C507" s="18"/>
      <c r="D507" s="18"/>
      <c r="E507" s="18"/>
      <c r="F507" s="18"/>
      <c r="G507" s="14"/>
      <c r="H507" s="14"/>
      <c r="I507" s="14"/>
      <c r="J507" s="14"/>
      <c r="K507" s="14"/>
      <c r="L507" s="14"/>
      <c r="M507" s="18"/>
      <c r="N507" s="14"/>
      <c r="O507" s="14"/>
      <c r="P507" s="14"/>
      <c r="Q507" s="14"/>
      <c r="R507" s="14"/>
      <c r="S507" s="14"/>
      <c r="T507" s="14"/>
      <c r="U507" s="18"/>
      <c r="V507" s="18"/>
      <c r="W507" s="18"/>
      <c r="X507" s="18"/>
      <c r="Y507" s="18"/>
      <c r="Z507" s="18"/>
      <c r="AA507" s="18"/>
      <c r="AB507" s="18"/>
      <c r="AC507" s="18"/>
      <c r="AD507" s="18"/>
    </row>
    <row r="508" ht="24.75" customHeight="1">
      <c r="A508" s="19"/>
      <c r="B508" s="18"/>
      <c r="C508" s="18"/>
      <c r="D508" s="18"/>
      <c r="E508" s="18"/>
      <c r="F508" s="18"/>
      <c r="G508" s="14"/>
      <c r="H508" s="14"/>
      <c r="I508" s="14"/>
      <c r="J508" s="14"/>
      <c r="K508" s="14"/>
      <c r="L508" s="14"/>
      <c r="M508" s="18"/>
      <c r="N508" s="14"/>
      <c r="O508" s="14"/>
      <c r="P508" s="14"/>
      <c r="Q508" s="14"/>
      <c r="R508" s="14"/>
      <c r="S508" s="14"/>
      <c r="T508" s="14"/>
      <c r="U508" s="18"/>
      <c r="V508" s="18"/>
      <c r="W508" s="18"/>
      <c r="X508" s="18"/>
      <c r="Y508" s="18"/>
      <c r="Z508" s="18"/>
      <c r="AA508" s="18"/>
      <c r="AB508" s="18"/>
      <c r="AC508" s="18"/>
      <c r="AD508" s="18"/>
    </row>
    <row r="509" ht="24.75" customHeight="1">
      <c r="A509" s="19"/>
      <c r="B509" s="18"/>
      <c r="C509" s="18"/>
      <c r="D509" s="18"/>
      <c r="E509" s="18"/>
      <c r="F509" s="18"/>
      <c r="G509" s="14"/>
      <c r="H509" s="14"/>
      <c r="I509" s="14"/>
      <c r="J509" s="14"/>
      <c r="K509" s="14"/>
      <c r="L509" s="14"/>
      <c r="M509" s="18"/>
      <c r="N509" s="14"/>
      <c r="O509" s="14"/>
      <c r="P509" s="14"/>
      <c r="Q509" s="14"/>
      <c r="R509" s="14"/>
      <c r="S509" s="14"/>
      <c r="T509" s="14"/>
      <c r="U509" s="18"/>
      <c r="V509" s="18"/>
      <c r="W509" s="18"/>
      <c r="X509" s="18"/>
      <c r="Y509" s="18"/>
      <c r="Z509" s="18"/>
      <c r="AA509" s="18"/>
      <c r="AB509" s="18"/>
      <c r="AC509" s="18"/>
      <c r="AD509" s="18"/>
    </row>
    <row r="510" ht="24.75" customHeight="1">
      <c r="A510" s="19"/>
      <c r="B510" s="18"/>
      <c r="C510" s="18"/>
      <c r="D510" s="18"/>
      <c r="E510" s="18"/>
      <c r="F510" s="18"/>
      <c r="G510" s="14"/>
      <c r="H510" s="14"/>
      <c r="I510" s="14"/>
      <c r="J510" s="14"/>
      <c r="K510" s="14"/>
      <c r="L510" s="14"/>
      <c r="M510" s="18"/>
      <c r="N510" s="14"/>
      <c r="O510" s="14"/>
      <c r="P510" s="14"/>
      <c r="Q510" s="14"/>
      <c r="R510" s="14"/>
      <c r="S510" s="14"/>
      <c r="T510" s="14"/>
      <c r="U510" s="18"/>
      <c r="V510" s="18"/>
      <c r="W510" s="18"/>
      <c r="X510" s="18"/>
      <c r="Y510" s="18"/>
      <c r="Z510" s="18"/>
      <c r="AA510" s="18"/>
      <c r="AB510" s="18"/>
      <c r="AC510" s="18"/>
      <c r="AD510" s="18"/>
    </row>
    <row r="511" ht="24.75" customHeight="1">
      <c r="A511" s="19"/>
      <c r="B511" s="18"/>
      <c r="C511" s="18"/>
      <c r="D511" s="18"/>
      <c r="E511" s="18"/>
      <c r="F511" s="18"/>
      <c r="G511" s="14"/>
      <c r="H511" s="14"/>
      <c r="I511" s="14"/>
      <c r="J511" s="14"/>
      <c r="K511" s="14"/>
      <c r="L511" s="14"/>
      <c r="M511" s="18"/>
      <c r="N511" s="14"/>
      <c r="O511" s="14"/>
      <c r="P511" s="14"/>
      <c r="Q511" s="14"/>
      <c r="R511" s="14"/>
      <c r="S511" s="14"/>
      <c r="T511" s="14"/>
      <c r="U511" s="18"/>
      <c r="V511" s="18"/>
      <c r="W511" s="18"/>
      <c r="X511" s="18"/>
      <c r="Y511" s="18"/>
      <c r="Z511" s="18"/>
      <c r="AA511" s="18"/>
      <c r="AB511" s="18"/>
      <c r="AC511" s="18"/>
      <c r="AD511" s="18"/>
    </row>
    <row r="512" ht="24.75" customHeight="1">
      <c r="A512" s="19"/>
      <c r="B512" s="18"/>
      <c r="C512" s="18"/>
      <c r="D512" s="18"/>
      <c r="E512" s="18"/>
      <c r="F512" s="18"/>
      <c r="G512" s="14"/>
      <c r="H512" s="14"/>
      <c r="I512" s="14"/>
      <c r="J512" s="14"/>
      <c r="K512" s="14"/>
      <c r="L512" s="14"/>
      <c r="M512" s="18"/>
      <c r="N512" s="14"/>
      <c r="O512" s="14"/>
      <c r="P512" s="14"/>
      <c r="Q512" s="14"/>
      <c r="R512" s="14"/>
      <c r="S512" s="14"/>
      <c r="T512" s="14"/>
      <c r="U512" s="18"/>
      <c r="V512" s="18"/>
      <c r="W512" s="18"/>
      <c r="X512" s="18"/>
      <c r="Y512" s="18"/>
      <c r="Z512" s="18"/>
      <c r="AA512" s="18"/>
      <c r="AB512" s="18"/>
      <c r="AC512" s="18"/>
      <c r="AD512" s="18"/>
    </row>
    <row r="513" ht="24.75" customHeight="1">
      <c r="A513" s="19"/>
      <c r="B513" s="18"/>
      <c r="C513" s="18"/>
      <c r="D513" s="18"/>
      <c r="E513" s="18"/>
      <c r="F513" s="18"/>
      <c r="G513" s="14"/>
      <c r="H513" s="14"/>
      <c r="I513" s="14"/>
      <c r="J513" s="14"/>
      <c r="K513" s="14"/>
      <c r="L513" s="14"/>
      <c r="M513" s="18"/>
      <c r="N513" s="14"/>
      <c r="O513" s="14"/>
      <c r="P513" s="14"/>
      <c r="Q513" s="14"/>
      <c r="R513" s="14"/>
      <c r="S513" s="14"/>
      <c r="T513" s="14"/>
      <c r="U513" s="18"/>
      <c r="V513" s="18"/>
      <c r="W513" s="18"/>
      <c r="X513" s="18"/>
      <c r="Y513" s="18"/>
      <c r="Z513" s="18"/>
      <c r="AA513" s="18"/>
      <c r="AB513" s="18"/>
      <c r="AC513" s="18"/>
      <c r="AD513" s="18"/>
    </row>
    <row r="514" ht="24.75" customHeight="1">
      <c r="A514" s="19"/>
      <c r="B514" s="18"/>
      <c r="C514" s="18"/>
      <c r="D514" s="18"/>
      <c r="E514" s="18"/>
      <c r="F514" s="18"/>
      <c r="G514" s="14"/>
      <c r="H514" s="14"/>
      <c r="I514" s="14"/>
      <c r="J514" s="14"/>
      <c r="K514" s="14"/>
      <c r="L514" s="14"/>
      <c r="M514" s="18"/>
      <c r="N514" s="14"/>
      <c r="O514" s="14"/>
      <c r="P514" s="14"/>
      <c r="Q514" s="14"/>
      <c r="R514" s="14"/>
      <c r="S514" s="14"/>
      <c r="T514" s="14"/>
      <c r="U514" s="18"/>
      <c r="V514" s="18"/>
      <c r="W514" s="18"/>
      <c r="X514" s="18"/>
      <c r="Y514" s="18"/>
      <c r="Z514" s="18"/>
      <c r="AA514" s="18"/>
      <c r="AB514" s="18"/>
      <c r="AC514" s="18"/>
      <c r="AD514" s="18"/>
    </row>
    <row r="515" ht="24.75" customHeight="1">
      <c r="A515" s="19"/>
      <c r="B515" s="18"/>
      <c r="C515" s="18"/>
      <c r="D515" s="18"/>
      <c r="E515" s="18"/>
      <c r="F515" s="18"/>
      <c r="G515" s="14"/>
      <c r="H515" s="14"/>
      <c r="I515" s="14"/>
      <c r="J515" s="14"/>
      <c r="K515" s="14"/>
      <c r="L515" s="14"/>
      <c r="M515" s="18"/>
      <c r="N515" s="14"/>
      <c r="O515" s="14"/>
      <c r="P515" s="14"/>
      <c r="Q515" s="14"/>
      <c r="R515" s="14"/>
      <c r="S515" s="14"/>
      <c r="T515" s="14"/>
      <c r="U515" s="18"/>
      <c r="V515" s="18"/>
      <c r="W515" s="18"/>
      <c r="X515" s="18"/>
      <c r="Y515" s="18"/>
      <c r="Z515" s="18"/>
      <c r="AA515" s="18"/>
      <c r="AB515" s="18"/>
      <c r="AC515" s="18"/>
      <c r="AD515" s="18"/>
    </row>
    <row r="516" ht="24.75" customHeight="1">
      <c r="A516" s="19"/>
      <c r="B516" s="18"/>
      <c r="C516" s="18"/>
      <c r="D516" s="18"/>
      <c r="E516" s="18"/>
      <c r="F516" s="18"/>
      <c r="G516" s="14"/>
      <c r="H516" s="14"/>
      <c r="I516" s="14"/>
      <c r="J516" s="14"/>
      <c r="K516" s="14"/>
      <c r="L516" s="14"/>
      <c r="M516" s="18"/>
      <c r="N516" s="14"/>
      <c r="O516" s="14"/>
      <c r="P516" s="14"/>
      <c r="Q516" s="14"/>
      <c r="R516" s="14"/>
      <c r="S516" s="14"/>
      <c r="T516" s="14"/>
      <c r="U516" s="18"/>
      <c r="V516" s="18"/>
      <c r="W516" s="18"/>
      <c r="X516" s="18"/>
      <c r="Y516" s="18"/>
      <c r="Z516" s="18"/>
      <c r="AA516" s="18"/>
      <c r="AB516" s="18"/>
      <c r="AC516" s="18"/>
      <c r="AD516" s="18"/>
    </row>
    <row r="517" ht="24.75" customHeight="1">
      <c r="A517" s="19"/>
      <c r="B517" s="18"/>
      <c r="C517" s="18"/>
      <c r="D517" s="18"/>
      <c r="E517" s="18"/>
      <c r="F517" s="18"/>
      <c r="G517" s="14"/>
      <c r="H517" s="14"/>
      <c r="I517" s="14"/>
      <c r="J517" s="14"/>
      <c r="K517" s="14"/>
      <c r="L517" s="14"/>
      <c r="M517" s="18"/>
      <c r="N517" s="14"/>
      <c r="O517" s="14"/>
      <c r="P517" s="14"/>
      <c r="Q517" s="14"/>
      <c r="R517" s="14"/>
      <c r="S517" s="14"/>
      <c r="T517" s="14"/>
      <c r="U517" s="18"/>
      <c r="V517" s="18"/>
      <c r="W517" s="18"/>
      <c r="X517" s="18"/>
      <c r="Y517" s="18"/>
      <c r="Z517" s="18"/>
      <c r="AA517" s="18"/>
      <c r="AB517" s="18"/>
      <c r="AC517" s="18"/>
      <c r="AD517" s="18"/>
    </row>
    <row r="518" ht="24.75" customHeight="1">
      <c r="A518" s="19"/>
      <c r="B518" s="18"/>
      <c r="C518" s="18"/>
      <c r="D518" s="18"/>
      <c r="E518" s="18"/>
      <c r="F518" s="18"/>
      <c r="G518" s="14"/>
      <c r="H518" s="14"/>
      <c r="I518" s="14"/>
      <c r="J518" s="14"/>
      <c r="K518" s="14"/>
      <c r="L518" s="14"/>
      <c r="M518" s="18"/>
      <c r="N518" s="14"/>
      <c r="O518" s="14"/>
      <c r="P518" s="14"/>
      <c r="Q518" s="14"/>
      <c r="R518" s="14"/>
      <c r="S518" s="14"/>
      <c r="T518" s="14"/>
      <c r="U518" s="18"/>
      <c r="V518" s="18"/>
      <c r="W518" s="18"/>
      <c r="X518" s="18"/>
      <c r="Y518" s="18"/>
      <c r="Z518" s="18"/>
      <c r="AA518" s="18"/>
      <c r="AB518" s="18"/>
      <c r="AC518" s="18"/>
      <c r="AD518" s="18"/>
    </row>
    <row r="519" ht="24.75" customHeight="1">
      <c r="A519" s="19"/>
      <c r="B519" s="18"/>
      <c r="C519" s="18"/>
      <c r="D519" s="18"/>
      <c r="E519" s="18"/>
      <c r="F519" s="18"/>
      <c r="G519" s="14"/>
      <c r="H519" s="14"/>
      <c r="I519" s="14"/>
      <c r="J519" s="14"/>
      <c r="K519" s="14"/>
      <c r="L519" s="14"/>
      <c r="M519" s="18"/>
      <c r="N519" s="14"/>
      <c r="O519" s="14"/>
      <c r="P519" s="14"/>
      <c r="Q519" s="14"/>
      <c r="R519" s="14"/>
      <c r="S519" s="14"/>
      <c r="T519" s="14"/>
      <c r="U519" s="18"/>
      <c r="V519" s="18"/>
      <c r="W519" s="18"/>
      <c r="X519" s="18"/>
      <c r="Y519" s="18"/>
      <c r="Z519" s="18"/>
      <c r="AA519" s="18"/>
      <c r="AB519" s="18"/>
      <c r="AC519" s="18"/>
      <c r="AD519" s="18"/>
    </row>
    <row r="520" ht="24.75" customHeight="1">
      <c r="A520" s="19"/>
      <c r="B520" s="18"/>
      <c r="C520" s="18"/>
      <c r="D520" s="18"/>
      <c r="E520" s="18"/>
      <c r="F520" s="18"/>
      <c r="G520" s="14"/>
      <c r="H520" s="14"/>
      <c r="I520" s="14"/>
      <c r="J520" s="14"/>
      <c r="K520" s="14"/>
      <c r="L520" s="14"/>
      <c r="M520" s="18"/>
      <c r="N520" s="14"/>
      <c r="O520" s="14"/>
      <c r="P520" s="14"/>
      <c r="Q520" s="14"/>
      <c r="R520" s="14"/>
      <c r="S520" s="14"/>
      <c r="T520" s="14"/>
      <c r="U520" s="18"/>
      <c r="V520" s="18"/>
      <c r="W520" s="18"/>
      <c r="X520" s="18"/>
      <c r="Y520" s="18"/>
      <c r="Z520" s="18"/>
      <c r="AA520" s="18"/>
      <c r="AB520" s="18"/>
      <c r="AC520" s="18"/>
      <c r="AD520" s="18"/>
    </row>
    <row r="521" ht="24.75" customHeight="1">
      <c r="A521" s="19"/>
      <c r="B521" s="18"/>
      <c r="C521" s="18"/>
      <c r="D521" s="18"/>
      <c r="E521" s="18"/>
      <c r="F521" s="18"/>
      <c r="G521" s="14"/>
      <c r="H521" s="14"/>
      <c r="I521" s="14"/>
      <c r="J521" s="14"/>
      <c r="K521" s="14"/>
      <c r="L521" s="14"/>
      <c r="M521" s="18"/>
      <c r="N521" s="14"/>
      <c r="O521" s="14"/>
      <c r="P521" s="14"/>
      <c r="Q521" s="14"/>
      <c r="R521" s="14"/>
      <c r="S521" s="14"/>
      <c r="T521" s="14"/>
      <c r="U521" s="18"/>
      <c r="V521" s="18"/>
      <c r="W521" s="18"/>
      <c r="X521" s="18"/>
      <c r="Y521" s="18"/>
      <c r="Z521" s="18"/>
      <c r="AA521" s="18"/>
      <c r="AB521" s="18"/>
      <c r="AC521" s="18"/>
      <c r="AD521" s="18"/>
    </row>
    <row r="522" ht="24.75" customHeight="1">
      <c r="A522" s="19"/>
      <c r="B522" s="18"/>
      <c r="C522" s="18"/>
      <c r="D522" s="18"/>
      <c r="E522" s="18"/>
      <c r="F522" s="18"/>
      <c r="G522" s="14"/>
      <c r="H522" s="14"/>
      <c r="I522" s="14"/>
      <c r="J522" s="14"/>
      <c r="K522" s="14"/>
      <c r="L522" s="14"/>
      <c r="M522" s="18"/>
      <c r="N522" s="14"/>
      <c r="O522" s="14"/>
      <c r="P522" s="14"/>
      <c r="Q522" s="14"/>
      <c r="R522" s="14"/>
      <c r="S522" s="14"/>
      <c r="T522" s="14"/>
      <c r="U522" s="18"/>
      <c r="V522" s="18"/>
      <c r="W522" s="18"/>
      <c r="X522" s="18"/>
      <c r="Y522" s="18"/>
      <c r="Z522" s="18"/>
      <c r="AA522" s="18"/>
      <c r="AB522" s="18"/>
      <c r="AC522" s="18"/>
      <c r="AD522" s="18"/>
    </row>
    <row r="523" ht="24.75" customHeight="1">
      <c r="A523" s="19"/>
      <c r="B523" s="18"/>
      <c r="C523" s="18"/>
      <c r="D523" s="18"/>
      <c r="E523" s="18"/>
      <c r="F523" s="18"/>
      <c r="G523" s="14"/>
      <c r="H523" s="14"/>
      <c r="I523" s="14"/>
      <c r="J523" s="14"/>
      <c r="K523" s="14"/>
      <c r="L523" s="14"/>
      <c r="M523" s="18"/>
      <c r="N523" s="14"/>
      <c r="O523" s="14"/>
      <c r="P523" s="14"/>
      <c r="Q523" s="14"/>
      <c r="R523" s="14"/>
      <c r="S523" s="14"/>
      <c r="T523" s="14"/>
      <c r="U523" s="18"/>
      <c r="V523" s="18"/>
      <c r="W523" s="18"/>
      <c r="X523" s="18"/>
      <c r="Y523" s="18"/>
      <c r="Z523" s="18"/>
      <c r="AA523" s="18"/>
      <c r="AB523" s="18"/>
      <c r="AC523" s="18"/>
      <c r="AD523" s="18"/>
    </row>
    <row r="524" ht="24.75" customHeight="1">
      <c r="A524" s="19"/>
      <c r="B524" s="18"/>
      <c r="C524" s="18"/>
      <c r="D524" s="18"/>
      <c r="E524" s="18"/>
      <c r="F524" s="18"/>
      <c r="G524" s="14"/>
      <c r="H524" s="14"/>
      <c r="I524" s="14"/>
      <c r="J524" s="14"/>
      <c r="K524" s="14"/>
      <c r="L524" s="14"/>
      <c r="M524" s="18"/>
      <c r="N524" s="14"/>
      <c r="O524" s="14"/>
      <c r="P524" s="14"/>
      <c r="Q524" s="14"/>
      <c r="R524" s="14"/>
      <c r="S524" s="14"/>
      <c r="T524" s="14"/>
      <c r="U524" s="18"/>
      <c r="V524" s="18"/>
      <c r="W524" s="18"/>
      <c r="X524" s="18"/>
      <c r="Y524" s="18"/>
      <c r="Z524" s="18"/>
      <c r="AA524" s="18"/>
      <c r="AB524" s="18"/>
      <c r="AC524" s="18"/>
      <c r="AD524" s="18"/>
    </row>
    <row r="525" ht="24.75" customHeight="1">
      <c r="A525" s="19"/>
      <c r="B525" s="18"/>
      <c r="C525" s="18"/>
      <c r="D525" s="18"/>
      <c r="E525" s="18"/>
      <c r="F525" s="18"/>
      <c r="G525" s="14"/>
      <c r="H525" s="14"/>
      <c r="I525" s="14"/>
      <c r="J525" s="14"/>
      <c r="K525" s="14"/>
      <c r="L525" s="14"/>
      <c r="M525" s="18"/>
      <c r="N525" s="14"/>
      <c r="O525" s="14"/>
      <c r="P525" s="14"/>
      <c r="Q525" s="14"/>
      <c r="R525" s="14"/>
      <c r="S525" s="14"/>
      <c r="T525" s="14"/>
      <c r="U525" s="18"/>
      <c r="V525" s="18"/>
      <c r="W525" s="18"/>
      <c r="X525" s="18"/>
      <c r="Y525" s="18"/>
      <c r="Z525" s="18"/>
      <c r="AA525" s="18"/>
      <c r="AB525" s="18"/>
      <c r="AC525" s="18"/>
      <c r="AD525" s="18"/>
    </row>
    <row r="526" ht="24.75" customHeight="1">
      <c r="A526" s="19"/>
      <c r="B526" s="18"/>
      <c r="C526" s="18"/>
      <c r="D526" s="18"/>
      <c r="E526" s="18"/>
      <c r="F526" s="18"/>
      <c r="G526" s="14"/>
      <c r="H526" s="14"/>
      <c r="I526" s="14"/>
      <c r="J526" s="14"/>
      <c r="K526" s="14"/>
      <c r="L526" s="14"/>
      <c r="M526" s="18"/>
      <c r="N526" s="14"/>
      <c r="O526" s="14"/>
      <c r="P526" s="14"/>
      <c r="Q526" s="14"/>
      <c r="R526" s="14"/>
      <c r="S526" s="14"/>
      <c r="T526" s="14"/>
      <c r="U526" s="18"/>
      <c r="V526" s="18"/>
      <c r="W526" s="18"/>
      <c r="X526" s="18"/>
      <c r="Y526" s="18"/>
      <c r="Z526" s="18"/>
      <c r="AA526" s="18"/>
      <c r="AB526" s="18"/>
      <c r="AC526" s="18"/>
      <c r="AD526" s="18"/>
    </row>
    <row r="527" ht="24.75" customHeight="1">
      <c r="A527" s="19"/>
      <c r="B527" s="18"/>
      <c r="C527" s="18"/>
      <c r="D527" s="18"/>
      <c r="E527" s="18"/>
      <c r="F527" s="18"/>
      <c r="G527" s="14"/>
      <c r="H527" s="14"/>
      <c r="I527" s="14"/>
      <c r="J527" s="14"/>
      <c r="K527" s="14"/>
      <c r="L527" s="14"/>
      <c r="M527" s="18"/>
      <c r="N527" s="14"/>
      <c r="O527" s="14"/>
      <c r="P527" s="14"/>
      <c r="Q527" s="14"/>
      <c r="R527" s="14"/>
      <c r="S527" s="14"/>
      <c r="T527" s="14"/>
      <c r="U527" s="18"/>
      <c r="V527" s="18"/>
      <c r="W527" s="18"/>
      <c r="X527" s="18"/>
      <c r="Y527" s="18"/>
      <c r="Z527" s="18"/>
      <c r="AA527" s="18"/>
      <c r="AB527" s="18"/>
      <c r="AC527" s="18"/>
      <c r="AD527" s="18"/>
    </row>
    <row r="528" ht="24.75" customHeight="1">
      <c r="A528" s="19"/>
      <c r="B528" s="18"/>
      <c r="C528" s="18"/>
      <c r="D528" s="18"/>
      <c r="E528" s="18"/>
      <c r="F528" s="18"/>
      <c r="G528" s="14"/>
      <c r="H528" s="14"/>
      <c r="I528" s="14"/>
      <c r="J528" s="14"/>
      <c r="K528" s="14"/>
      <c r="L528" s="14"/>
      <c r="M528" s="18"/>
      <c r="N528" s="14"/>
      <c r="O528" s="14"/>
      <c r="P528" s="14"/>
      <c r="Q528" s="14"/>
      <c r="R528" s="14"/>
      <c r="S528" s="14"/>
      <c r="T528" s="14"/>
      <c r="U528" s="18"/>
      <c r="V528" s="18"/>
      <c r="W528" s="18"/>
      <c r="X528" s="18"/>
      <c r="Y528" s="18"/>
      <c r="Z528" s="18"/>
      <c r="AA528" s="18"/>
      <c r="AB528" s="18"/>
      <c r="AC528" s="18"/>
      <c r="AD528" s="18"/>
    </row>
    <row r="529" ht="24.75" customHeight="1">
      <c r="A529" s="19"/>
      <c r="B529" s="18"/>
      <c r="C529" s="18"/>
      <c r="D529" s="18"/>
      <c r="E529" s="18"/>
      <c r="F529" s="18"/>
      <c r="G529" s="14"/>
      <c r="H529" s="14"/>
      <c r="I529" s="14"/>
      <c r="J529" s="14"/>
      <c r="K529" s="14"/>
      <c r="L529" s="14"/>
      <c r="M529" s="18"/>
      <c r="N529" s="14"/>
      <c r="O529" s="14"/>
      <c r="P529" s="14"/>
      <c r="Q529" s="14"/>
      <c r="R529" s="14"/>
      <c r="S529" s="14"/>
      <c r="T529" s="14"/>
      <c r="U529" s="18"/>
      <c r="V529" s="18"/>
      <c r="W529" s="18"/>
      <c r="X529" s="18"/>
      <c r="Y529" s="18"/>
      <c r="Z529" s="18"/>
      <c r="AA529" s="18"/>
      <c r="AB529" s="18"/>
      <c r="AC529" s="18"/>
      <c r="AD529" s="18"/>
    </row>
    <row r="530" ht="24.75" customHeight="1">
      <c r="A530" s="19"/>
      <c r="B530" s="18"/>
      <c r="C530" s="18"/>
      <c r="D530" s="18"/>
      <c r="E530" s="18"/>
      <c r="F530" s="18"/>
      <c r="G530" s="14"/>
      <c r="H530" s="14"/>
      <c r="I530" s="14"/>
      <c r="J530" s="14"/>
      <c r="K530" s="14"/>
      <c r="L530" s="14"/>
      <c r="M530" s="18"/>
      <c r="N530" s="14"/>
      <c r="O530" s="14"/>
      <c r="P530" s="14"/>
      <c r="Q530" s="14"/>
      <c r="R530" s="14"/>
      <c r="S530" s="14"/>
      <c r="T530" s="14"/>
      <c r="U530" s="18"/>
      <c r="V530" s="18"/>
      <c r="W530" s="18"/>
      <c r="X530" s="18"/>
      <c r="Y530" s="18"/>
      <c r="Z530" s="18"/>
      <c r="AA530" s="18"/>
      <c r="AB530" s="18"/>
      <c r="AC530" s="18"/>
      <c r="AD530" s="18"/>
    </row>
    <row r="531" ht="24.75" customHeight="1">
      <c r="A531" s="19"/>
      <c r="B531" s="18"/>
      <c r="C531" s="18"/>
      <c r="D531" s="18"/>
      <c r="E531" s="18"/>
      <c r="F531" s="18"/>
      <c r="G531" s="14"/>
      <c r="H531" s="14"/>
      <c r="I531" s="14"/>
      <c r="J531" s="14"/>
      <c r="K531" s="14"/>
      <c r="L531" s="14"/>
      <c r="M531" s="18"/>
      <c r="N531" s="14"/>
      <c r="O531" s="14"/>
      <c r="P531" s="14"/>
      <c r="Q531" s="14"/>
      <c r="R531" s="14"/>
      <c r="S531" s="14"/>
      <c r="T531" s="14"/>
      <c r="U531" s="18"/>
      <c r="V531" s="18"/>
      <c r="W531" s="18"/>
      <c r="X531" s="18"/>
      <c r="Y531" s="18"/>
      <c r="Z531" s="18"/>
      <c r="AA531" s="18"/>
      <c r="AB531" s="18"/>
      <c r="AC531" s="18"/>
      <c r="AD531" s="18"/>
    </row>
    <row r="532" ht="24.75" customHeight="1">
      <c r="A532" s="19"/>
      <c r="B532" s="18"/>
      <c r="C532" s="18"/>
      <c r="D532" s="18"/>
      <c r="E532" s="18"/>
      <c r="F532" s="18"/>
      <c r="G532" s="14"/>
      <c r="H532" s="14"/>
      <c r="I532" s="14"/>
      <c r="J532" s="14"/>
      <c r="K532" s="14"/>
      <c r="L532" s="14"/>
      <c r="M532" s="18"/>
      <c r="N532" s="14"/>
      <c r="O532" s="14"/>
      <c r="P532" s="14"/>
      <c r="Q532" s="14"/>
      <c r="R532" s="14"/>
      <c r="S532" s="14"/>
      <c r="T532" s="14"/>
      <c r="U532" s="18"/>
      <c r="V532" s="18"/>
      <c r="W532" s="18"/>
      <c r="X532" s="18"/>
      <c r="Y532" s="18"/>
      <c r="Z532" s="18"/>
      <c r="AA532" s="18"/>
      <c r="AB532" s="18"/>
      <c r="AC532" s="18"/>
      <c r="AD532" s="18"/>
    </row>
    <row r="533" ht="24.75" customHeight="1">
      <c r="A533" s="19"/>
      <c r="B533" s="18"/>
      <c r="C533" s="18"/>
      <c r="D533" s="18"/>
      <c r="E533" s="18"/>
      <c r="F533" s="18"/>
      <c r="G533" s="14"/>
      <c r="H533" s="14"/>
      <c r="I533" s="14"/>
      <c r="J533" s="14"/>
      <c r="K533" s="14"/>
      <c r="L533" s="14"/>
      <c r="M533" s="18"/>
      <c r="N533" s="14"/>
      <c r="O533" s="14"/>
      <c r="P533" s="14"/>
      <c r="Q533" s="14"/>
      <c r="R533" s="14"/>
      <c r="S533" s="14"/>
      <c r="T533" s="14"/>
      <c r="U533" s="18"/>
      <c r="V533" s="18"/>
      <c r="W533" s="18"/>
      <c r="X533" s="18"/>
      <c r="Y533" s="18"/>
      <c r="Z533" s="18"/>
      <c r="AA533" s="18"/>
      <c r="AB533" s="18"/>
      <c r="AC533" s="18"/>
      <c r="AD533" s="18"/>
    </row>
    <row r="534" ht="24.75" customHeight="1">
      <c r="A534" s="19"/>
      <c r="B534" s="18"/>
      <c r="C534" s="18"/>
      <c r="D534" s="18"/>
      <c r="E534" s="18"/>
      <c r="F534" s="18"/>
      <c r="G534" s="14"/>
      <c r="H534" s="14"/>
      <c r="I534" s="14"/>
      <c r="J534" s="14"/>
      <c r="K534" s="14"/>
      <c r="L534" s="14"/>
      <c r="M534" s="18"/>
      <c r="N534" s="14"/>
      <c r="O534" s="14"/>
      <c r="P534" s="14"/>
      <c r="Q534" s="14"/>
      <c r="R534" s="14"/>
      <c r="S534" s="14"/>
      <c r="T534" s="14"/>
      <c r="U534" s="18"/>
      <c r="V534" s="18"/>
      <c r="W534" s="18"/>
      <c r="X534" s="18"/>
      <c r="Y534" s="18"/>
      <c r="Z534" s="18"/>
      <c r="AA534" s="18"/>
      <c r="AB534" s="18"/>
      <c r="AC534" s="18"/>
      <c r="AD534" s="18"/>
    </row>
    <row r="535" ht="24.75" customHeight="1">
      <c r="A535" s="19"/>
      <c r="B535" s="18"/>
      <c r="C535" s="18"/>
      <c r="D535" s="18"/>
      <c r="E535" s="18"/>
      <c r="F535" s="18"/>
      <c r="G535" s="14"/>
      <c r="H535" s="14"/>
      <c r="I535" s="14"/>
      <c r="J535" s="14"/>
      <c r="K535" s="14"/>
      <c r="L535" s="14"/>
      <c r="M535" s="18"/>
      <c r="N535" s="14"/>
      <c r="O535" s="14"/>
      <c r="P535" s="14"/>
      <c r="Q535" s="14"/>
      <c r="R535" s="14"/>
      <c r="S535" s="14"/>
      <c r="T535" s="14"/>
      <c r="U535" s="18"/>
      <c r="V535" s="18"/>
      <c r="W535" s="18"/>
      <c r="X535" s="18"/>
      <c r="Y535" s="18"/>
      <c r="Z535" s="18"/>
      <c r="AA535" s="18"/>
      <c r="AB535" s="18"/>
      <c r="AC535" s="18"/>
      <c r="AD535" s="18"/>
    </row>
    <row r="536" ht="24.75" customHeight="1">
      <c r="A536" s="19"/>
      <c r="B536" s="18"/>
      <c r="C536" s="18"/>
      <c r="D536" s="18"/>
      <c r="E536" s="18"/>
      <c r="F536" s="18"/>
      <c r="G536" s="14"/>
      <c r="H536" s="14"/>
      <c r="I536" s="14"/>
      <c r="J536" s="14"/>
      <c r="K536" s="14"/>
      <c r="L536" s="14"/>
      <c r="M536" s="18"/>
      <c r="N536" s="14"/>
      <c r="O536" s="14"/>
      <c r="P536" s="14"/>
      <c r="Q536" s="14"/>
      <c r="R536" s="14"/>
      <c r="S536" s="14"/>
      <c r="T536" s="14"/>
      <c r="U536" s="18"/>
      <c r="V536" s="18"/>
      <c r="W536" s="18"/>
      <c r="X536" s="18"/>
      <c r="Y536" s="18"/>
      <c r="Z536" s="18"/>
      <c r="AA536" s="18"/>
      <c r="AB536" s="18"/>
      <c r="AC536" s="18"/>
      <c r="AD536" s="18"/>
    </row>
    <row r="537" ht="24.75" customHeight="1">
      <c r="A537" s="19"/>
      <c r="B537" s="18"/>
      <c r="C537" s="18"/>
      <c r="D537" s="18"/>
      <c r="E537" s="18"/>
      <c r="F537" s="18"/>
      <c r="G537" s="14"/>
      <c r="H537" s="14"/>
      <c r="I537" s="14"/>
      <c r="J537" s="14"/>
      <c r="K537" s="14"/>
      <c r="L537" s="14"/>
      <c r="M537" s="18"/>
      <c r="N537" s="14"/>
      <c r="O537" s="14"/>
      <c r="P537" s="14"/>
      <c r="Q537" s="14"/>
      <c r="R537" s="14"/>
      <c r="S537" s="14"/>
      <c r="T537" s="14"/>
      <c r="U537" s="18"/>
      <c r="V537" s="18"/>
      <c r="W537" s="18"/>
      <c r="X537" s="18"/>
      <c r="Y537" s="18"/>
      <c r="Z537" s="18"/>
      <c r="AA537" s="18"/>
      <c r="AB537" s="18"/>
      <c r="AC537" s="18"/>
      <c r="AD537" s="18"/>
    </row>
    <row r="538" ht="24.75" customHeight="1">
      <c r="A538" s="19"/>
      <c r="B538" s="18"/>
      <c r="C538" s="18"/>
      <c r="D538" s="18"/>
      <c r="E538" s="18"/>
      <c r="F538" s="18"/>
      <c r="G538" s="14"/>
      <c r="H538" s="14"/>
      <c r="I538" s="14"/>
      <c r="J538" s="14"/>
      <c r="K538" s="14"/>
      <c r="L538" s="14"/>
      <c r="M538" s="18"/>
      <c r="N538" s="14"/>
      <c r="O538" s="14"/>
      <c r="P538" s="14"/>
      <c r="Q538" s="14"/>
      <c r="R538" s="14"/>
      <c r="S538" s="14"/>
      <c r="T538" s="14"/>
      <c r="U538" s="18"/>
      <c r="V538" s="18"/>
      <c r="W538" s="18"/>
      <c r="X538" s="18"/>
      <c r="Y538" s="18"/>
      <c r="Z538" s="18"/>
      <c r="AA538" s="18"/>
      <c r="AB538" s="18"/>
      <c r="AC538" s="18"/>
      <c r="AD538" s="18"/>
    </row>
    <row r="539" ht="24.75" customHeight="1">
      <c r="A539" s="19"/>
      <c r="B539" s="18"/>
      <c r="C539" s="18"/>
      <c r="D539" s="18"/>
      <c r="E539" s="18"/>
      <c r="F539" s="18"/>
      <c r="G539" s="14"/>
      <c r="H539" s="14"/>
      <c r="I539" s="14"/>
      <c r="J539" s="14"/>
      <c r="K539" s="14"/>
      <c r="L539" s="14"/>
      <c r="M539" s="18"/>
      <c r="N539" s="14"/>
      <c r="O539" s="14"/>
      <c r="P539" s="14"/>
      <c r="Q539" s="14"/>
      <c r="R539" s="14"/>
      <c r="S539" s="14"/>
      <c r="T539" s="14"/>
      <c r="U539" s="18"/>
      <c r="V539" s="18"/>
      <c r="W539" s="18"/>
      <c r="X539" s="18"/>
      <c r="Y539" s="18"/>
      <c r="Z539" s="18"/>
      <c r="AA539" s="18"/>
      <c r="AB539" s="18"/>
      <c r="AC539" s="18"/>
      <c r="AD539" s="18"/>
    </row>
    <row r="540" ht="24.75" customHeight="1">
      <c r="A540" s="19"/>
      <c r="B540" s="18"/>
      <c r="C540" s="18"/>
      <c r="D540" s="18"/>
      <c r="E540" s="18"/>
      <c r="F540" s="18"/>
      <c r="G540" s="14"/>
      <c r="H540" s="14"/>
      <c r="I540" s="14"/>
      <c r="J540" s="14"/>
      <c r="K540" s="14"/>
      <c r="L540" s="14"/>
      <c r="M540" s="18"/>
      <c r="N540" s="14"/>
      <c r="O540" s="14"/>
      <c r="P540" s="14"/>
      <c r="Q540" s="14"/>
      <c r="R540" s="14"/>
      <c r="S540" s="14"/>
      <c r="T540" s="14"/>
      <c r="U540" s="18"/>
      <c r="V540" s="18"/>
      <c r="W540" s="18"/>
      <c r="X540" s="18"/>
      <c r="Y540" s="18"/>
      <c r="Z540" s="18"/>
      <c r="AA540" s="18"/>
      <c r="AB540" s="18"/>
      <c r="AC540" s="18"/>
      <c r="AD540" s="18"/>
    </row>
    <row r="541" ht="24.75" customHeight="1">
      <c r="A541" s="19"/>
      <c r="B541" s="18"/>
      <c r="C541" s="18"/>
      <c r="D541" s="18"/>
      <c r="E541" s="18"/>
      <c r="F541" s="18"/>
      <c r="G541" s="14"/>
      <c r="H541" s="14"/>
      <c r="I541" s="14"/>
      <c r="J541" s="14"/>
      <c r="K541" s="14"/>
      <c r="L541" s="14"/>
      <c r="M541" s="18"/>
      <c r="N541" s="14"/>
      <c r="O541" s="14"/>
      <c r="P541" s="14"/>
      <c r="Q541" s="14"/>
      <c r="R541" s="14"/>
      <c r="S541" s="14"/>
      <c r="T541" s="14"/>
      <c r="U541" s="18"/>
      <c r="V541" s="18"/>
      <c r="W541" s="18"/>
      <c r="X541" s="18"/>
      <c r="Y541" s="18"/>
      <c r="Z541" s="18"/>
      <c r="AA541" s="18"/>
      <c r="AB541" s="18"/>
      <c r="AC541" s="18"/>
      <c r="AD541" s="18"/>
    </row>
    <row r="542" ht="24.75" customHeight="1">
      <c r="A542" s="19"/>
      <c r="B542" s="18"/>
      <c r="C542" s="18"/>
      <c r="D542" s="18"/>
      <c r="E542" s="18"/>
      <c r="F542" s="18"/>
      <c r="G542" s="14"/>
      <c r="H542" s="14"/>
      <c r="I542" s="14"/>
      <c r="J542" s="14"/>
      <c r="K542" s="14"/>
      <c r="L542" s="14"/>
      <c r="M542" s="18"/>
      <c r="N542" s="14"/>
      <c r="O542" s="14"/>
      <c r="P542" s="14"/>
      <c r="Q542" s="14"/>
      <c r="R542" s="14"/>
      <c r="S542" s="14"/>
      <c r="T542" s="14"/>
      <c r="U542" s="18"/>
      <c r="V542" s="18"/>
      <c r="W542" s="18"/>
      <c r="X542" s="18"/>
      <c r="Y542" s="18"/>
      <c r="Z542" s="18"/>
      <c r="AA542" s="18"/>
      <c r="AB542" s="18"/>
      <c r="AC542" s="18"/>
      <c r="AD542" s="18"/>
    </row>
    <row r="543" ht="24.75" customHeight="1">
      <c r="A543" s="19"/>
      <c r="B543" s="18"/>
      <c r="C543" s="18"/>
      <c r="D543" s="18"/>
      <c r="E543" s="18"/>
      <c r="F543" s="18"/>
      <c r="G543" s="14"/>
      <c r="H543" s="14"/>
      <c r="I543" s="14"/>
      <c r="J543" s="14"/>
      <c r="K543" s="14"/>
      <c r="L543" s="14"/>
      <c r="M543" s="18"/>
      <c r="N543" s="14"/>
      <c r="O543" s="14"/>
      <c r="P543" s="14"/>
      <c r="Q543" s="14"/>
      <c r="R543" s="14"/>
      <c r="S543" s="14"/>
      <c r="T543" s="14"/>
      <c r="U543" s="18"/>
      <c r="V543" s="18"/>
      <c r="W543" s="18"/>
      <c r="X543" s="18"/>
      <c r="Y543" s="18"/>
      <c r="Z543" s="18"/>
      <c r="AA543" s="18"/>
      <c r="AB543" s="18"/>
      <c r="AC543" s="18"/>
      <c r="AD543" s="18"/>
    </row>
    <row r="544" ht="24.75" customHeight="1">
      <c r="A544" s="19"/>
      <c r="B544" s="18"/>
      <c r="C544" s="18"/>
      <c r="D544" s="18"/>
      <c r="E544" s="18"/>
      <c r="F544" s="18"/>
      <c r="G544" s="14"/>
      <c r="H544" s="14"/>
      <c r="I544" s="14"/>
      <c r="J544" s="14"/>
      <c r="K544" s="14"/>
      <c r="L544" s="14"/>
      <c r="M544" s="18"/>
      <c r="N544" s="14"/>
      <c r="O544" s="14"/>
      <c r="P544" s="14"/>
      <c r="Q544" s="14"/>
      <c r="R544" s="14"/>
      <c r="S544" s="14"/>
      <c r="T544" s="14"/>
      <c r="U544" s="18"/>
      <c r="V544" s="18"/>
      <c r="W544" s="18"/>
      <c r="X544" s="18"/>
      <c r="Y544" s="18"/>
      <c r="Z544" s="18"/>
      <c r="AA544" s="18"/>
      <c r="AB544" s="18"/>
      <c r="AC544" s="18"/>
      <c r="AD544" s="18"/>
    </row>
    <row r="545" ht="24.75" customHeight="1">
      <c r="A545" s="19"/>
      <c r="B545" s="18"/>
      <c r="C545" s="18"/>
      <c r="D545" s="18"/>
      <c r="E545" s="18"/>
      <c r="F545" s="18"/>
      <c r="G545" s="14"/>
      <c r="H545" s="14"/>
      <c r="I545" s="14"/>
      <c r="J545" s="14"/>
      <c r="K545" s="14"/>
      <c r="L545" s="14"/>
      <c r="M545" s="18"/>
      <c r="N545" s="14"/>
      <c r="O545" s="14"/>
      <c r="P545" s="14"/>
      <c r="Q545" s="14"/>
      <c r="R545" s="14"/>
      <c r="S545" s="14"/>
      <c r="T545" s="14"/>
      <c r="U545" s="18"/>
      <c r="V545" s="18"/>
      <c r="W545" s="18"/>
      <c r="X545" s="18"/>
      <c r="Y545" s="18"/>
      <c r="Z545" s="18"/>
      <c r="AA545" s="18"/>
      <c r="AB545" s="18"/>
      <c r="AC545" s="18"/>
      <c r="AD545" s="18"/>
    </row>
    <row r="546" ht="24.75" customHeight="1">
      <c r="A546" s="19"/>
      <c r="B546" s="18"/>
      <c r="C546" s="18"/>
      <c r="D546" s="18"/>
      <c r="E546" s="18"/>
      <c r="F546" s="18"/>
      <c r="G546" s="14"/>
      <c r="H546" s="14"/>
      <c r="I546" s="14"/>
      <c r="J546" s="14"/>
      <c r="K546" s="14"/>
      <c r="L546" s="14"/>
      <c r="M546" s="18"/>
      <c r="N546" s="14"/>
      <c r="O546" s="14"/>
      <c r="P546" s="14"/>
      <c r="Q546" s="14"/>
      <c r="R546" s="14"/>
      <c r="S546" s="14"/>
      <c r="T546" s="14"/>
      <c r="U546" s="18"/>
      <c r="V546" s="18"/>
      <c r="W546" s="18"/>
      <c r="X546" s="18"/>
      <c r="Y546" s="18"/>
      <c r="Z546" s="18"/>
      <c r="AA546" s="18"/>
      <c r="AB546" s="18"/>
      <c r="AC546" s="18"/>
      <c r="AD546" s="18"/>
    </row>
    <row r="547" ht="24.75" customHeight="1">
      <c r="A547" s="19"/>
      <c r="B547" s="18"/>
      <c r="C547" s="18"/>
      <c r="D547" s="18"/>
      <c r="E547" s="18"/>
      <c r="F547" s="18"/>
      <c r="G547" s="14"/>
      <c r="H547" s="14"/>
      <c r="I547" s="14"/>
      <c r="J547" s="14"/>
      <c r="K547" s="14"/>
      <c r="L547" s="14"/>
      <c r="M547" s="18"/>
      <c r="N547" s="14"/>
      <c r="O547" s="14"/>
      <c r="P547" s="14"/>
      <c r="Q547" s="14"/>
      <c r="R547" s="14"/>
      <c r="S547" s="14"/>
      <c r="T547" s="14"/>
      <c r="U547" s="18"/>
      <c r="V547" s="18"/>
      <c r="W547" s="18"/>
      <c r="X547" s="18"/>
      <c r="Y547" s="18"/>
      <c r="Z547" s="18"/>
      <c r="AA547" s="18"/>
      <c r="AB547" s="18"/>
      <c r="AC547" s="18"/>
      <c r="AD547" s="18"/>
    </row>
    <row r="548" ht="24.75" customHeight="1">
      <c r="A548" s="19"/>
      <c r="B548" s="18"/>
      <c r="C548" s="18"/>
      <c r="D548" s="18"/>
      <c r="E548" s="18"/>
      <c r="F548" s="18"/>
      <c r="G548" s="14"/>
      <c r="H548" s="14"/>
      <c r="I548" s="14"/>
      <c r="J548" s="14"/>
      <c r="K548" s="14"/>
      <c r="L548" s="14"/>
      <c r="M548" s="18"/>
      <c r="N548" s="14"/>
      <c r="O548" s="14"/>
      <c r="P548" s="14"/>
      <c r="Q548" s="14"/>
      <c r="R548" s="14"/>
      <c r="S548" s="14"/>
      <c r="T548" s="14"/>
      <c r="U548" s="18"/>
      <c r="V548" s="18"/>
      <c r="W548" s="18"/>
      <c r="X548" s="18"/>
      <c r="Y548" s="18"/>
      <c r="Z548" s="18"/>
      <c r="AA548" s="18"/>
      <c r="AB548" s="18"/>
      <c r="AC548" s="18"/>
      <c r="AD548" s="18"/>
    </row>
    <row r="549" ht="24.75" customHeight="1">
      <c r="A549" s="19"/>
      <c r="B549" s="18"/>
      <c r="C549" s="18"/>
      <c r="D549" s="18"/>
      <c r="E549" s="18"/>
      <c r="F549" s="18"/>
      <c r="G549" s="14"/>
      <c r="H549" s="14"/>
      <c r="I549" s="14"/>
      <c r="J549" s="14"/>
      <c r="K549" s="14"/>
      <c r="L549" s="14"/>
      <c r="M549" s="18"/>
      <c r="N549" s="14"/>
      <c r="O549" s="14"/>
      <c r="P549" s="14"/>
      <c r="Q549" s="14"/>
      <c r="R549" s="14"/>
      <c r="S549" s="14"/>
      <c r="T549" s="14"/>
      <c r="U549" s="18"/>
      <c r="V549" s="18"/>
      <c r="W549" s="18"/>
      <c r="X549" s="18"/>
      <c r="Y549" s="18"/>
      <c r="Z549" s="18"/>
      <c r="AA549" s="18"/>
      <c r="AB549" s="18"/>
      <c r="AC549" s="18"/>
      <c r="AD549" s="18"/>
    </row>
    <row r="550" ht="24.75" customHeight="1">
      <c r="A550" s="19"/>
      <c r="B550" s="18"/>
      <c r="C550" s="18"/>
      <c r="D550" s="18"/>
      <c r="E550" s="18"/>
      <c r="F550" s="18"/>
      <c r="G550" s="14"/>
      <c r="H550" s="14"/>
      <c r="I550" s="14"/>
      <c r="J550" s="14"/>
      <c r="K550" s="14"/>
      <c r="L550" s="14"/>
      <c r="M550" s="18"/>
      <c r="N550" s="14"/>
      <c r="O550" s="14"/>
      <c r="P550" s="14"/>
      <c r="Q550" s="14"/>
      <c r="R550" s="14"/>
      <c r="S550" s="14"/>
      <c r="T550" s="14"/>
      <c r="U550" s="18"/>
      <c r="V550" s="18"/>
      <c r="W550" s="18"/>
      <c r="X550" s="18"/>
      <c r="Y550" s="18"/>
      <c r="Z550" s="18"/>
      <c r="AA550" s="18"/>
      <c r="AB550" s="18"/>
      <c r="AC550" s="18"/>
      <c r="AD550" s="18"/>
    </row>
    <row r="551" ht="24.75" customHeight="1">
      <c r="A551" s="19"/>
      <c r="B551" s="18"/>
      <c r="C551" s="18"/>
      <c r="D551" s="18"/>
      <c r="E551" s="18"/>
      <c r="F551" s="18"/>
      <c r="G551" s="14"/>
      <c r="H551" s="14"/>
      <c r="I551" s="14"/>
      <c r="J551" s="14"/>
      <c r="K551" s="14"/>
      <c r="L551" s="14"/>
      <c r="M551" s="18"/>
      <c r="N551" s="14"/>
      <c r="O551" s="14"/>
      <c r="P551" s="14"/>
      <c r="Q551" s="14"/>
      <c r="R551" s="14"/>
      <c r="S551" s="14"/>
      <c r="T551" s="14"/>
      <c r="U551" s="18"/>
      <c r="V551" s="18"/>
      <c r="W551" s="18"/>
      <c r="X551" s="18"/>
      <c r="Y551" s="18"/>
      <c r="Z551" s="18"/>
      <c r="AA551" s="18"/>
      <c r="AB551" s="18"/>
      <c r="AC551" s="18"/>
      <c r="AD551" s="18"/>
    </row>
    <row r="552" ht="24.75" customHeight="1">
      <c r="A552" s="19"/>
      <c r="B552" s="18"/>
      <c r="C552" s="18"/>
      <c r="D552" s="18"/>
      <c r="E552" s="18"/>
      <c r="F552" s="18"/>
      <c r="G552" s="14"/>
      <c r="H552" s="14"/>
      <c r="I552" s="14"/>
      <c r="J552" s="14"/>
      <c r="K552" s="14"/>
      <c r="L552" s="14"/>
      <c r="M552" s="18"/>
      <c r="N552" s="14"/>
      <c r="O552" s="14"/>
      <c r="P552" s="14"/>
      <c r="Q552" s="14"/>
      <c r="R552" s="14"/>
      <c r="S552" s="14"/>
      <c r="T552" s="14"/>
      <c r="U552" s="18"/>
      <c r="V552" s="18"/>
      <c r="W552" s="18"/>
      <c r="X552" s="18"/>
      <c r="Y552" s="18"/>
      <c r="Z552" s="18"/>
      <c r="AA552" s="18"/>
      <c r="AB552" s="18"/>
      <c r="AC552" s="18"/>
      <c r="AD552" s="18"/>
    </row>
    <row r="553" ht="24.75" customHeight="1">
      <c r="A553" s="19"/>
      <c r="B553" s="18"/>
      <c r="C553" s="18"/>
      <c r="D553" s="18"/>
      <c r="E553" s="18"/>
      <c r="F553" s="18"/>
      <c r="G553" s="14"/>
      <c r="H553" s="14"/>
      <c r="I553" s="14"/>
      <c r="J553" s="14"/>
      <c r="K553" s="14"/>
      <c r="L553" s="14"/>
      <c r="M553" s="18"/>
      <c r="N553" s="14"/>
      <c r="O553" s="14"/>
      <c r="P553" s="14"/>
      <c r="Q553" s="14"/>
      <c r="R553" s="14"/>
      <c r="S553" s="14"/>
      <c r="T553" s="14"/>
      <c r="U553" s="18"/>
      <c r="V553" s="18"/>
      <c r="W553" s="18"/>
      <c r="X553" s="18"/>
      <c r="Y553" s="18"/>
      <c r="Z553" s="18"/>
      <c r="AA553" s="18"/>
      <c r="AB553" s="18"/>
      <c r="AC553" s="18"/>
      <c r="AD553" s="18"/>
    </row>
    <row r="554" ht="24.75" customHeight="1">
      <c r="A554" s="19"/>
      <c r="B554" s="18"/>
      <c r="C554" s="18"/>
      <c r="D554" s="18"/>
      <c r="E554" s="18"/>
      <c r="F554" s="18"/>
      <c r="G554" s="14"/>
      <c r="H554" s="14"/>
      <c r="I554" s="14"/>
      <c r="J554" s="14"/>
      <c r="K554" s="14"/>
      <c r="L554" s="14"/>
      <c r="M554" s="18"/>
      <c r="N554" s="14"/>
      <c r="O554" s="14"/>
      <c r="P554" s="14"/>
      <c r="Q554" s="14"/>
      <c r="R554" s="14"/>
      <c r="S554" s="14"/>
      <c r="T554" s="14"/>
      <c r="U554" s="18"/>
      <c r="V554" s="18"/>
      <c r="W554" s="18"/>
      <c r="X554" s="18"/>
      <c r="Y554" s="18"/>
      <c r="Z554" s="18"/>
      <c r="AA554" s="18"/>
      <c r="AB554" s="18"/>
      <c r="AC554" s="18"/>
      <c r="AD554" s="18"/>
    </row>
    <row r="555" ht="24.75" customHeight="1">
      <c r="A555" s="19"/>
      <c r="B555" s="18"/>
      <c r="C555" s="18"/>
      <c r="D555" s="18"/>
      <c r="E555" s="18"/>
      <c r="F555" s="18"/>
      <c r="G555" s="14"/>
      <c r="H555" s="14"/>
      <c r="I555" s="14"/>
      <c r="J555" s="14"/>
      <c r="K555" s="14"/>
      <c r="L555" s="14"/>
      <c r="M555" s="18"/>
      <c r="N555" s="14"/>
      <c r="O555" s="14"/>
      <c r="P555" s="14"/>
      <c r="Q555" s="14"/>
      <c r="R555" s="14"/>
      <c r="S555" s="14"/>
      <c r="T555" s="14"/>
      <c r="U555" s="18"/>
      <c r="V555" s="18"/>
      <c r="W555" s="18"/>
      <c r="X555" s="18"/>
      <c r="Y555" s="18"/>
      <c r="Z555" s="18"/>
      <c r="AA555" s="18"/>
      <c r="AB555" s="18"/>
      <c r="AC555" s="18"/>
      <c r="AD555" s="18"/>
    </row>
    <row r="556" ht="24.75" customHeight="1">
      <c r="A556" s="19"/>
      <c r="B556" s="18"/>
      <c r="C556" s="18"/>
      <c r="D556" s="18"/>
      <c r="E556" s="18"/>
      <c r="F556" s="18"/>
      <c r="G556" s="14"/>
      <c r="H556" s="14"/>
      <c r="I556" s="14"/>
      <c r="J556" s="14"/>
      <c r="K556" s="14"/>
      <c r="L556" s="14"/>
      <c r="M556" s="18"/>
      <c r="N556" s="14"/>
      <c r="O556" s="14"/>
      <c r="P556" s="14"/>
      <c r="Q556" s="14"/>
      <c r="R556" s="14"/>
      <c r="S556" s="14"/>
      <c r="T556" s="14"/>
      <c r="U556" s="18"/>
      <c r="V556" s="18"/>
      <c r="W556" s="18"/>
      <c r="X556" s="18"/>
      <c r="Y556" s="18"/>
      <c r="Z556" s="18"/>
      <c r="AA556" s="18"/>
      <c r="AB556" s="18"/>
      <c r="AC556" s="18"/>
      <c r="AD556" s="18"/>
    </row>
    <row r="557" ht="24.75" customHeight="1">
      <c r="A557" s="19"/>
      <c r="B557" s="18"/>
      <c r="C557" s="18"/>
      <c r="D557" s="18"/>
      <c r="E557" s="18"/>
      <c r="F557" s="18"/>
      <c r="G557" s="14"/>
      <c r="H557" s="14"/>
      <c r="I557" s="14"/>
      <c r="J557" s="14"/>
      <c r="K557" s="14"/>
      <c r="L557" s="14"/>
      <c r="M557" s="18"/>
      <c r="N557" s="14"/>
      <c r="O557" s="14"/>
      <c r="P557" s="14"/>
      <c r="Q557" s="14"/>
      <c r="R557" s="14"/>
      <c r="S557" s="14"/>
      <c r="T557" s="14"/>
      <c r="U557" s="18"/>
      <c r="V557" s="18"/>
      <c r="W557" s="18"/>
      <c r="X557" s="18"/>
      <c r="Y557" s="18"/>
      <c r="Z557" s="18"/>
      <c r="AA557" s="18"/>
      <c r="AB557" s="18"/>
      <c r="AC557" s="18"/>
      <c r="AD557" s="18"/>
    </row>
    <row r="558" ht="24.75" customHeight="1">
      <c r="A558" s="19"/>
      <c r="B558" s="18"/>
      <c r="C558" s="18"/>
      <c r="D558" s="18"/>
      <c r="E558" s="18"/>
      <c r="F558" s="18"/>
      <c r="G558" s="14"/>
      <c r="H558" s="14"/>
      <c r="I558" s="14"/>
      <c r="J558" s="14"/>
      <c r="K558" s="14"/>
      <c r="L558" s="14"/>
      <c r="M558" s="18"/>
      <c r="N558" s="14"/>
      <c r="O558" s="14"/>
      <c r="P558" s="14"/>
      <c r="Q558" s="14"/>
      <c r="R558" s="14"/>
      <c r="S558" s="14"/>
      <c r="T558" s="14"/>
      <c r="U558" s="18"/>
      <c r="V558" s="18"/>
      <c r="W558" s="18"/>
      <c r="X558" s="18"/>
      <c r="Y558" s="18"/>
      <c r="Z558" s="18"/>
      <c r="AA558" s="18"/>
      <c r="AB558" s="18"/>
      <c r="AC558" s="18"/>
      <c r="AD558" s="18"/>
    </row>
    <row r="559" ht="24.75" customHeight="1">
      <c r="A559" s="19"/>
      <c r="B559" s="18"/>
      <c r="C559" s="18"/>
      <c r="D559" s="18"/>
      <c r="E559" s="18"/>
      <c r="F559" s="18"/>
      <c r="G559" s="14"/>
      <c r="H559" s="14"/>
      <c r="I559" s="14"/>
      <c r="J559" s="14"/>
      <c r="K559" s="14"/>
      <c r="L559" s="14"/>
      <c r="M559" s="18"/>
      <c r="N559" s="14"/>
      <c r="O559" s="14"/>
      <c r="P559" s="14"/>
      <c r="Q559" s="14"/>
      <c r="R559" s="14"/>
      <c r="S559" s="14"/>
      <c r="T559" s="14"/>
      <c r="U559" s="18"/>
      <c r="V559" s="18"/>
      <c r="W559" s="18"/>
      <c r="X559" s="18"/>
      <c r="Y559" s="18"/>
      <c r="Z559" s="18"/>
      <c r="AA559" s="18"/>
      <c r="AB559" s="18"/>
      <c r="AC559" s="18"/>
      <c r="AD559" s="18"/>
    </row>
    <row r="560" ht="24.75" customHeight="1">
      <c r="A560" s="19"/>
      <c r="B560" s="18"/>
      <c r="C560" s="18"/>
      <c r="D560" s="18"/>
      <c r="E560" s="18"/>
      <c r="F560" s="18"/>
      <c r="G560" s="14"/>
      <c r="H560" s="14"/>
      <c r="I560" s="14"/>
      <c r="J560" s="14"/>
      <c r="K560" s="14"/>
      <c r="L560" s="14"/>
      <c r="M560" s="18"/>
      <c r="N560" s="14"/>
      <c r="O560" s="14"/>
      <c r="P560" s="14"/>
      <c r="Q560" s="14"/>
      <c r="R560" s="14"/>
      <c r="S560" s="14"/>
      <c r="T560" s="14"/>
      <c r="U560" s="18"/>
      <c r="V560" s="18"/>
      <c r="W560" s="18"/>
      <c r="X560" s="18"/>
      <c r="Y560" s="18"/>
      <c r="Z560" s="18"/>
      <c r="AA560" s="18"/>
      <c r="AB560" s="18"/>
      <c r="AC560" s="18"/>
      <c r="AD560" s="18"/>
    </row>
    <row r="561" ht="24.75" customHeight="1">
      <c r="A561" s="19"/>
      <c r="B561" s="18"/>
      <c r="C561" s="18"/>
      <c r="D561" s="18"/>
      <c r="E561" s="18"/>
      <c r="F561" s="18"/>
      <c r="G561" s="14"/>
      <c r="H561" s="14"/>
      <c r="I561" s="14"/>
      <c r="J561" s="14"/>
      <c r="K561" s="14"/>
      <c r="L561" s="14"/>
      <c r="M561" s="18"/>
      <c r="N561" s="14"/>
      <c r="O561" s="14"/>
      <c r="P561" s="14"/>
      <c r="Q561" s="14"/>
      <c r="R561" s="14"/>
      <c r="S561" s="14"/>
      <c r="T561" s="14"/>
      <c r="U561" s="18"/>
      <c r="V561" s="18"/>
      <c r="W561" s="18"/>
      <c r="X561" s="18"/>
      <c r="Y561" s="18"/>
      <c r="Z561" s="18"/>
      <c r="AA561" s="18"/>
      <c r="AB561" s="18"/>
      <c r="AC561" s="18"/>
      <c r="AD561" s="18"/>
    </row>
    <row r="562" ht="24.75" customHeight="1">
      <c r="A562" s="19"/>
      <c r="B562" s="18"/>
      <c r="C562" s="18"/>
      <c r="D562" s="18"/>
      <c r="E562" s="18"/>
      <c r="F562" s="18"/>
      <c r="G562" s="14"/>
      <c r="H562" s="14"/>
      <c r="I562" s="14"/>
      <c r="J562" s="14"/>
      <c r="K562" s="14"/>
      <c r="L562" s="14"/>
      <c r="M562" s="18"/>
      <c r="N562" s="14"/>
      <c r="O562" s="14"/>
      <c r="P562" s="14"/>
      <c r="Q562" s="14"/>
      <c r="R562" s="14"/>
      <c r="S562" s="14"/>
      <c r="T562" s="14"/>
      <c r="U562" s="18"/>
      <c r="V562" s="18"/>
      <c r="W562" s="18"/>
      <c r="X562" s="18"/>
      <c r="Y562" s="18"/>
      <c r="Z562" s="18"/>
      <c r="AA562" s="18"/>
      <c r="AB562" s="18"/>
      <c r="AC562" s="18"/>
      <c r="AD562" s="18"/>
    </row>
    <row r="563" ht="24.75" customHeight="1">
      <c r="A563" s="19"/>
      <c r="B563" s="18"/>
      <c r="C563" s="18"/>
      <c r="D563" s="18"/>
      <c r="E563" s="18"/>
      <c r="F563" s="18"/>
      <c r="G563" s="14"/>
      <c r="H563" s="14"/>
      <c r="I563" s="14"/>
      <c r="J563" s="14"/>
      <c r="K563" s="14"/>
      <c r="L563" s="14"/>
      <c r="M563" s="18"/>
      <c r="N563" s="14"/>
      <c r="O563" s="14"/>
      <c r="P563" s="14"/>
      <c r="Q563" s="14"/>
      <c r="R563" s="14"/>
      <c r="S563" s="14"/>
      <c r="T563" s="14"/>
      <c r="U563" s="18"/>
      <c r="V563" s="18"/>
      <c r="W563" s="18"/>
      <c r="X563" s="18"/>
      <c r="Y563" s="18"/>
      <c r="Z563" s="18"/>
      <c r="AA563" s="18"/>
      <c r="AB563" s="18"/>
      <c r="AC563" s="18"/>
      <c r="AD563" s="18"/>
    </row>
    <row r="564" ht="24.75" customHeight="1">
      <c r="A564" s="19"/>
      <c r="B564" s="18"/>
      <c r="C564" s="18"/>
      <c r="D564" s="18"/>
      <c r="E564" s="18"/>
      <c r="F564" s="18"/>
      <c r="G564" s="14"/>
      <c r="H564" s="14"/>
      <c r="I564" s="14"/>
      <c r="J564" s="14"/>
      <c r="K564" s="14"/>
      <c r="L564" s="14"/>
      <c r="M564" s="18"/>
      <c r="N564" s="14"/>
      <c r="O564" s="14"/>
      <c r="P564" s="14"/>
      <c r="Q564" s="14"/>
      <c r="R564" s="14"/>
      <c r="S564" s="14"/>
      <c r="T564" s="14"/>
      <c r="U564" s="18"/>
      <c r="V564" s="18"/>
      <c r="W564" s="18"/>
      <c r="X564" s="18"/>
      <c r="Y564" s="18"/>
      <c r="Z564" s="18"/>
      <c r="AA564" s="18"/>
      <c r="AB564" s="18"/>
      <c r="AC564" s="18"/>
      <c r="AD564" s="18"/>
    </row>
    <row r="565" ht="24.75" customHeight="1">
      <c r="A565" s="19"/>
      <c r="B565" s="18"/>
      <c r="C565" s="18"/>
      <c r="D565" s="18"/>
      <c r="E565" s="18"/>
      <c r="F565" s="18"/>
      <c r="G565" s="14"/>
      <c r="H565" s="14"/>
      <c r="I565" s="14"/>
      <c r="J565" s="14"/>
      <c r="K565" s="14"/>
      <c r="L565" s="14"/>
      <c r="M565" s="18"/>
      <c r="N565" s="14"/>
      <c r="O565" s="14"/>
      <c r="P565" s="14"/>
      <c r="Q565" s="14"/>
      <c r="R565" s="14"/>
      <c r="S565" s="14"/>
      <c r="T565" s="14"/>
      <c r="U565" s="18"/>
      <c r="V565" s="18"/>
      <c r="W565" s="18"/>
      <c r="X565" s="18"/>
      <c r="Y565" s="18"/>
      <c r="Z565" s="18"/>
      <c r="AA565" s="18"/>
      <c r="AB565" s="18"/>
      <c r="AC565" s="18"/>
      <c r="AD565" s="18"/>
    </row>
    <row r="566" ht="24.75" customHeight="1">
      <c r="A566" s="19"/>
      <c r="B566" s="18"/>
      <c r="C566" s="18"/>
      <c r="D566" s="18"/>
      <c r="E566" s="18"/>
      <c r="F566" s="18"/>
      <c r="G566" s="14"/>
      <c r="H566" s="14"/>
      <c r="I566" s="14"/>
      <c r="J566" s="14"/>
      <c r="K566" s="14"/>
      <c r="L566" s="14"/>
      <c r="M566" s="18"/>
      <c r="N566" s="14"/>
      <c r="O566" s="14"/>
      <c r="P566" s="14"/>
      <c r="Q566" s="14"/>
      <c r="R566" s="14"/>
      <c r="S566" s="14"/>
      <c r="T566" s="14"/>
      <c r="U566" s="18"/>
      <c r="V566" s="18"/>
      <c r="W566" s="18"/>
      <c r="X566" s="18"/>
      <c r="Y566" s="18"/>
      <c r="Z566" s="18"/>
      <c r="AA566" s="18"/>
      <c r="AB566" s="18"/>
      <c r="AC566" s="18"/>
      <c r="AD566" s="18"/>
    </row>
    <row r="567" ht="24.75" customHeight="1">
      <c r="A567" s="19"/>
      <c r="B567" s="18"/>
      <c r="C567" s="18"/>
      <c r="D567" s="18"/>
      <c r="E567" s="18"/>
      <c r="F567" s="18"/>
      <c r="G567" s="14"/>
      <c r="H567" s="14"/>
      <c r="I567" s="14"/>
      <c r="J567" s="14"/>
      <c r="K567" s="14"/>
      <c r="L567" s="14"/>
      <c r="M567" s="18"/>
      <c r="N567" s="14"/>
      <c r="O567" s="14"/>
      <c r="P567" s="14"/>
      <c r="Q567" s="14"/>
      <c r="R567" s="14"/>
      <c r="S567" s="14"/>
      <c r="T567" s="14"/>
      <c r="U567" s="18"/>
      <c r="V567" s="18"/>
      <c r="W567" s="18"/>
      <c r="X567" s="18"/>
      <c r="Y567" s="18"/>
      <c r="Z567" s="18"/>
      <c r="AA567" s="18"/>
      <c r="AB567" s="18"/>
      <c r="AC567" s="18"/>
      <c r="AD567" s="18"/>
    </row>
    <row r="568" ht="24.75" customHeight="1">
      <c r="A568" s="19"/>
      <c r="B568" s="18"/>
      <c r="C568" s="18"/>
      <c r="D568" s="18"/>
      <c r="E568" s="18"/>
      <c r="F568" s="18"/>
      <c r="G568" s="14"/>
      <c r="H568" s="14"/>
      <c r="I568" s="14"/>
      <c r="J568" s="14"/>
      <c r="K568" s="14"/>
      <c r="L568" s="14"/>
      <c r="M568" s="18"/>
      <c r="N568" s="14"/>
      <c r="O568" s="14"/>
      <c r="P568" s="14"/>
      <c r="Q568" s="14"/>
      <c r="R568" s="14"/>
      <c r="S568" s="14"/>
      <c r="T568" s="14"/>
      <c r="U568" s="18"/>
      <c r="V568" s="18"/>
      <c r="W568" s="18"/>
      <c r="X568" s="18"/>
      <c r="Y568" s="18"/>
      <c r="Z568" s="18"/>
      <c r="AA568" s="18"/>
      <c r="AB568" s="18"/>
      <c r="AC568" s="18"/>
      <c r="AD568" s="18"/>
    </row>
    <row r="569" ht="24.75" customHeight="1">
      <c r="A569" s="19"/>
      <c r="B569" s="18"/>
      <c r="C569" s="18"/>
      <c r="D569" s="18"/>
      <c r="E569" s="18"/>
      <c r="F569" s="18"/>
      <c r="G569" s="14"/>
      <c r="H569" s="14"/>
      <c r="I569" s="14"/>
      <c r="J569" s="14"/>
      <c r="K569" s="14"/>
      <c r="L569" s="14"/>
      <c r="M569" s="18"/>
      <c r="N569" s="14"/>
      <c r="O569" s="14"/>
      <c r="P569" s="14"/>
      <c r="Q569" s="14"/>
      <c r="R569" s="14"/>
      <c r="S569" s="14"/>
      <c r="T569" s="14"/>
      <c r="U569" s="18"/>
      <c r="V569" s="18"/>
      <c r="W569" s="18"/>
      <c r="X569" s="18"/>
      <c r="Y569" s="18"/>
      <c r="Z569" s="18"/>
      <c r="AA569" s="18"/>
      <c r="AB569" s="18"/>
      <c r="AC569" s="18"/>
      <c r="AD569" s="18"/>
    </row>
    <row r="570" ht="24.75" customHeight="1">
      <c r="A570" s="19"/>
      <c r="B570" s="18"/>
      <c r="C570" s="18"/>
      <c r="D570" s="18"/>
      <c r="E570" s="18"/>
      <c r="F570" s="18"/>
      <c r="G570" s="14"/>
      <c r="H570" s="14"/>
      <c r="I570" s="14"/>
      <c r="J570" s="14"/>
      <c r="K570" s="14"/>
      <c r="L570" s="14"/>
      <c r="M570" s="18"/>
      <c r="N570" s="14"/>
      <c r="O570" s="14"/>
      <c r="P570" s="14"/>
      <c r="Q570" s="14"/>
      <c r="R570" s="14"/>
      <c r="S570" s="14"/>
      <c r="T570" s="14"/>
      <c r="U570" s="18"/>
      <c r="V570" s="18"/>
      <c r="W570" s="18"/>
      <c r="X570" s="18"/>
      <c r="Y570" s="18"/>
      <c r="Z570" s="18"/>
      <c r="AA570" s="18"/>
      <c r="AB570" s="18"/>
      <c r="AC570" s="18"/>
      <c r="AD570" s="18"/>
    </row>
    <row r="571" ht="24.75" customHeight="1">
      <c r="A571" s="19"/>
      <c r="B571" s="18"/>
      <c r="C571" s="18"/>
      <c r="D571" s="18"/>
      <c r="E571" s="18"/>
      <c r="F571" s="18"/>
      <c r="G571" s="14"/>
      <c r="H571" s="14"/>
      <c r="I571" s="14"/>
      <c r="J571" s="14"/>
      <c r="K571" s="14"/>
      <c r="L571" s="14"/>
      <c r="M571" s="18"/>
      <c r="N571" s="14"/>
      <c r="O571" s="14"/>
      <c r="P571" s="14"/>
      <c r="Q571" s="14"/>
      <c r="R571" s="14"/>
      <c r="S571" s="14"/>
      <c r="T571" s="14"/>
      <c r="U571" s="18"/>
      <c r="V571" s="18"/>
      <c r="W571" s="18"/>
      <c r="X571" s="18"/>
      <c r="Y571" s="18"/>
      <c r="Z571" s="18"/>
      <c r="AA571" s="18"/>
      <c r="AB571" s="18"/>
      <c r="AC571" s="18"/>
      <c r="AD571" s="18"/>
    </row>
    <row r="572" ht="24.75" customHeight="1">
      <c r="A572" s="19"/>
      <c r="B572" s="18"/>
      <c r="C572" s="18"/>
      <c r="D572" s="18"/>
      <c r="E572" s="18"/>
      <c r="F572" s="18"/>
      <c r="G572" s="14"/>
      <c r="H572" s="14"/>
      <c r="I572" s="14"/>
      <c r="J572" s="14"/>
      <c r="K572" s="14"/>
      <c r="L572" s="14"/>
      <c r="M572" s="18"/>
      <c r="N572" s="14"/>
      <c r="O572" s="14"/>
      <c r="P572" s="14"/>
      <c r="Q572" s="14"/>
      <c r="R572" s="14"/>
      <c r="S572" s="14"/>
      <c r="T572" s="14"/>
      <c r="U572" s="18"/>
      <c r="V572" s="18"/>
      <c r="W572" s="18"/>
      <c r="X572" s="18"/>
      <c r="Y572" s="18"/>
      <c r="Z572" s="18"/>
      <c r="AA572" s="18"/>
      <c r="AB572" s="18"/>
      <c r="AC572" s="18"/>
      <c r="AD572" s="18"/>
    </row>
    <row r="573" ht="24.75" customHeight="1">
      <c r="A573" s="19"/>
      <c r="B573" s="18"/>
      <c r="C573" s="18"/>
      <c r="D573" s="18"/>
      <c r="E573" s="18"/>
      <c r="F573" s="18"/>
      <c r="G573" s="14"/>
      <c r="H573" s="14"/>
      <c r="I573" s="14"/>
      <c r="J573" s="14"/>
      <c r="K573" s="14"/>
      <c r="L573" s="14"/>
      <c r="M573" s="18"/>
      <c r="N573" s="14"/>
      <c r="O573" s="14"/>
      <c r="P573" s="14"/>
      <c r="Q573" s="14"/>
      <c r="R573" s="14"/>
      <c r="S573" s="14"/>
      <c r="T573" s="14"/>
      <c r="U573" s="18"/>
      <c r="V573" s="18"/>
      <c r="W573" s="18"/>
      <c r="X573" s="18"/>
      <c r="Y573" s="18"/>
      <c r="Z573" s="18"/>
      <c r="AA573" s="18"/>
      <c r="AB573" s="18"/>
      <c r="AC573" s="18"/>
      <c r="AD573" s="18"/>
    </row>
    <row r="574" ht="24.75" customHeight="1">
      <c r="A574" s="19"/>
      <c r="B574" s="18"/>
      <c r="C574" s="18"/>
      <c r="D574" s="18"/>
      <c r="E574" s="18"/>
      <c r="F574" s="18"/>
      <c r="G574" s="14"/>
      <c r="H574" s="14"/>
      <c r="I574" s="14"/>
      <c r="J574" s="14"/>
      <c r="K574" s="14"/>
      <c r="L574" s="14"/>
      <c r="M574" s="18"/>
      <c r="N574" s="14"/>
      <c r="O574" s="14"/>
      <c r="P574" s="14"/>
      <c r="Q574" s="14"/>
      <c r="R574" s="14"/>
      <c r="S574" s="14"/>
      <c r="T574" s="14"/>
      <c r="U574" s="18"/>
      <c r="V574" s="18"/>
      <c r="W574" s="18"/>
      <c r="X574" s="18"/>
      <c r="Y574" s="18"/>
      <c r="Z574" s="18"/>
      <c r="AA574" s="18"/>
      <c r="AB574" s="18"/>
      <c r="AC574" s="18"/>
      <c r="AD574" s="18"/>
    </row>
    <row r="575" ht="24.75" customHeight="1">
      <c r="A575" s="19"/>
      <c r="B575" s="18"/>
      <c r="C575" s="18"/>
      <c r="D575" s="18"/>
      <c r="E575" s="18"/>
      <c r="F575" s="18"/>
      <c r="G575" s="14"/>
      <c r="H575" s="14"/>
      <c r="I575" s="14"/>
      <c r="J575" s="14"/>
      <c r="K575" s="14"/>
      <c r="L575" s="14"/>
      <c r="M575" s="18"/>
      <c r="N575" s="14"/>
      <c r="O575" s="14"/>
      <c r="P575" s="14"/>
      <c r="Q575" s="14"/>
      <c r="R575" s="14"/>
      <c r="S575" s="14"/>
      <c r="T575" s="14"/>
      <c r="U575" s="18"/>
      <c r="V575" s="18"/>
      <c r="W575" s="18"/>
      <c r="X575" s="18"/>
      <c r="Y575" s="18"/>
      <c r="Z575" s="18"/>
      <c r="AA575" s="18"/>
      <c r="AB575" s="18"/>
      <c r="AC575" s="18"/>
      <c r="AD575" s="18"/>
    </row>
    <row r="576" ht="24.75" customHeight="1">
      <c r="A576" s="19"/>
      <c r="B576" s="18"/>
      <c r="C576" s="18"/>
      <c r="D576" s="18"/>
      <c r="E576" s="18"/>
      <c r="F576" s="18"/>
      <c r="G576" s="14"/>
      <c r="H576" s="14"/>
      <c r="I576" s="14"/>
      <c r="J576" s="14"/>
      <c r="K576" s="14"/>
      <c r="L576" s="14"/>
      <c r="M576" s="18"/>
      <c r="N576" s="14"/>
      <c r="O576" s="14"/>
      <c r="P576" s="14"/>
      <c r="Q576" s="14"/>
      <c r="R576" s="14"/>
      <c r="S576" s="14"/>
      <c r="T576" s="14"/>
      <c r="U576" s="18"/>
      <c r="V576" s="18"/>
      <c r="W576" s="18"/>
      <c r="X576" s="18"/>
      <c r="Y576" s="18"/>
      <c r="Z576" s="18"/>
      <c r="AA576" s="18"/>
      <c r="AB576" s="18"/>
      <c r="AC576" s="18"/>
      <c r="AD576" s="18"/>
    </row>
    <row r="577" ht="24.75" customHeight="1">
      <c r="A577" s="19"/>
      <c r="B577" s="18"/>
      <c r="C577" s="18"/>
      <c r="D577" s="18"/>
      <c r="E577" s="18"/>
      <c r="F577" s="18"/>
      <c r="G577" s="14"/>
      <c r="H577" s="14"/>
      <c r="I577" s="14"/>
      <c r="J577" s="14"/>
      <c r="K577" s="14"/>
      <c r="L577" s="14"/>
      <c r="M577" s="18"/>
      <c r="N577" s="14"/>
      <c r="O577" s="14"/>
      <c r="P577" s="14"/>
      <c r="Q577" s="14"/>
      <c r="R577" s="14"/>
      <c r="S577" s="14"/>
      <c r="T577" s="14"/>
      <c r="U577" s="18"/>
      <c r="V577" s="18"/>
      <c r="W577" s="18"/>
      <c r="X577" s="18"/>
      <c r="Y577" s="18"/>
      <c r="Z577" s="18"/>
      <c r="AA577" s="18"/>
      <c r="AB577" s="18"/>
      <c r="AC577" s="18"/>
      <c r="AD577" s="18"/>
    </row>
    <row r="578" ht="24.75" customHeight="1">
      <c r="A578" s="19"/>
      <c r="B578" s="18"/>
      <c r="C578" s="18"/>
      <c r="D578" s="18"/>
      <c r="E578" s="18"/>
      <c r="F578" s="18"/>
      <c r="G578" s="14"/>
      <c r="H578" s="14"/>
      <c r="I578" s="14"/>
      <c r="J578" s="14"/>
      <c r="K578" s="14"/>
      <c r="L578" s="14"/>
      <c r="M578" s="18"/>
      <c r="N578" s="14"/>
      <c r="O578" s="14"/>
      <c r="P578" s="14"/>
      <c r="Q578" s="14"/>
      <c r="R578" s="14"/>
      <c r="S578" s="14"/>
      <c r="T578" s="14"/>
      <c r="U578" s="18"/>
      <c r="V578" s="18"/>
      <c r="W578" s="18"/>
      <c r="X578" s="18"/>
      <c r="Y578" s="18"/>
      <c r="Z578" s="18"/>
      <c r="AA578" s="18"/>
      <c r="AB578" s="18"/>
      <c r="AC578" s="18"/>
      <c r="AD578" s="18"/>
    </row>
    <row r="579" ht="24.75" customHeight="1">
      <c r="A579" s="19"/>
      <c r="B579" s="18"/>
      <c r="C579" s="18"/>
      <c r="D579" s="18"/>
      <c r="E579" s="18"/>
      <c r="F579" s="18"/>
      <c r="G579" s="14"/>
      <c r="H579" s="14"/>
      <c r="I579" s="14"/>
      <c r="J579" s="14"/>
      <c r="K579" s="14"/>
      <c r="L579" s="14"/>
      <c r="M579" s="18"/>
      <c r="N579" s="14"/>
      <c r="O579" s="14"/>
      <c r="P579" s="14"/>
      <c r="Q579" s="14"/>
      <c r="R579" s="14"/>
      <c r="S579" s="14"/>
      <c r="T579" s="14"/>
      <c r="U579" s="18"/>
      <c r="V579" s="18"/>
      <c r="W579" s="18"/>
      <c r="X579" s="18"/>
      <c r="Y579" s="18"/>
      <c r="Z579" s="18"/>
      <c r="AA579" s="18"/>
      <c r="AB579" s="18"/>
      <c r="AC579" s="18"/>
      <c r="AD579" s="18"/>
    </row>
    <row r="580" ht="24.75" customHeight="1">
      <c r="A580" s="19"/>
      <c r="B580" s="18"/>
      <c r="C580" s="18"/>
      <c r="D580" s="18"/>
      <c r="E580" s="18"/>
      <c r="F580" s="18"/>
      <c r="G580" s="14"/>
      <c r="H580" s="14"/>
      <c r="I580" s="14"/>
      <c r="J580" s="14"/>
      <c r="K580" s="14"/>
      <c r="L580" s="14"/>
      <c r="M580" s="18"/>
      <c r="N580" s="14"/>
      <c r="O580" s="14"/>
      <c r="P580" s="14"/>
      <c r="Q580" s="14"/>
      <c r="R580" s="14"/>
      <c r="S580" s="14"/>
      <c r="T580" s="14"/>
      <c r="U580" s="18"/>
      <c r="V580" s="18"/>
      <c r="W580" s="18"/>
      <c r="X580" s="18"/>
      <c r="Y580" s="18"/>
      <c r="Z580" s="18"/>
      <c r="AA580" s="18"/>
      <c r="AB580" s="18"/>
      <c r="AC580" s="18"/>
      <c r="AD580" s="18"/>
    </row>
    <row r="581" ht="24.75" customHeight="1">
      <c r="A581" s="19"/>
      <c r="B581" s="18"/>
      <c r="C581" s="18"/>
      <c r="D581" s="18"/>
      <c r="E581" s="18"/>
      <c r="F581" s="18"/>
      <c r="G581" s="14"/>
      <c r="H581" s="14"/>
      <c r="I581" s="14"/>
      <c r="J581" s="14"/>
      <c r="K581" s="14"/>
      <c r="L581" s="14"/>
      <c r="M581" s="18"/>
      <c r="N581" s="14"/>
      <c r="O581" s="14"/>
      <c r="P581" s="14"/>
      <c r="Q581" s="14"/>
      <c r="R581" s="14"/>
      <c r="S581" s="14"/>
      <c r="T581" s="14"/>
      <c r="U581" s="18"/>
      <c r="V581" s="18"/>
      <c r="W581" s="18"/>
      <c r="X581" s="18"/>
      <c r="Y581" s="18"/>
      <c r="Z581" s="18"/>
      <c r="AA581" s="18"/>
      <c r="AB581" s="18"/>
      <c r="AC581" s="18"/>
      <c r="AD581" s="18"/>
    </row>
    <row r="582" ht="24.75" customHeight="1">
      <c r="A582" s="19"/>
      <c r="B582" s="18"/>
      <c r="C582" s="18"/>
      <c r="D582" s="18"/>
      <c r="E582" s="18"/>
      <c r="F582" s="18"/>
      <c r="G582" s="14"/>
      <c r="H582" s="14"/>
      <c r="I582" s="14"/>
      <c r="J582" s="14"/>
      <c r="K582" s="14"/>
      <c r="L582" s="14"/>
      <c r="M582" s="18"/>
      <c r="N582" s="14"/>
      <c r="O582" s="14"/>
      <c r="P582" s="14"/>
      <c r="Q582" s="14"/>
      <c r="R582" s="14"/>
      <c r="S582" s="14"/>
      <c r="T582" s="14"/>
      <c r="U582" s="18"/>
      <c r="V582" s="18"/>
      <c r="W582" s="18"/>
      <c r="X582" s="18"/>
      <c r="Y582" s="18"/>
      <c r="Z582" s="18"/>
      <c r="AA582" s="18"/>
      <c r="AB582" s="18"/>
      <c r="AC582" s="18"/>
      <c r="AD582" s="18"/>
    </row>
    <row r="583" ht="24.75" customHeight="1">
      <c r="A583" s="19"/>
      <c r="B583" s="18"/>
      <c r="C583" s="18"/>
      <c r="D583" s="18"/>
      <c r="E583" s="18"/>
      <c r="F583" s="18"/>
      <c r="G583" s="14"/>
      <c r="H583" s="14"/>
      <c r="I583" s="14"/>
      <c r="J583" s="14"/>
      <c r="K583" s="14"/>
      <c r="L583" s="14"/>
      <c r="M583" s="18"/>
      <c r="N583" s="14"/>
      <c r="O583" s="14"/>
      <c r="P583" s="14"/>
      <c r="Q583" s="14"/>
      <c r="R583" s="14"/>
      <c r="S583" s="14"/>
      <c r="T583" s="14"/>
      <c r="U583" s="18"/>
      <c r="V583" s="18"/>
      <c r="W583" s="18"/>
      <c r="X583" s="18"/>
      <c r="Y583" s="18"/>
      <c r="Z583" s="18"/>
      <c r="AA583" s="18"/>
      <c r="AB583" s="18"/>
      <c r="AC583" s="18"/>
      <c r="AD583" s="18"/>
    </row>
    <row r="584" ht="24.75" customHeight="1">
      <c r="A584" s="19"/>
      <c r="B584" s="18"/>
      <c r="C584" s="18"/>
      <c r="D584" s="18"/>
      <c r="E584" s="18"/>
      <c r="F584" s="18"/>
      <c r="G584" s="14"/>
      <c r="H584" s="14"/>
      <c r="I584" s="14"/>
      <c r="J584" s="14"/>
      <c r="K584" s="14"/>
      <c r="L584" s="14"/>
      <c r="M584" s="18"/>
      <c r="N584" s="14"/>
      <c r="O584" s="14"/>
      <c r="P584" s="14"/>
      <c r="Q584" s="14"/>
      <c r="R584" s="14"/>
      <c r="S584" s="14"/>
      <c r="T584" s="14"/>
      <c r="U584" s="18"/>
      <c r="V584" s="18"/>
      <c r="W584" s="18"/>
      <c r="X584" s="18"/>
      <c r="Y584" s="18"/>
      <c r="Z584" s="18"/>
      <c r="AA584" s="18"/>
      <c r="AB584" s="18"/>
      <c r="AC584" s="18"/>
      <c r="AD584" s="18"/>
    </row>
    <row r="585" ht="24.75" customHeight="1">
      <c r="A585" s="19"/>
      <c r="B585" s="18"/>
      <c r="C585" s="18"/>
      <c r="D585" s="18"/>
      <c r="E585" s="18"/>
      <c r="F585" s="18"/>
      <c r="G585" s="14"/>
      <c r="H585" s="14"/>
      <c r="I585" s="14"/>
      <c r="J585" s="14"/>
      <c r="K585" s="14"/>
      <c r="L585" s="14"/>
      <c r="M585" s="18"/>
      <c r="N585" s="14"/>
      <c r="O585" s="14"/>
      <c r="P585" s="14"/>
      <c r="Q585" s="14"/>
      <c r="R585" s="14"/>
      <c r="S585" s="14"/>
      <c r="T585" s="14"/>
      <c r="U585" s="18"/>
      <c r="V585" s="18"/>
      <c r="W585" s="18"/>
      <c r="X585" s="18"/>
      <c r="Y585" s="18"/>
      <c r="Z585" s="18"/>
      <c r="AA585" s="18"/>
      <c r="AB585" s="18"/>
      <c r="AC585" s="18"/>
      <c r="AD585" s="18"/>
    </row>
    <row r="586" ht="24.75" customHeight="1">
      <c r="A586" s="19"/>
      <c r="B586" s="18"/>
      <c r="C586" s="18"/>
      <c r="D586" s="18"/>
      <c r="E586" s="18"/>
      <c r="F586" s="18"/>
      <c r="G586" s="14"/>
      <c r="H586" s="14"/>
      <c r="I586" s="14"/>
      <c r="J586" s="14"/>
      <c r="K586" s="14"/>
      <c r="L586" s="14"/>
      <c r="M586" s="18"/>
      <c r="N586" s="14"/>
      <c r="O586" s="14"/>
      <c r="P586" s="14"/>
      <c r="Q586" s="14"/>
      <c r="R586" s="14"/>
      <c r="S586" s="14"/>
      <c r="T586" s="14"/>
      <c r="U586" s="18"/>
      <c r="V586" s="18"/>
      <c r="W586" s="18"/>
      <c r="X586" s="18"/>
      <c r="Y586" s="18"/>
      <c r="Z586" s="18"/>
      <c r="AA586" s="18"/>
      <c r="AB586" s="18"/>
      <c r="AC586" s="18"/>
      <c r="AD586" s="18"/>
    </row>
    <row r="587" ht="24.75" customHeight="1">
      <c r="A587" s="19"/>
      <c r="B587" s="18"/>
      <c r="C587" s="18"/>
      <c r="D587" s="18"/>
      <c r="E587" s="18"/>
      <c r="F587" s="18"/>
      <c r="G587" s="14"/>
      <c r="H587" s="14"/>
      <c r="I587" s="14"/>
      <c r="J587" s="14"/>
      <c r="K587" s="14"/>
      <c r="L587" s="14"/>
      <c r="M587" s="18"/>
      <c r="N587" s="14"/>
      <c r="O587" s="14"/>
      <c r="P587" s="14"/>
      <c r="Q587" s="14"/>
      <c r="R587" s="14"/>
      <c r="S587" s="14"/>
      <c r="T587" s="14"/>
      <c r="U587" s="18"/>
      <c r="V587" s="18"/>
      <c r="W587" s="18"/>
      <c r="X587" s="18"/>
      <c r="Y587" s="18"/>
      <c r="Z587" s="18"/>
      <c r="AA587" s="18"/>
      <c r="AB587" s="18"/>
      <c r="AC587" s="18"/>
      <c r="AD587" s="18"/>
    </row>
    <row r="588" ht="24.75" customHeight="1">
      <c r="A588" s="19"/>
      <c r="B588" s="18"/>
      <c r="C588" s="18"/>
      <c r="D588" s="18"/>
      <c r="E588" s="18"/>
      <c r="F588" s="18"/>
      <c r="G588" s="14"/>
      <c r="H588" s="14"/>
      <c r="I588" s="14"/>
      <c r="J588" s="14"/>
      <c r="K588" s="14"/>
      <c r="L588" s="14"/>
      <c r="M588" s="18"/>
      <c r="N588" s="14"/>
      <c r="O588" s="14"/>
      <c r="P588" s="14"/>
      <c r="Q588" s="14"/>
      <c r="R588" s="14"/>
      <c r="S588" s="14"/>
      <c r="T588" s="14"/>
      <c r="U588" s="18"/>
      <c r="V588" s="18"/>
      <c r="W588" s="18"/>
      <c r="X588" s="18"/>
      <c r="Y588" s="18"/>
      <c r="Z588" s="18"/>
      <c r="AA588" s="18"/>
      <c r="AB588" s="18"/>
      <c r="AC588" s="18"/>
      <c r="AD588" s="18"/>
    </row>
    <row r="589" ht="24.75" customHeight="1">
      <c r="A589" s="19"/>
      <c r="B589" s="18"/>
      <c r="C589" s="18"/>
      <c r="D589" s="18"/>
      <c r="E589" s="18"/>
      <c r="F589" s="18"/>
      <c r="G589" s="14"/>
      <c r="H589" s="14"/>
      <c r="I589" s="14"/>
      <c r="J589" s="14"/>
      <c r="K589" s="14"/>
      <c r="L589" s="14"/>
      <c r="M589" s="18"/>
      <c r="N589" s="14"/>
      <c r="O589" s="14"/>
      <c r="P589" s="14"/>
      <c r="Q589" s="14"/>
      <c r="R589" s="14"/>
      <c r="S589" s="14"/>
      <c r="T589" s="14"/>
      <c r="U589" s="18"/>
      <c r="V589" s="18"/>
      <c r="W589" s="18"/>
      <c r="X589" s="18"/>
      <c r="Y589" s="18"/>
      <c r="Z589" s="18"/>
      <c r="AA589" s="18"/>
      <c r="AB589" s="18"/>
      <c r="AC589" s="18"/>
      <c r="AD589" s="18"/>
    </row>
    <row r="590" ht="24.75" customHeight="1">
      <c r="A590" s="19"/>
      <c r="B590" s="18"/>
      <c r="C590" s="18"/>
      <c r="D590" s="18"/>
      <c r="E590" s="18"/>
      <c r="F590" s="18"/>
      <c r="G590" s="14"/>
      <c r="H590" s="14"/>
      <c r="I590" s="14"/>
      <c r="J590" s="14"/>
      <c r="K590" s="14"/>
      <c r="L590" s="14"/>
      <c r="M590" s="18"/>
      <c r="N590" s="14"/>
      <c r="O590" s="14"/>
      <c r="P590" s="14"/>
      <c r="Q590" s="14"/>
      <c r="R590" s="14"/>
      <c r="S590" s="14"/>
      <c r="T590" s="14"/>
      <c r="U590" s="18"/>
      <c r="V590" s="18"/>
      <c r="W590" s="18"/>
      <c r="X590" s="18"/>
      <c r="Y590" s="18"/>
      <c r="Z590" s="18"/>
      <c r="AA590" s="18"/>
      <c r="AB590" s="18"/>
      <c r="AC590" s="18"/>
      <c r="AD590" s="18"/>
    </row>
    <row r="591" ht="24.75" customHeight="1">
      <c r="A591" s="19"/>
      <c r="B591" s="18"/>
      <c r="C591" s="18"/>
      <c r="D591" s="18"/>
      <c r="E591" s="18"/>
      <c r="F591" s="18"/>
      <c r="G591" s="14"/>
      <c r="H591" s="14"/>
      <c r="I591" s="14"/>
      <c r="J591" s="14"/>
      <c r="K591" s="14"/>
      <c r="L591" s="14"/>
      <c r="M591" s="18"/>
      <c r="N591" s="14"/>
      <c r="O591" s="14"/>
      <c r="P591" s="14"/>
      <c r="Q591" s="14"/>
      <c r="R591" s="14"/>
      <c r="S591" s="14"/>
      <c r="T591" s="14"/>
      <c r="U591" s="18"/>
      <c r="V591" s="18"/>
      <c r="W591" s="18"/>
      <c r="X591" s="18"/>
      <c r="Y591" s="18"/>
      <c r="Z591" s="18"/>
      <c r="AA591" s="18"/>
      <c r="AB591" s="18"/>
      <c r="AC591" s="18"/>
      <c r="AD591" s="18"/>
    </row>
    <row r="592" ht="24.75" customHeight="1">
      <c r="A592" s="19"/>
      <c r="B592" s="18"/>
      <c r="C592" s="18"/>
      <c r="D592" s="18"/>
      <c r="E592" s="18"/>
      <c r="F592" s="18"/>
      <c r="G592" s="14"/>
      <c r="H592" s="14"/>
      <c r="I592" s="14"/>
      <c r="J592" s="14"/>
      <c r="K592" s="14"/>
      <c r="L592" s="14"/>
      <c r="M592" s="18"/>
      <c r="N592" s="14"/>
      <c r="O592" s="14"/>
      <c r="P592" s="14"/>
      <c r="Q592" s="14"/>
      <c r="R592" s="14"/>
      <c r="S592" s="14"/>
      <c r="T592" s="14"/>
      <c r="U592" s="18"/>
      <c r="V592" s="18"/>
      <c r="W592" s="18"/>
      <c r="X592" s="18"/>
      <c r="Y592" s="18"/>
      <c r="Z592" s="18"/>
      <c r="AA592" s="18"/>
      <c r="AB592" s="18"/>
      <c r="AC592" s="18"/>
      <c r="AD592" s="18"/>
    </row>
    <row r="593" ht="24.75" customHeight="1">
      <c r="A593" s="19"/>
      <c r="B593" s="18"/>
      <c r="C593" s="18"/>
      <c r="D593" s="18"/>
      <c r="E593" s="18"/>
      <c r="F593" s="18"/>
      <c r="G593" s="14"/>
      <c r="H593" s="14"/>
      <c r="I593" s="14"/>
      <c r="J593" s="14"/>
      <c r="K593" s="14"/>
      <c r="L593" s="14"/>
      <c r="M593" s="18"/>
      <c r="N593" s="14"/>
      <c r="O593" s="14"/>
      <c r="P593" s="14"/>
      <c r="Q593" s="14"/>
      <c r="R593" s="14"/>
      <c r="S593" s="14"/>
      <c r="T593" s="14"/>
      <c r="U593" s="18"/>
      <c r="V593" s="18"/>
      <c r="W593" s="18"/>
      <c r="X593" s="18"/>
      <c r="Y593" s="18"/>
      <c r="Z593" s="18"/>
      <c r="AA593" s="18"/>
      <c r="AB593" s="18"/>
      <c r="AC593" s="18"/>
      <c r="AD593" s="18"/>
    </row>
    <row r="594" ht="24.75" customHeight="1">
      <c r="A594" s="19"/>
      <c r="B594" s="18"/>
      <c r="C594" s="18"/>
      <c r="D594" s="18"/>
      <c r="E594" s="18"/>
      <c r="F594" s="18"/>
      <c r="G594" s="14"/>
      <c r="H594" s="14"/>
      <c r="I594" s="14"/>
      <c r="J594" s="14"/>
      <c r="K594" s="14"/>
      <c r="L594" s="14"/>
      <c r="M594" s="18"/>
      <c r="N594" s="14"/>
      <c r="O594" s="14"/>
      <c r="P594" s="14"/>
      <c r="Q594" s="14"/>
      <c r="R594" s="14"/>
      <c r="S594" s="14"/>
      <c r="T594" s="14"/>
      <c r="U594" s="18"/>
      <c r="V594" s="18"/>
      <c r="W594" s="18"/>
      <c r="X594" s="18"/>
      <c r="Y594" s="18"/>
      <c r="Z594" s="18"/>
      <c r="AA594" s="18"/>
      <c r="AB594" s="18"/>
      <c r="AC594" s="18"/>
      <c r="AD594" s="18"/>
    </row>
    <row r="595" ht="24.75" customHeight="1">
      <c r="A595" s="19"/>
      <c r="B595" s="18"/>
      <c r="C595" s="18"/>
      <c r="D595" s="18"/>
      <c r="E595" s="18"/>
      <c r="F595" s="18"/>
      <c r="G595" s="14"/>
      <c r="H595" s="14"/>
      <c r="I595" s="14"/>
      <c r="J595" s="14"/>
      <c r="K595" s="14"/>
      <c r="L595" s="14"/>
      <c r="M595" s="18"/>
      <c r="N595" s="14"/>
      <c r="O595" s="14"/>
      <c r="P595" s="14"/>
      <c r="Q595" s="14"/>
      <c r="R595" s="14"/>
      <c r="S595" s="14"/>
      <c r="T595" s="14"/>
      <c r="U595" s="18"/>
      <c r="V595" s="18"/>
      <c r="W595" s="18"/>
      <c r="X595" s="18"/>
      <c r="Y595" s="18"/>
      <c r="Z595" s="18"/>
      <c r="AA595" s="18"/>
      <c r="AB595" s="18"/>
      <c r="AC595" s="18"/>
      <c r="AD595" s="18"/>
    </row>
    <row r="596" ht="24.75" customHeight="1">
      <c r="A596" s="19"/>
      <c r="B596" s="18"/>
      <c r="C596" s="18"/>
      <c r="D596" s="18"/>
      <c r="E596" s="18"/>
      <c r="F596" s="18"/>
      <c r="G596" s="14"/>
      <c r="H596" s="14"/>
      <c r="I596" s="14"/>
      <c r="J596" s="14"/>
      <c r="K596" s="14"/>
      <c r="L596" s="14"/>
      <c r="M596" s="18"/>
      <c r="N596" s="14"/>
      <c r="O596" s="14"/>
      <c r="P596" s="14"/>
      <c r="Q596" s="14"/>
      <c r="R596" s="14"/>
      <c r="S596" s="14"/>
      <c r="T596" s="14"/>
      <c r="U596" s="18"/>
      <c r="V596" s="18"/>
      <c r="W596" s="18"/>
      <c r="X596" s="18"/>
      <c r="Y596" s="18"/>
      <c r="Z596" s="18"/>
      <c r="AA596" s="18"/>
      <c r="AB596" s="18"/>
      <c r="AC596" s="18"/>
      <c r="AD596" s="18"/>
    </row>
    <row r="597" ht="24.75" customHeight="1">
      <c r="A597" s="19"/>
      <c r="B597" s="18"/>
      <c r="C597" s="18"/>
      <c r="D597" s="18"/>
      <c r="E597" s="18"/>
      <c r="F597" s="18"/>
      <c r="G597" s="14"/>
      <c r="H597" s="14"/>
      <c r="I597" s="14"/>
      <c r="J597" s="14"/>
      <c r="K597" s="14"/>
      <c r="L597" s="14"/>
      <c r="M597" s="18"/>
      <c r="N597" s="14"/>
      <c r="O597" s="14"/>
      <c r="P597" s="14"/>
      <c r="Q597" s="14"/>
      <c r="R597" s="14"/>
      <c r="S597" s="14"/>
      <c r="T597" s="14"/>
      <c r="U597" s="18"/>
      <c r="V597" s="18"/>
      <c r="W597" s="18"/>
      <c r="X597" s="18"/>
      <c r="Y597" s="18"/>
      <c r="Z597" s="18"/>
      <c r="AA597" s="18"/>
      <c r="AB597" s="18"/>
      <c r="AC597" s="18"/>
      <c r="AD597" s="18"/>
    </row>
    <row r="598" ht="24.75" customHeight="1">
      <c r="A598" s="19"/>
      <c r="B598" s="18"/>
      <c r="C598" s="18"/>
      <c r="D598" s="18"/>
      <c r="E598" s="18"/>
      <c r="F598" s="18"/>
      <c r="G598" s="14"/>
      <c r="H598" s="14"/>
      <c r="I598" s="14"/>
      <c r="J598" s="14"/>
      <c r="K598" s="14"/>
      <c r="L598" s="14"/>
      <c r="M598" s="18"/>
      <c r="N598" s="14"/>
      <c r="O598" s="14"/>
      <c r="P598" s="14"/>
      <c r="Q598" s="14"/>
      <c r="R598" s="14"/>
      <c r="S598" s="14"/>
      <c r="T598" s="14"/>
      <c r="U598" s="18"/>
      <c r="V598" s="18"/>
      <c r="W598" s="18"/>
      <c r="X598" s="18"/>
      <c r="Y598" s="18"/>
      <c r="Z598" s="18"/>
      <c r="AA598" s="18"/>
      <c r="AB598" s="18"/>
      <c r="AC598" s="18"/>
      <c r="AD598" s="18"/>
    </row>
    <row r="599" ht="24.75" customHeight="1">
      <c r="A599" s="19"/>
      <c r="B599" s="18"/>
      <c r="C599" s="18"/>
      <c r="D599" s="18"/>
      <c r="E599" s="18"/>
      <c r="F599" s="18"/>
      <c r="G599" s="14"/>
      <c r="H599" s="14"/>
      <c r="I599" s="14"/>
      <c r="J599" s="14"/>
      <c r="K599" s="14"/>
      <c r="L599" s="14"/>
      <c r="M599" s="18"/>
      <c r="N599" s="14"/>
      <c r="O599" s="14"/>
      <c r="P599" s="14"/>
      <c r="Q599" s="14"/>
      <c r="R599" s="14"/>
      <c r="S599" s="14"/>
      <c r="T599" s="14"/>
      <c r="U599" s="18"/>
      <c r="V599" s="18"/>
      <c r="W599" s="18"/>
      <c r="X599" s="18"/>
      <c r="Y599" s="18"/>
      <c r="Z599" s="18"/>
      <c r="AA599" s="18"/>
      <c r="AB599" s="18"/>
      <c r="AC599" s="18"/>
      <c r="AD599" s="18"/>
    </row>
    <row r="600" ht="24.75" customHeight="1">
      <c r="A600" s="19"/>
      <c r="B600" s="18"/>
      <c r="C600" s="18"/>
      <c r="D600" s="18"/>
      <c r="E600" s="18"/>
      <c r="F600" s="18"/>
      <c r="G600" s="14"/>
      <c r="H600" s="14"/>
      <c r="I600" s="14"/>
      <c r="J600" s="14"/>
      <c r="K600" s="14"/>
      <c r="L600" s="14"/>
      <c r="M600" s="18"/>
      <c r="N600" s="14"/>
      <c r="O600" s="14"/>
      <c r="P600" s="14"/>
      <c r="Q600" s="14"/>
      <c r="R600" s="14"/>
      <c r="S600" s="14"/>
      <c r="T600" s="14"/>
      <c r="U600" s="18"/>
      <c r="V600" s="18"/>
      <c r="W600" s="18"/>
      <c r="X600" s="18"/>
      <c r="Y600" s="18"/>
      <c r="Z600" s="18"/>
      <c r="AA600" s="18"/>
      <c r="AB600" s="18"/>
      <c r="AC600" s="18"/>
      <c r="AD600" s="18"/>
    </row>
    <row r="601" ht="24.75" customHeight="1">
      <c r="A601" s="19"/>
      <c r="B601" s="18"/>
      <c r="C601" s="18"/>
      <c r="D601" s="18"/>
      <c r="E601" s="18"/>
      <c r="F601" s="18"/>
      <c r="G601" s="14"/>
      <c r="H601" s="14"/>
      <c r="I601" s="14"/>
      <c r="J601" s="14"/>
      <c r="K601" s="14"/>
      <c r="L601" s="14"/>
      <c r="M601" s="18"/>
      <c r="N601" s="14"/>
      <c r="O601" s="14"/>
      <c r="P601" s="14"/>
      <c r="Q601" s="14"/>
      <c r="R601" s="14"/>
      <c r="S601" s="14"/>
      <c r="T601" s="14"/>
      <c r="U601" s="18"/>
      <c r="V601" s="18"/>
      <c r="W601" s="18"/>
      <c r="X601" s="18"/>
      <c r="Y601" s="18"/>
      <c r="Z601" s="18"/>
      <c r="AA601" s="18"/>
      <c r="AB601" s="18"/>
      <c r="AC601" s="18"/>
      <c r="AD601" s="18"/>
    </row>
    <row r="602" ht="24.75" customHeight="1">
      <c r="A602" s="19"/>
      <c r="B602" s="18"/>
      <c r="C602" s="18"/>
      <c r="D602" s="18"/>
      <c r="E602" s="18"/>
      <c r="F602" s="18"/>
      <c r="G602" s="14"/>
      <c r="H602" s="14"/>
      <c r="I602" s="14"/>
      <c r="J602" s="14"/>
      <c r="K602" s="14"/>
      <c r="L602" s="14"/>
      <c r="M602" s="18"/>
      <c r="N602" s="14"/>
      <c r="O602" s="14"/>
      <c r="P602" s="14"/>
      <c r="Q602" s="14"/>
      <c r="R602" s="14"/>
      <c r="S602" s="14"/>
      <c r="T602" s="14"/>
      <c r="U602" s="18"/>
      <c r="V602" s="18"/>
      <c r="W602" s="18"/>
      <c r="X602" s="18"/>
      <c r="Y602" s="18"/>
      <c r="Z602" s="18"/>
      <c r="AA602" s="18"/>
      <c r="AB602" s="18"/>
      <c r="AC602" s="18"/>
      <c r="AD602" s="18"/>
    </row>
    <row r="603" ht="24.75" customHeight="1">
      <c r="A603" s="19"/>
      <c r="B603" s="18"/>
      <c r="C603" s="18"/>
      <c r="D603" s="18"/>
      <c r="E603" s="18"/>
      <c r="F603" s="18"/>
      <c r="G603" s="14"/>
      <c r="H603" s="14"/>
      <c r="I603" s="14"/>
      <c r="J603" s="14"/>
      <c r="K603" s="14"/>
      <c r="L603" s="14"/>
      <c r="M603" s="18"/>
      <c r="N603" s="14"/>
      <c r="O603" s="14"/>
      <c r="P603" s="14"/>
      <c r="Q603" s="14"/>
      <c r="R603" s="14"/>
      <c r="S603" s="14"/>
      <c r="T603" s="14"/>
      <c r="U603" s="18"/>
      <c r="V603" s="18"/>
      <c r="W603" s="18"/>
      <c r="X603" s="18"/>
      <c r="Y603" s="18"/>
      <c r="Z603" s="18"/>
      <c r="AA603" s="18"/>
      <c r="AB603" s="18"/>
      <c r="AC603" s="18"/>
      <c r="AD603" s="18"/>
    </row>
    <row r="604" ht="24.75" customHeight="1">
      <c r="A604" s="19"/>
      <c r="B604" s="18"/>
      <c r="C604" s="18"/>
      <c r="D604" s="18"/>
      <c r="E604" s="18"/>
      <c r="F604" s="18"/>
      <c r="G604" s="14"/>
      <c r="H604" s="14"/>
      <c r="I604" s="14"/>
      <c r="J604" s="14"/>
      <c r="K604" s="14"/>
      <c r="L604" s="14"/>
      <c r="M604" s="18"/>
      <c r="N604" s="14"/>
      <c r="O604" s="14"/>
      <c r="P604" s="14"/>
      <c r="Q604" s="14"/>
      <c r="R604" s="14"/>
      <c r="S604" s="14"/>
      <c r="T604" s="14"/>
      <c r="U604" s="18"/>
      <c r="V604" s="18"/>
      <c r="W604" s="18"/>
      <c r="X604" s="18"/>
      <c r="Y604" s="18"/>
      <c r="Z604" s="18"/>
      <c r="AA604" s="18"/>
      <c r="AB604" s="18"/>
      <c r="AC604" s="18"/>
      <c r="AD604" s="18"/>
    </row>
    <row r="605" ht="24.75" customHeight="1">
      <c r="A605" s="19"/>
      <c r="B605" s="18"/>
      <c r="C605" s="18"/>
      <c r="D605" s="18"/>
      <c r="E605" s="18"/>
      <c r="F605" s="18"/>
      <c r="G605" s="14"/>
      <c r="H605" s="14"/>
      <c r="I605" s="14"/>
      <c r="J605" s="14"/>
      <c r="K605" s="14"/>
      <c r="L605" s="14"/>
      <c r="M605" s="18"/>
      <c r="N605" s="14"/>
      <c r="O605" s="14"/>
      <c r="P605" s="14"/>
      <c r="Q605" s="14"/>
      <c r="R605" s="14"/>
      <c r="S605" s="14"/>
      <c r="T605" s="14"/>
      <c r="U605" s="18"/>
      <c r="V605" s="18"/>
      <c r="W605" s="18"/>
      <c r="X605" s="18"/>
      <c r="Y605" s="18"/>
      <c r="Z605" s="18"/>
      <c r="AA605" s="18"/>
      <c r="AB605" s="18"/>
      <c r="AC605" s="18"/>
      <c r="AD605" s="18"/>
    </row>
    <row r="606" ht="24.75" customHeight="1">
      <c r="A606" s="19"/>
      <c r="B606" s="18"/>
      <c r="C606" s="18"/>
      <c r="D606" s="18"/>
      <c r="E606" s="18"/>
      <c r="F606" s="18"/>
      <c r="G606" s="14"/>
      <c r="H606" s="14"/>
      <c r="I606" s="14"/>
      <c r="J606" s="14"/>
      <c r="K606" s="14"/>
      <c r="L606" s="14"/>
      <c r="M606" s="18"/>
      <c r="N606" s="14"/>
      <c r="O606" s="14"/>
      <c r="P606" s="14"/>
      <c r="Q606" s="14"/>
      <c r="R606" s="14"/>
      <c r="S606" s="14"/>
      <c r="T606" s="14"/>
      <c r="U606" s="18"/>
      <c r="V606" s="18"/>
      <c r="W606" s="18"/>
      <c r="X606" s="18"/>
      <c r="Y606" s="18"/>
      <c r="Z606" s="18"/>
      <c r="AA606" s="18"/>
      <c r="AB606" s="18"/>
      <c r="AC606" s="18"/>
      <c r="AD606" s="18"/>
    </row>
    <row r="607" ht="24.75" customHeight="1">
      <c r="A607" s="19"/>
      <c r="B607" s="18"/>
      <c r="C607" s="18"/>
      <c r="D607" s="18"/>
      <c r="E607" s="18"/>
      <c r="F607" s="18"/>
      <c r="G607" s="14"/>
      <c r="H607" s="14"/>
      <c r="I607" s="14"/>
      <c r="J607" s="14"/>
      <c r="K607" s="14"/>
      <c r="L607" s="14"/>
      <c r="M607" s="18"/>
      <c r="N607" s="14"/>
      <c r="O607" s="14"/>
      <c r="P607" s="14"/>
      <c r="Q607" s="14"/>
      <c r="R607" s="14"/>
      <c r="S607" s="14"/>
      <c r="T607" s="14"/>
      <c r="U607" s="18"/>
      <c r="V607" s="18"/>
      <c r="W607" s="18"/>
      <c r="X607" s="18"/>
      <c r="Y607" s="18"/>
      <c r="Z607" s="18"/>
      <c r="AA607" s="18"/>
      <c r="AB607" s="18"/>
      <c r="AC607" s="18"/>
      <c r="AD607" s="18"/>
    </row>
    <row r="608" ht="24.75" customHeight="1">
      <c r="A608" s="19"/>
      <c r="B608" s="18"/>
      <c r="C608" s="18"/>
      <c r="D608" s="18"/>
      <c r="E608" s="18"/>
      <c r="F608" s="18"/>
      <c r="G608" s="14"/>
      <c r="H608" s="14"/>
      <c r="I608" s="14"/>
      <c r="J608" s="14"/>
      <c r="K608" s="14"/>
      <c r="L608" s="14"/>
      <c r="M608" s="18"/>
      <c r="N608" s="14"/>
      <c r="O608" s="14"/>
      <c r="P608" s="14"/>
      <c r="Q608" s="14"/>
      <c r="R608" s="14"/>
      <c r="S608" s="14"/>
      <c r="T608" s="14"/>
      <c r="U608" s="18"/>
      <c r="V608" s="18"/>
      <c r="W608" s="18"/>
      <c r="X608" s="18"/>
      <c r="Y608" s="18"/>
      <c r="Z608" s="18"/>
      <c r="AA608" s="18"/>
      <c r="AB608" s="18"/>
      <c r="AC608" s="18"/>
      <c r="AD608" s="18"/>
    </row>
    <row r="609" ht="24.75" customHeight="1">
      <c r="A609" s="19"/>
      <c r="B609" s="18"/>
      <c r="C609" s="18"/>
      <c r="D609" s="18"/>
      <c r="E609" s="18"/>
      <c r="F609" s="18"/>
      <c r="G609" s="14"/>
      <c r="H609" s="14"/>
      <c r="I609" s="14"/>
      <c r="J609" s="14"/>
      <c r="K609" s="14"/>
      <c r="L609" s="14"/>
      <c r="M609" s="18"/>
      <c r="N609" s="14"/>
      <c r="O609" s="14"/>
      <c r="P609" s="14"/>
      <c r="Q609" s="14"/>
      <c r="R609" s="14"/>
      <c r="S609" s="14"/>
      <c r="T609" s="14"/>
      <c r="U609" s="18"/>
      <c r="V609" s="18"/>
      <c r="W609" s="18"/>
      <c r="X609" s="18"/>
      <c r="Y609" s="18"/>
      <c r="Z609" s="18"/>
      <c r="AA609" s="18"/>
      <c r="AB609" s="18"/>
      <c r="AC609" s="18"/>
      <c r="AD609" s="18"/>
    </row>
    <row r="610" ht="24.75" customHeight="1">
      <c r="A610" s="19"/>
      <c r="B610" s="18"/>
      <c r="C610" s="18"/>
      <c r="D610" s="18"/>
      <c r="E610" s="18"/>
      <c r="F610" s="18"/>
      <c r="G610" s="14"/>
      <c r="H610" s="14"/>
      <c r="I610" s="14"/>
      <c r="J610" s="14"/>
      <c r="K610" s="14"/>
      <c r="L610" s="14"/>
      <c r="M610" s="18"/>
      <c r="N610" s="14"/>
      <c r="O610" s="14"/>
      <c r="P610" s="14"/>
      <c r="Q610" s="14"/>
      <c r="R610" s="14"/>
      <c r="S610" s="14"/>
      <c r="T610" s="14"/>
      <c r="U610" s="18"/>
      <c r="V610" s="18"/>
      <c r="W610" s="18"/>
      <c r="X610" s="18"/>
      <c r="Y610" s="18"/>
      <c r="Z610" s="18"/>
      <c r="AA610" s="18"/>
      <c r="AB610" s="18"/>
      <c r="AC610" s="18"/>
      <c r="AD610" s="18"/>
    </row>
    <row r="611" ht="24.75" customHeight="1">
      <c r="A611" s="19"/>
      <c r="B611" s="18"/>
      <c r="C611" s="18"/>
      <c r="D611" s="18"/>
      <c r="E611" s="18"/>
      <c r="F611" s="18"/>
      <c r="G611" s="14"/>
      <c r="H611" s="14"/>
      <c r="I611" s="14"/>
      <c r="J611" s="14"/>
      <c r="K611" s="14"/>
      <c r="L611" s="14"/>
      <c r="M611" s="18"/>
      <c r="N611" s="14"/>
      <c r="O611" s="14"/>
      <c r="P611" s="14"/>
      <c r="Q611" s="14"/>
      <c r="R611" s="14"/>
      <c r="S611" s="14"/>
      <c r="T611" s="14"/>
      <c r="U611" s="18"/>
      <c r="V611" s="18"/>
      <c r="W611" s="18"/>
      <c r="X611" s="18"/>
      <c r="Y611" s="18"/>
      <c r="Z611" s="18"/>
      <c r="AA611" s="18"/>
      <c r="AB611" s="18"/>
      <c r="AC611" s="18"/>
      <c r="AD611" s="18"/>
    </row>
    <row r="612" ht="24.75" customHeight="1">
      <c r="A612" s="19"/>
      <c r="B612" s="18"/>
      <c r="C612" s="18"/>
      <c r="D612" s="18"/>
      <c r="E612" s="18"/>
      <c r="F612" s="18"/>
      <c r="G612" s="14"/>
      <c r="H612" s="14"/>
      <c r="I612" s="14"/>
      <c r="J612" s="14"/>
      <c r="K612" s="14"/>
      <c r="L612" s="14"/>
      <c r="M612" s="18"/>
      <c r="N612" s="14"/>
      <c r="O612" s="14"/>
      <c r="P612" s="14"/>
      <c r="Q612" s="14"/>
      <c r="R612" s="14"/>
      <c r="S612" s="14"/>
      <c r="T612" s="14"/>
      <c r="U612" s="18"/>
      <c r="V612" s="18"/>
      <c r="W612" s="18"/>
      <c r="X612" s="18"/>
      <c r="Y612" s="18"/>
      <c r="Z612" s="18"/>
      <c r="AA612" s="18"/>
      <c r="AB612" s="18"/>
      <c r="AC612" s="18"/>
      <c r="AD612" s="18"/>
    </row>
    <row r="613" ht="24.75" customHeight="1">
      <c r="A613" s="19"/>
      <c r="B613" s="18"/>
      <c r="C613" s="18"/>
      <c r="D613" s="18"/>
      <c r="E613" s="18"/>
      <c r="F613" s="18"/>
      <c r="G613" s="14"/>
      <c r="H613" s="14"/>
      <c r="I613" s="14"/>
      <c r="J613" s="14"/>
      <c r="K613" s="14"/>
      <c r="L613" s="14"/>
      <c r="M613" s="18"/>
      <c r="N613" s="14"/>
      <c r="O613" s="14"/>
      <c r="P613" s="14"/>
      <c r="Q613" s="14"/>
      <c r="R613" s="14"/>
      <c r="S613" s="14"/>
      <c r="T613" s="14"/>
      <c r="U613" s="18"/>
      <c r="V613" s="18"/>
      <c r="W613" s="18"/>
      <c r="X613" s="18"/>
      <c r="Y613" s="18"/>
      <c r="Z613" s="18"/>
      <c r="AA613" s="18"/>
      <c r="AB613" s="18"/>
      <c r="AC613" s="18"/>
      <c r="AD613" s="18"/>
    </row>
    <row r="614" ht="24.75" customHeight="1">
      <c r="A614" s="19"/>
      <c r="B614" s="18"/>
      <c r="C614" s="18"/>
      <c r="D614" s="18"/>
      <c r="E614" s="18"/>
      <c r="F614" s="18"/>
      <c r="G614" s="14"/>
      <c r="H614" s="14"/>
      <c r="I614" s="14"/>
      <c r="J614" s="14"/>
      <c r="K614" s="14"/>
      <c r="L614" s="14"/>
      <c r="M614" s="18"/>
      <c r="N614" s="14"/>
      <c r="O614" s="14"/>
      <c r="P614" s="14"/>
      <c r="Q614" s="14"/>
      <c r="R614" s="14"/>
      <c r="S614" s="14"/>
      <c r="T614" s="14"/>
      <c r="U614" s="18"/>
      <c r="V614" s="18"/>
      <c r="W614" s="18"/>
      <c r="X614" s="18"/>
      <c r="Y614" s="18"/>
      <c r="Z614" s="18"/>
      <c r="AA614" s="18"/>
      <c r="AB614" s="18"/>
      <c r="AC614" s="18"/>
      <c r="AD614" s="18"/>
    </row>
    <row r="615" ht="24.75" customHeight="1">
      <c r="A615" s="19"/>
      <c r="B615" s="18"/>
      <c r="C615" s="18"/>
      <c r="D615" s="18"/>
      <c r="E615" s="18"/>
      <c r="F615" s="18"/>
      <c r="G615" s="14"/>
      <c r="H615" s="14"/>
      <c r="I615" s="14"/>
      <c r="J615" s="14"/>
      <c r="K615" s="14"/>
      <c r="L615" s="14"/>
      <c r="M615" s="18"/>
      <c r="N615" s="14"/>
      <c r="O615" s="14"/>
      <c r="P615" s="14"/>
      <c r="Q615" s="14"/>
      <c r="R615" s="14"/>
      <c r="S615" s="14"/>
      <c r="T615" s="14"/>
      <c r="U615" s="18"/>
      <c r="V615" s="18"/>
      <c r="W615" s="18"/>
      <c r="X615" s="18"/>
      <c r="Y615" s="18"/>
      <c r="Z615" s="18"/>
      <c r="AA615" s="18"/>
      <c r="AB615" s="18"/>
      <c r="AC615" s="18"/>
      <c r="AD615" s="18"/>
    </row>
    <row r="616" ht="24.75" customHeight="1">
      <c r="A616" s="19"/>
      <c r="B616" s="18"/>
      <c r="C616" s="18"/>
      <c r="D616" s="18"/>
      <c r="E616" s="18"/>
      <c r="F616" s="18"/>
      <c r="G616" s="14"/>
      <c r="H616" s="14"/>
      <c r="I616" s="14"/>
      <c r="J616" s="14"/>
      <c r="K616" s="14"/>
      <c r="L616" s="14"/>
      <c r="M616" s="18"/>
      <c r="N616" s="14"/>
      <c r="O616" s="14"/>
      <c r="P616" s="14"/>
      <c r="Q616" s="14"/>
      <c r="R616" s="14"/>
      <c r="S616" s="14"/>
      <c r="T616" s="14"/>
      <c r="U616" s="18"/>
      <c r="V616" s="18"/>
      <c r="W616" s="18"/>
      <c r="X616" s="18"/>
      <c r="Y616" s="18"/>
      <c r="Z616" s="18"/>
      <c r="AA616" s="18"/>
      <c r="AB616" s="18"/>
      <c r="AC616" s="18"/>
      <c r="AD616" s="18"/>
    </row>
    <row r="617" ht="24.75" customHeight="1">
      <c r="A617" s="19"/>
      <c r="B617" s="18"/>
      <c r="C617" s="18"/>
      <c r="D617" s="18"/>
      <c r="E617" s="18"/>
      <c r="F617" s="18"/>
      <c r="G617" s="14"/>
      <c r="H617" s="14"/>
      <c r="I617" s="14"/>
      <c r="J617" s="14"/>
      <c r="K617" s="14"/>
      <c r="L617" s="14"/>
      <c r="M617" s="18"/>
      <c r="N617" s="14"/>
      <c r="O617" s="14"/>
      <c r="P617" s="14"/>
      <c r="Q617" s="14"/>
      <c r="R617" s="14"/>
      <c r="S617" s="14"/>
      <c r="T617" s="14"/>
      <c r="U617" s="18"/>
      <c r="V617" s="18"/>
      <c r="W617" s="18"/>
      <c r="X617" s="18"/>
      <c r="Y617" s="18"/>
      <c r="Z617" s="18"/>
      <c r="AA617" s="18"/>
      <c r="AB617" s="18"/>
      <c r="AC617" s="18"/>
      <c r="AD617" s="18"/>
    </row>
    <row r="618" ht="24.75" customHeight="1">
      <c r="A618" s="19"/>
      <c r="B618" s="18"/>
      <c r="C618" s="18"/>
      <c r="D618" s="18"/>
      <c r="E618" s="18"/>
      <c r="F618" s="18"/>
      <c r="G618" s="14"/>
      <c r="H618" s="14"/>
      <c r="I618" s="14"/>
      <c r="J618" s="14"/>
      <c r="K618" s="14"/>
      <c r="L618" s="14"/>
      <c r="M618" s="18"/>
      <c r="N618" s="14"/>
      <c r="O618" s="14"/>
      <c r="P618" s="14"/>
      <c r="Q618" s="14"/>
      <c r="R618" s="14"/>
      <c r="S618" s="14"/>
      <c r="T618" s="14"/>
      <c r="U618" s="18"/>
      <c r="V618" s="18"/>
      <c r="W618" s="18"/>
      <c r="X618" s="18"/>
      <c r="Y618" s="18"/>
      <c r="Z618" s="18"/>
      <c r="AA618" s="18"/>
      <c r="AB618" s="18"/>
      <c r="AC618" s="18"/>
      <c r="AD618" s="18"/>
    </row>
    <row r="619" ht="24.75" customHeight="1">
      <c r="A619" s="19"/>
      <c r="B619" s="18"/>
      <c r="C619" s="18"/>
      <c r="D619" s="18"/>
      <c r="E619" s="18"/>
      <c r="F619" s="18"/>
      <c r="G619" s="14"/>
      <c r="H619" s="14"/>
      <c r="I619" s="14"/>
      <c r="J619" s="14"/>
      <c r="K619" s="14"/>
      <c r="L619" s="14"/>
      <c r="M619" s="18"/>
      <c r="N619" s="14"/>
      <c r="O619" s="14"/>
      <c r="P619" s="14"/>
      <c r="Q619" s="14"/>
      <c r="R619" s="14"/>
      <c r="S619" s="14"/>
      <c r="T619" s="14"/>
      <c r="U619" s="18"/>
      <c r="V619" s="18"/>
      <c r="W619" s="18"/>
      <c r="X619" s="18"/>
      <c r="Y619" s="18"/>
      <c r="Z619" s="18"/>
      <c r="AA619" s="18"/>
      <c r="AB619" s="18"/>
      <c r="AC619" s="18"/>
      <c r="AD619" s="18"/>
    </row>
    <row r="620" ht="24.75" customHeight="1">
      <c r="A620" s="19"/>
      <c r="B620" s="18"/>
      <c r="C620" s="18"/>
      <c r="D620" s="18"/>
      <c r="E620" s="18"/>
      <c r="F620" s="18"/>
      <c r="G620" s="14"/>
      <c r="H620" s="14"/>
      <c r="I620" s="14"/>
      <c r="J620" s="14"/>
      <c r="K620" s="14"/>
      <c r="L620" s="14"/>
      <c r="M620" s="18"/>
      <c r="N620" s="14"/>
      <c r="O620" s="14"/>
      <c r="P620" s="14"/>
      <c r="Q620" s="14"/>
      <c r="R620" s="14"/>
      <c r="S620" s="14"/>
      <c r="T620" s="14"/>
      <c r="U620" s="18"/>
      <c r="V620" s="18"/>
      <c r="W620" s="18"/>
      <c r="X620" s="18"/>
      <c r="Y620" s="18"/>
      <c r="Z620" s="18"/>
      <c r="AA620" s="18"/>
      <c r="AB620" s="18"/>
      <c r="AC620" s="18"/>
      <c r="AD620" s="18"/>
    </row>
    <row r="621" ht="24.75" customHeight="1">
      <c r="A621" s="19"/>
      <c r="B621" s="18"/>
      <c r="C621" s="18"/>
      <c r="D621" s="18"/>
      <c r="E621" s="18"/>
      <c r="F621" s="18"/>
      <c r="G621" s="14"/>
      <c r="H621" s="14"/>
      <c r="I621" s="14"/>
      <c r="J621" s="14"/>
      <c r="K621" s="14"/>
      <c r="L621" s="14"/>
      <c r="M621" s="18"/>
      <c r="N621" s="14"/>
      <c r="O621" s="14"/>
      <c r="P621" s="14"/>
      <c r="Q621" s="14"/>
      <c r="R621" s="14"/>
      <c r="S621" s="14"/>
      <c r="T621" s="14"/>
      <c r="U621" s="18"/>
      <c r="V621" s="18"/>
      <c r="W621" s="18"/>
      <c r="X621" s="18"/>
      <c r="Y621" s="18"/>
      <c r="Z621" s="18"/>
      <c r="AA621" s="18"/>
      <c r="AB621" s="18"/>
      <c r="AC621" s="18"/>
      <c r="AD621" s="18"/>
    </row>
    <row r="622" ht="24.75" customHeight="1">
      <c r="A622" s="19"/>
      <c r="B622" s="18"/>
      <c r="C622" s="18"/>
      <c r="D622" s="18"/>
      <c r="E622" s="18"/>
      <c r="F622" s="18"/>
      <c r="G622" s="14"/>
      <c r="H622" s="14"/>
      <c r="I622" s="14"/>
      <c r="J622" s="14"/>
      <c r="K622" s="14"/>
      <c r="L622" s="14"/>
      <c r="M622" s="18"/>
      <c r="N622" s="14"/>
      <c r="O622" s="14"/>
      <c r="P622" s="14"/>
      <c r="Q622" s="14"/>
      <c r="R622" s="14"/>
      <c r="S622" s="14"/>
      <c r="T622" s="14"/>
      <c r="U622" s="18"/>
      <c r="V622" s="18"/>
      <c r="W622" s="18"/>
      <c r="X622" s="18"/>
      <c r="Y622" s="18"/>
      <c r="Z622" s="18"/>
      <c r="AA622" s="18"/>
      <c r="AB622" s="18"/>
      <c r="AC622" s="18"/>
      <c r="AD622" s="18"/>
    </row>
    <row r="623" ht="24.75" customHeight="1">
      <c r="A623" s="19"/>
      <c r="B623" s="18"/>
      <c r="C623" s="18"/>
      <c r="D623" s="18"/>
      <c r="E623" s="18"/>
      <c r="F623" s="18"/>
      <c r="G623" s="14"/>
      <c r="H623" s="14"/>
      <c r="I623" s="14"/>
      <c r="J623" s="14"/>
      <c r="K623" s="14"/>
      <c r="L623" s="14"/>
      <c r="M623" s="18"/>
      <c r="N623" s="14"/>
      <c r="O623" s="14"/>
      <c r="P623" s="14"/>
      <c r="Q623" s="14"/>
      <c r="R623" s="14"/>
      <c r="S623" s="14"/>
      <c r="T623" s="14"/>
      <c r="U623" s="18"/>
      <c r="V623" s="18"/>
      <c r="W623" s="18"/>
      <c r="X623" s="18"/>
      <c r="Y623" s="18"/>
      <c r="Z623" s="18"/>
      <c r="AA623" s="18"/>
      <c r="AB623" s="18"/>
      <c r="AC623" s="18"/>
      <c r="AD623" s="18"/>
    </row>
    <row r="624" ht="24.75" customHeight="1">
      <c r="A624" s="19"/>
      <c r="B624" s="18"/>
      <c r="C624" s="18"/>
      <c r="D624" s="18"/>
      <c r="E624" s="18"/>
      <c r="F624" s="18"/>
      <c r="G624" s="14"/>
      <c r="H624" s="14"/>
      <c r="I624" s="14"/>
      <c r="J624" s="14"/>
      <c r="K624" s="14"/>
      <c r="L624" s="14"/>
      <c r="M624" s="18"/>
      <c r="N624" s="14"/>
      <c r="O624" s="14"/>
      <c r="P624" s="14"/>
      <c r="Q624" s="14"/>
      <c r="R624" s="14"/>
      <c r="S624" s="14"/>
      <c r="T624" s="14"/>
      <c r="U624" s="18"/>
      <c r="V624" s="18"/>
      <c r="W624" s="18"/>
      <c r="X624" s="18"/>
      <c r="Y624" s="18"/>
      <c r="Z624" s="18"/>
      <c r="AA624" s="18"/>
      <c r="AB624" s="18"/>
      <c r="AC624" s="18"/>
      <c r="AD624" s="18"/>
    </row>
    <row r="625" ht="24.75" customHeight="1">
      <c r="A625" s="19"/>
      <c r="B625" s="18"/>
      <c r="C625" s="18"/>
      <c r="D625" s="18"/>
      <c r="E625" s="18"/>
      <c r="F625" s="18"/>
      <c r="G625" s="14"/>
      <c r="H625" s="14"/>
      <c r="I625" s="14"/>
      <c r="J625" s="14"/>
      <c r="K625" s="14"/>
      <c r="L625" s="14"/>
      <c r="M625" s="18"/>
      <c r="N625" s="14"/>
      <c r="O625" s="14"/>
      <c r="P625" s="14"/>
      <c r="Q625" s="14"/>
      <c r="R625" s="14"/>
      <c r="S625" s="14"/>
      <c r="T625" s="14"/>
      <c r="U625" s="18"/>
      <c r="V625" s="18"/>
      <c r="W625" s="18"/>
      <c r="X625" s="18"/>
      <c r="Y625" s="18"/>
      <c r="Z625" s="18"/>
      <c r="AA625" s="18"/>
      <c r="AB625" s="18"/>
      <c r="AC625" s="18"/>
      <c r="AD625" s="18"/>
    </row>
    <row r="626" ht="24.75" customHeight="1">
      <c r="A626" s="19"/>
      <c r="B626" s="18"/>
      <c r="C626" s="18"/>
      <c r="D626" s="18"/>
      <c r="E626" s="18"/>
      <c r="F626" s="18"/>
      <c r="G626" s="14"/>
      <c r="H626" s="14"/>
      <c r="I626" s="14"/>
      <c r="J626" s="14"/>
      <c r="K626" s="14"/>
      <c r="L626" s="14"/>
      <c r="M626" s="18"/>
      <c r="N626" s="14"/>
      <c r="O626" s="14"/>
      <c r="P626" s="14"/>
      <c r="Q626" s="14"/>
      <c r="R626" s="14"/>
      <c r="S626" s="14"/>
      <c r="T626" s="14"/>
      <c r="U626" s="18"/>
      <c r="V626" s="18"/>
      <c r="W626" s="18"/>
      <c r="X626" s="18"/>
      <c r="Y626" s="18"/>
      <c r="Z626" s="18"/>
      <c r="AA626" s="18"/>
      <c r="AB626" s="18"/>
      <c r="AC626" s="18"/>
      <c r="AD626" s="18"/>
    </row>
    <row r="627" ht="24.75" customHeight="1">
      <c r="A627" s="19"/>
      <c r="B627" s="18"/>
      <c r="C627" s="18"/>
      <c r="D627" s="18"/>
      <c r="E627" s="18"/>
      <c r="F627" s="18"/>
      <c r="G627" s="14"/>
      <c r="H627" s="14"/>
      <c r="I627" s="14"/>
      <c r="J627" s="14"/>
      <c r="K627" s="14"/>
      <c r="L627" s="14"/>
      <c r="M627" s="18"/>
      <c r="N627" s="14"/>
      <c r="O627" s="14"/>
      <c r="P627" s="14"/>
      <c r="Q627" s="14"/>
      <c r="R627" s="14"/>
      <c r="S627" s="14"/>
      <c r="T627" s="14"/>
      <c r="U627" s="18"/>
      <c r="V627" s="18"/>
      <c r="W627" s="18"/>
      <c r="X627" s="18"/>
      <c r="Y627" s="18"/>
      <c r="Z627" s="18"/>
      <c r="AA627" s="18"/>
      <c r="AB627" s="18"/>
      <c r="AC627" s="18"/>
      <c r="AD627" s="18"/>
    </row>
    <row r="628" ht="24.75" customHeight="1">
      <c r="A628" s="19"/>
      <c r="B628" s="18"/>
      <c r="C628" s="18"/>
      <c r="D628" s="18"/>
      <c r="E628" s="18"/>
      <c r="F628" s="18"/>
      <c r="G628" s="14"/>
      <c r="H628" s="14"/>
      <c r="I628" s="14"/>
      <c r="J628" s="14"/>
      <c r="K628" s="14"/>
      <c r="L628" s="14"/>
      <c r="M628" s="18"/>
      <c r="N628" s="14"/>
      <c r="O628" s="14"/>
      <c r="P628" s="14"/>
      <c r="Q628" s="14"/>
      <c r="R628" s="14"/>
      <c r="S628" s="14"/>
      <c r="T628" s="14"/>
      <c r="U628" s="18"/>
      <c r="V628" s="18"/>
      <c r="W628" s="18"/>
      <c r="X628" s="18"/>
      <c r="Y628" s="18"/>
      <c r="Z628" s="18"/>
      <c r="AA628" s="18"/>
      <c r="AB628" s="18"/>
      <c r="AC628" s="18"/>
      <c r="AD628" s="18"/>
    </row>
    <row r="629" ht="24.75" customHeight="1">
      <c r="A629" s="19"/>
      <c r="B629" s="18"/>
      <c r="C629" s="18"/>
      <c r="D629" s="18"/>
      <c r="E629" s="18"/>
      <c r="F629" s="18"/>
      <c r="G629" s="14"/>
      <c r="H629" s="14"/>
      <c r="I629" s="14"/>
      <c r="J629" s="14"/>
      <c r="K629" s="14"/>
      <c r="L629" s="14"/>
      <c r="M629" s="18"/>
      <c r="N629" s="14"/>
      <c r="O629" s="14"/>
      <c r="P629" s="14"/>
      <c r="Q629" s="14"/>
      <c r="R629" s="14"/>
      <c r="S629" s="14"/>
      <c r="T629" s="14"/>
      <c r="U629" s="18"/>
      <c r="V629" s="18"/>
      <c r="W629" s="18"/>
      <c r="X629" s="18"/>
      <c r="Y629" s="18"/>
      <c r="Z629" s="18"/>
      <c r="AA629" s="18"/>
      <c r="AB629" s="18"/>
      <c r="AC629" s="18"/>
      <c r="AD629" s="18"/>
    </row>
    <row r="630" ht="24.75" customHeight="1">
      <c r="A630" s="19"/>
      <c r="B630" s="18"/>
      <c r="C630" s="18"/>
      <c r="D630" s="18"/>
      <c r="E630" s="18"/>
      <c r="F630" s="18"/>
      <c r="G630" s="14"/>
      <c r="H630" s="14"/>
      <c r="I630" s="14"/>
      <c r="J630" s="14"/>
      <c r="K630" s="14"/>
      <c r="L630" s="14"/>
      <c r="M630" s="18"/>
      <c r="N630" s="14"/>
      <c r="O630" s="14"/>
      <c r="P630" s="14"/>
      <c r="Q630" s="14"/>
      <c r="R630" s="14"/>
      <c r="S630" s="14"/>
      <c r="T630" s="14"/>
      <c r="U630" s="18"/>
      <c r="V630" s="18"/>
      <c r="W630" s="18"/>
      <c r="X630" s="18"/>
      <c r="Y630" s="18"/>
      <c r="Z630" s="18"/>
      <c r="AA630" s="18"/>
      <c r="AB630" s="18"/>
      <c r="AC630" s="18"/>
      <c r="AD630" s="18"/>
    </row>
    <row r="631" ht="24.75" customHeight="1">
      <c r="A631" s="19"/>
      <c r="B631" s="18"/>
      <c r="C631" s="18"/>
      <c r="D631" s="18"/>
      <c r="E631" s="18"/>
      <c r="F631" s="18"/>
      <c r="G631" s="14"/>
      <c r="H631" s="14"/>
      <c r="I631" s="14"/>
      <c r="J631" s="14"/>
      <c r="K631" s="14"/>
      <c r="L631" s="14"/>
      <c r="M631" s="18"/>
      <c r="N631" s="14"/>
      <c r="O631" s="14"/>
      <c r="P631" s="14"/>
      <c r="Q631" s="14"/>
      <c r="R631" s="14"/>
      <c r="S631" s="14"/>
      <c r="T631" s="14"/>
      <c r="U631" s="18"/>
      <c r="V631" s="18"/>
      <c r="W631" s="18"/>
      <c r="X631" s="18"/>
      <c r="Y631" s="18"/>
      <c r="Z631" s="18"/>
      <c r="AA631" s="18"/>
      <c r="AB631" s="18"/>
      <c r="AC631" s="18"/>
      <c r="AD631" s="18"/>
    </row>
    <row r="632" ht="24.75" customHeight="1">
      <c r="A632" s="19"/>
      <c r="B632" s="18"/>
      <c r="C632" s="18"/>
      <c r="D632" s="18"/>
      <c r="E632" s="18"/>
      <c r="F632" s="18"/>
      <c r="G632" s="14"/>
      <c r="H632" s="14"/>
      <c r="I632" s="14"/>
      <c r="J632" s="14"/>
      <c r="K632" s="14"/>
      <c r="L632" s="14"/>
      <c r="M632" s="18"/>
      <c r="N632" s="14"/>
      <c r="O632" s="14"/>
      <c r="P632" s="14"/>
      <c r="Q632" s="14"/>
      <c r="R632" s="14"/>
      <c r="S632" s="14"/>
      <c r="T632" s="14"/>
      <c r="U632" s="18"/>
      <c r="V632" s="18"/>
      <c r="W632" s="18"/>
      <c r="X632" s="18"/>
      <c r="Y632" s="18"/>
      <c r="Z632" s="18"/>
      <c r="AA632" s="18"/>
      <c r="AB632" s="18"/>
      <c r="AC632" s="18"/>
      <c r="AD632" s="18"/>
    </row>
    <row r="633" ht="24.75" customHeight="1">
      <c r="A633" s="19"/>
      <c r="B633" s="18"/>
      <c r="C633" s="18"/>
      <c r="D633" s="18"/>
      <c r="E633" s="18"/>
      <c r="F633" s="18"/>
      <c r="G633" s="14"/>
      <c r="H633" s="14"/>
      <c r="I633" s="14"/>
      <c r="J633" s="14"/>
      <c r="K633" s="14"/>
      <c r="L633" s="14"/>
      <c r="M633" s="18"/>
      <c r="N633" s="14"/>
      <c r="O633" s="14"/>
      <c r="P633" s="14"/>
      <c r="Q633" s="14"/>
      <c r="R633" s="14"/>
      <c r="S633" s="14"/>
      <c r="T633" s="14"/>
      <c r="U633" s="18"/>
      <c r="V633" s="18"/>
      <c r="W633" s="18"/>
      <c r="X633" s="18"/>
      <c r="Y633" s="18"/>
      <c r="Z633" s="18"/>
      <c r="AA633" s="18"/>
      <c r="AB633" s="18"/>
      <c r="AC633" s="18"/>
      <c r="AD633" s="18"/>
    </row>
    <row r="634" ht="24.75" customHeight="1">
      <c r="A634" s="19"/>
      <c r="B634" s="18"/>
      <c r="C634" s="18"/>
      <c r="D634" s="18"/>
      <c r="E634" s="18"/>
      <c r="F634" s="18"/>
      <c r="G634" s="14"/>
      <c r="H634" s="14"/>
      <c r="I634" s="14"/>
      <c r="J634" s="14"/>
      <c r="K634" s="14"/>
      <c r="L634" s="14"/>
      <c r="M634" s="18"/>
      <c r="N634" s="14"/>
      <c r="O634" s="14"/>
      <c r="P634" s="14"/>
      <c r="Q634" s="14"/>
      <c r="R634" s="14"/>
      <c r="S634" s="14"/>
      <c r="T634" s="14"/>
      <c r="U634" s="18"/>
      <c r="V634" s="18"/>
      <c r="W634" s="18"/>
      <c r="X634" s="18"/>
      <c r="Y634" s="18"/>
      <c r="Z634" s="18"/>
      <c r="AA634" s="18"/>
      <c r="AB634" s="18"/>
      <c r="AC634" s="18"/>
      <c r="AD634" s="18"/>
    </row>
    <row r="635" ht="24.75" customHeight="1">
      <c r="A635" s="19"/>
      <c r="B635" s="18"/>
      <c r="C635" s="18"/>
      <c r="D635" s="18"/>
      <c r="E635" s="18"/>
      <c r="F635" s="18"/>
      <c r="G635" s="14"/>
      <c r="H635" s="14"/>
      <c r="I635" s="14"/>
      <c r="J635" s="14"/>
      <c r="K635" s="14"/>
      <c r="L635" s="14"/>
      <c r="M635" s="18"/>
      <c r="N635" s="14"/>
      <c r="O635" s="14"/>
      <c r="P635" s="14"/>
      <c r="Q635" s="14"/>
      <c r="R635" s="14"/>
      <c r="S635" s="14"/>
      <c r="T635" s="14"/>
      <c r="U635" s="18"/>
      <c r="V635" s="18"/>
      <c r="W635" s="18"/>
      <c r="X635" s="18"/>
      <c r="Y635" s="18"/>
      <c r="Z635" s="18"/>
      <c r="AA635" s="18"/>
      <c r="AB635" s="18"/>
      <c r="AC635" s="18"/>
      <c r="AD635" s="18"/>
    </row>
    <row r="636" ht="24.75" customHeight="1">
      <c r="A636" s="19"/>
      <c r="B636" s="18"/>
      <c r="C636" s="18"/>
      <c r="D636" s="18"/>
      <c r="E636" s="18"/>
      <c r="F636" s="18"/>
      <c r="G636" s="14"/>
      <c r="H636" s="14"/>
      <c r="I636" s="14"/>
      <c r="J636" s="14"/>
      <c r="K636" s="14"/>
      <c r="L636" s="14"/>
      <c r="M636" s="18"/>
      <c r="N636" s="14"/>
      <c r="O636" s="14"/>
      <c r="P636" s="14"/>
      <c r="Q636" s="14"/>
      <c r="R636" s="14"/>
      <c r="S636" s="14"/>
      <c r="T636" s="14"/>
      <c r="U636" s="18"/>
      <c r="V636" s="18"/>
      <c r="W636" s="18"/>
      <c r="X636" s="18"/>
      <c r="Y636" s="18"/>
      <c r="Z636" s="18"/>
      <c r="AA636" s="18"/>
      <c r="AB636" s="18"/>
      <c r="AC636" s="18"/>
      <c r="AD636" s="18"/>
    </row>
    <row r="637" ht="24.75" customHeight="1">
      <c r="A637" s="19"/>
      <c r="B637" s="18"/>
      <c r="C637" s="18"/>
      <c r="D637" s="18"/>
      <c r="E637" s="18"/>
      <c r="F637" s="18"/>
      <c r="G637" s="14"/>
      <c r="H637" s="14"/>
      <c r="I637" s="14"/>
      <c r="J637" s="14"/>
      <c r="K637" s="14"/>
      <c r="L637" s="14"/>
      <c r="M637" s="18"/>
      <c r="N637" s="14"/>
      <c r="O637" s="14"/>
      <c r="P637" s="14"/>
      <c r="Q637" s="14"/>
      <c r="R637" s="14"/>
      <c r="S637" s="14"/>
      <c r="T637" s="14"/>
      <c r="U637" s="18"/>
      <c r="V637" s="18"/>
      <c r="W637" s="18"/>
      <c r="X637" s="18"/>
      <c r="Y637" s="18"/>
      <c r="Z637" s="18"/>
      <c r="AA637" s="18"/>
      <c r="AB637" s="18"/>
      <c r="AC637" s="18"/>
      <c r="AD637" s="18"/>
    </row>
    <row r="638" ht="24.75" customHeight="1">
      <c r="A638" s="19"/>
      <c r="B638" s="18"/>
      <c r="C638" s="18"/>
      <c r="D638" s="18"/>
      <c r="E638" s="18"/>
      <c r="F638" s="18"/>
      <c r="G638" s="14"/>
      <c r="H638" s="14"/>
      <c r="I638" s="14"/>
      <c r="J638" s="14"/>
      <c r="K638" s="14"/>
      <c r="L638" s="14"/>
      <c r="M638" s="18"/>
      <c r="N638" s="14"/>
      <c r="O638" s="14"/>
      <c r="P638" s="14"/>
      <c r="Q638" s="14"/>
      <c r="R638" s="14"/>
      <c r="S638" s="14"/>
      <c r="T638" s="14"/>
      <c r="U638" s="18"/>
      <c r="V638" s="18"/>
      <c r="W638" s="18"/>
      <c r="X638" s="18"/>
      <c r="Y638" s="18"/>
      <c r="Z638" s="18"/>
      <c r="AA638" s="18"/>
      <c r="AB638" s="18"/>
      <c r="AC638" s="18"/>
      <c r="AD638" s="18"/>
    </row>
    <row r="639" ht="24.75" customHeight="1">
      <c r="A639" s="19"/>
      <c r="B639" s="18"/>
      <c r="C639" s="18"/>
      <c r="D639" s="18"/>
      <c r="E639" s="18"/>
      <c r="F639" s="18"/>
      <c r="G639" s="14"/>
      <c r="H639" s="14"/>
      <c r="I639" s="14"/>
      <c r="J639" s="14"/>
      <c r="K639" s="14"/>
      <c r="L639" s="14"/>
      <c r="M639" s="18"/>
      <c r="N639" s="14"/>
      <c r="O639" s="14"/>
      <c r="P639" s="14"/>
      <c r="Q639" s="14"/>
      <c r="R639" s="14"/>
      <c r="S639" s="14"/>
      <c r="T639" s="14"/>
      <c r="U639" s="18"/>
      <c r="V639" s="18"/>
      <c r="W639" s="18"/>
      <c r="X639" s="18"/>
      <c r="Y639" s="18"/>
      <c r="Z639" s="18"/>
      <c r="AA639" s="18"/>
      <c r="AB639" s="18"/>
      <c r="AC639" s="18"/>
      <c r="AD639" s="18"/>
    </row>
    <row r="640" ht="24.75" customHeight="1">
      <c r="A640" s="19"/>
      <c r="B640" s="18"/>
      <c r="C640" s="18"/>
      <c r="D640" s="18"/>
      <c r="E640" s="18"/>
      <c r="F640" s="18"/>
      <c r="G640" s="14"/>
      <c r="H640" s="14"/>
      <c r="I640" s="14"/>
      <c r="J640" s="14"/>
      <c r="K640" s="14"/>
      <c r="L640" s="14"/>
      <c r="M640" s="18"/>
      <c r="N640" s="14"/>
      <c r="O640" s="14"/>
      <c r="P640" s="14"/>
      <c r="Q640" s="14"/>
      <c r="R640" s="14"/>
      <c r="S640" s="14"/>
      <c r="T640" s="14"/>
      <c r="U640" s="18"/>
      <c r="V640" s="18"/>
      <c r="W640" s="18"/>
      <c r="X640" s="18"/>
      <c r="Y640" s="18"/>
      <c r="Z640" s="18"/>
      <c r="AA640" s="18"/>
      <c r="AB640" s="18"/>
      <c r="AC640" s="18"/>
      <c r="AD640" s="18"/>
    </row>
    <row r="641" ht="24.75" customHeight="1">
      <c r="A641" s="19"/>
      <c r="B641" s="18"/>
      <c r="C641" s="18"/>
      <c r="D641" s="18"/>
      <c r="E641" s="18"/>
      <c r="F641" s="18"/>
      <c r="G641" s="14"/>
      <c r="H641" s="14"/>
      <c r="I641" s="14"/>
      <c r="J641" s="14"/>
      <c r="K641" s="14"/>
      <c r="L641" s="14"/>
      <c r="M641" s="18"/>
      <c r="N641" s="14"/>
      <c r="O641" s="14"/>
      <c r="P641" s="14"/>
      <c r="Q641" s="14"/>
      <c r="R641" s="14"/>
      <c r="S641" s="14"/>
      <c r="T641" s="14"/>
      <c r="U641" s="18"/>
      <c r="V641" s="18"/>
      <c r="W641" s="18"/>
      <c r="X641" s="18"/>
      <c r="Y641" s="18"/>
      <c r="Z641" s="18"/>
      <c r="AA641" s="18"/>
      <c r="AB641" s="18"/>
      <c r="AC641" s="18"/>
      <c r="AD641" s="18"/>
    </row>
    <row r="642" ht="24.75" customHeight="1">
      <c r="A642" s="19"/>
      <c r="B642" s="18"/>
      <c r="C642" s="18"/>
      <c r="D642" s="18"/>
      <c r="E642" s="18"/>
      <c r="F642" s="18"/>
      <c r="G642" s="14"/>
      <c r="H642" s="14"/>
      <c r="I642" s="14"/>
      <c r="J642" s="14"/>
      <c r="K642" s="14"/>
      <c r="L642" s="14"/>
      <c r="M642" s="18"/>
      <c r="N642" s="14"/>
      <c r="O642" s="14"/>
      <c r="P642" s="14"/>
      <c r="Q642" s="14"/>
      <c r="R642" s="14"/>
      <c r="S642" s="14"/>
      <c r="T642" s="14"/>
      <c r="U642" s="18"/>
      <c r="V642" s="18"/>
      <c r="W642" s="18"/>
      <c r="X642" s="18"/>
      <c r="Y642" s="18"/>
      <c r="Z642" s="18"/>
      <c r="AA642" s="18"/>
      <c r="AB642" s="18"/>
      <c r="AC642" s="18"/>
      <c r="AD642" s="18"/>
    </row>
    <row r="643" ht="24.75" customHeight="1">
      <c r="A643" s="19"/>
      <c r="B643" s="18"/>
      <c r="C643" s="18"/>
      <c r="D643" s="18"/>
      <c r="E643" s="18"/>
      <c r="F643" s="18"/>
      <c r="G643" s="14"/>
      <c r="H643" s="14"/>
      <c r="I643" s="14"/>
      <c r="J643" s="14"/>
      <c r="K643" s="14"/>
      <c r="L643" s="14"/>
      <c r="M643" s="18"/>
      <c r="N643" s="14"/>
      <c r="O643" s="14"/>
      <c r="P643" s="14"/>
      <c r="Q643" s="14"/>
      <c r="R643" s="14"/>
      <c r="S643" s="14"/>
      <c r="T643" s="14"/>
      <c r="U643" s="18"/>
      <c r="V643" s="18"/>
      <c r="W643" s="18"/>
      <c r="X643" s="18"/>
      <c r="Y643" s="18"/>
      <c r="Z643" s="18"/>
      <c r="AA643" s="18"/>
      <c r="AB643" s="18"/>
      <c r="AC643" s="18"/>
      <c r="AD643" s="18"/>
    </row>
    <row r="644" ht="24.75" customHeight="1">
      <c r="A644" s="19"/>
      <c r="B644" s="18"/>
      <c r="C644" s="18"/>
      <c r="D644" s="18"/>
      <c r="E644" s="18"/>
      <c r="F644" s="18"/>
      <c r="G644" s="14"/>
      <c r="H644" s="14"/>
      <c r="I644" s="14"/>
      <c r="J644" s="14"/>
      <c r="K644" s="14"/>
      <c r="L644" s="14"/>
      <c r="M644" s="18"/>
      <c r="N644" s="14"/>
      <c r="O644" s="14"/>
      <c r="P644" s="14"/>
      <c r="Q644" s="14"/>
      <c r="R644" s="14"/>
      <c r="S644" s="14"/>
      <c r="T644" s="14"/>
      <c r="U644" s="18"/>
      <c r="V644" s="18"/>
      <c r="W644" s="18"/>
      <c r="X644" s="18"/>
      <c r="Y644" s="18"/>
      <c r="Z644" s="18"/>
      <c r="AA644" s="18"/>
      <c r="AB644" s="18"/>
      <c r="AC644" s="18"/>
      <c r="AD644" s="18"/>
    </row>
    <row r="645" ht="24.75" customHeight="1">
      <c r="A645" s="19"/>
      <c r="B645" s="18"/>
      <c r="C645" s="18"/>
      <c r="D645" s="18"/>
      <c r="E645" s="18"/>
      <c r="F645" s="18"/>
      <c r="G645" s="14"/>
      <c r="H645" s="14"/>
      <c r="I645" s="14"/>
      <c r="J645" s="14"/>
      <c r="K645" s="14"/>
      <c r="L645" s="14"/>
      <c r="M645" s="18"/>
      <c r="N645" s="14"/>
      <c r="O645" s="14"/>
      <c r="P645" s="14"/>
      <c r="Q645" s="14"/>
      <c r="R645" s="14"/>
      <c r="S645" s="14"/>
      <c r="T645" s="14"/>
      <c r="U645" s="18"/>
      <c r="V645" s="18"/>
      <c r="W645" s="18"/>
      <c r="X645" s="18"/>
      <c r="Y645" s="18"/>
      <c r="Z645" s="18"/>
      <c r="AA645" s="18"/>
      <c r="AB645" s="18"/>
      <c r="AC645" s="18"/>
      <c r="AD645" s="18"/>
    </row>
    <row r="646" ht="24.75" customHeight="1">
      <c r="A646" s="19"/>
      <c r="B646" s="18"/>
      <c r="C646" s="18"/>
      <c r="D646" s="18"/>
      <c r="E646" s="18"/>
      <c r="F646" s="18"/>
      <c r="G646" s="14"/>
      <c r="H646" s="14"/>
      <c r="I646" s="14"/>
      <c r="J646" s="14"/>
      <c r="K646" s="14"/>
      <c r="L646" s="14"/>
      <c r="M646" s="18"/>
      <c r="N646" s="14"/>
      <c r="O646" s="14"/>
      <c r="P646" s="14"/>
      <c r="Q646" s="14"/>
      <c r="R646" s="14"/>
      <c r="S646" s="14"/>
      <c r="T646" s="14"/>
      <c r="U646" s="18"/>
      <c r="V646" s="18"/>
      <c r="W646" s="18"/>
      <c r="X646" s="18"/>
      <c r="Y646" s="18"/>
      <c r="Z646" s="18"/>
      <c r="AA646" s="18"/>
      <c r="AB646" s="18"/>
      <c r="AC646" s="18"/>
      <c r="AD646" s="18"/>
    </row>
    <row r="647" ht="24.75" customHeight="1">
      <c r="A647" s="19"/>
      <c r="B647" s="18"/>
      <c r="C647" s="18"/>
      <c r="D647" s="18"/>
      <c r="E647" s="18"/>
      <c r="F647" s="18"/>
      <c r="G647" s="14"/>
      <c r="H647" s="14"/>
      <c r="I647" s="14"/>
      <c r="J647" s="14"/>
      <c r="K647" s="14"/>
      <c r="L647" s="14"/>
      <c r="M647" s="18"/>
      <c r="N647" s="14"/>
      <c r="O647" s="14"/>
      <c r="P647" s="14"/>
      <c r="Q647" s="14"/>
      <c r="R647" s="14"/>
      <c r="S647" s="14"/>
      <c r="T647" s="14"/>
      <c r="U647" s="18"/>
      <c r="V647" s="18"/>
      <c r="W647" s="18"/>
      <c r="X647" s="18"/>
      <c r="Y647" s="18"/>
      <c r="Z647" s="18"/>
      <c r="AA647" s="18"/>
      <c r="AB647" s="18"/>
      <c r="AC647" s="18"/>
      <c r="AD647" s="18"/>
    </row>
    <row r="648" ht="24.75" customHeight="1">
      <c r="A648" s="19"/>
      <c r="B648" s="18"/>
      <c r="C648" s="18"/>
      <c r="D648" s="18"/>
      <c r="E648" s="18"/>
      <c r="F648" s="18"/>
      <c r="G648" s="14"/>
      <c r="H648" s="14"/>
      <c r="I648" s="14"/>
      <c r="J648" s="14"/>
      <c r="K648" s="14"/>
      <c r="L648" s="14"/>
      <c r="M648" s="18"/>
      <c r="N648" s="14"/>
      <c r="O648" s="14"/>
      <c r="P648" s="14"/>
      <c r="Q648" s="14"/>
      <c r="R648" s="14"/>
      <c r="S648" s="14"/>
      <c r="T648" s="14"/>
      <c r="U648" s="18"/>
      <c r="V648" s="18"/>
      <c r="W648" s="18"/>
      <c r="X648" s="18"/>
      <c r="Y648" s="18"/>
      <c r="Z648" s="18"/>
      <c r="AA648" s="18"/>
      <c r="AB648" s="18"/>
      <c r="AC648" s="18"/>
      <c r="AD648" s="18"/>
    </row>
    <row r="649" ht="24.75" customHeight="1">
      <c r="A649" s="19"/>
      <c r="B649" s="18"/>
      <c r="C649" s="18"/>
      <c r="D649" s="18"/>
      <c r="E649" s="18"/>
      <c r="F649" s="18"/>
      <c r="G649" s="14"/>
      <c r="H649" s="14"/>
      <c r="I649" s="14"/>
      <c r="J649" s="14"/>
      <c r="K649" s="14"/>
      <c r="L649" s="14"/>
      <c r="M649" s="18"/>
      <c r="N649" s="14"/>
      <c r="O649" s="14"/>
      <c r="P649" s="14"/>
      <c r="Q649" s="14"/>
      <c r="R649" s="14"/>
      <c r="S649" s="14"/>
      <c r="T649" s="14"/>
      <c r="U649" s="18"/>
      <c r="V649" s="18"/>
      <c r="W649" s="18"/>
      <c r="X649" s="18"/>
      <c r="Y649" s="18"/>
      <c r="Z649" s="18"/>
      <c r="AA649" s="18"/>
      <c r="AB649" s="18"/>
      <c r="AC649" s="18"/>
      <c r="AD649" s="18"/>
    </row>
    <row r="650" ht="24.75" customHeight="1">
      <c r="A650" s="19"/>
      <c r="B650" s="18"/>
      <c r="C650" s="18"/>
      <c r="D650" s="18"/>
      <c r="E650" s="18"/>
      <c r="F650" s="18"/>
      <c r="G650" s="14"/>
      <c r="H650" s="14"/>
      <c r="I650" s="14"/>
      <c r="J650" s="14"/>
      <c r="K650" s="14"/>
      <c r="L650" s="14"/>
      <c r="M650" s="18"/>
      <c r="N650" s="14"/>
      <c r="O650" s="14"/>
      <c r="P650" s="14"/>
      <c r="Q650" s="14"/>
      <c r="R650" s="14"/>
      <c r="S650" s="14"/>
      <c r="T650" s="14"/>
      <c r="U650" s="18"/>
      <c r="V650" s="18"/>
      <c r="W650" s="18"/>
      <c r="X650" s="18"/>
      <c r="Y650" s="18"/>
      <c r="Z650" s="18"/>
      <c r="AA650" s="18"/>
      <c r="AB650" s="18"/>
      <c r="AC650" s="18"/>
      <c r="AD650" s="18"/>
    </row>
    <row r="651" ht="24.75" customHeight="1">
      <c r="A651" s="19"/>
      <c r="B651" s="18"/>
      <c r="C651" s="18"/>
      <c r="D651" s="18"/>
      <c r="E651" s="18"/>
      <c r="F651" s="18"/>
      <c r="G651" s="14"/>
      <c r="H651" s="14"/>
      <c r="I651" s="14"/>
      <c r="J651" s="14"/>
      <c r="K651" s="14"/>
      <c r="L651" s="14"/>
      <c r="M651" s="18"/>
      <c r="N651" s="14"/>
      <c r="O651" s="14"/>
      <c r="P651" s="14"/>
      <c r="Q651" s="14"/>
      <c r="R651" s="14"/>
      <c r="S651" s="14"/>
      <c r="T651" s="14"/>
      <c r="U651" s="18"/>
      <c r="V651" s="18"/>
      <c r="W651" s="18"/>
      <c r="X651" s="18"/>
      <c r="Y651" s="18"/>
      <c r="Z651" s="18"/>
      <c r="AA651" s="18"/>
      <c r="AB651" s="18"/>
      <c r="AC651" s="18"/>
      <c r="AD651" s="18"/>
    </row>
    <row r="652" ht="24.75" customHeight="1">
      <c r="A652" s="19"/>
      <c r="B652" s="18"/>
      <c r="C652" s="18"/>
      <c r="D652" s="18"/>
      <c r="E652" s="18"/>
      <c r="F652" s="18"/>
      <c r="G652" s="14"/>
      <c r="H652" s="14"/>
      <c r="I652" s="14"/>
      <c r="J652" s="14"/>
      <c r="K652" s="14"/>
      <c r="L652" s="14"/>
      <c r="M652" s="18"/>
      <c r="N652" s="14"/>
      <c r="O652" s="14"/>
      <c r="P652" s="14"/>
      <c r="Q652" s="14"/>
      <c r="R652" s="14"/>
      <c r="S652" s="14"/>
      <c r="T652" s="14"/>
      <c r="U652" s="18"/>
      <c r="V652" s="18"/>
      <c r="W652" s="18"/>
      <c r="X652" s="18"/>
      <c r="Y652" s="18"/>
      <c r="Z652" s="18"/>
      <c r="AA652" s="18"/>
      <c r="AB652" s="18"/>
      <c r="AC652" s="18"/>
      <c r="AD652" s="18"/>
    </row>
    <row r="653" ht="24.75" customHeight="1">
      <c r="A653" s="19"/>
      <c r="B653" s="18"/>
      <c r="C653" s="18"/>
      <c r="D653" s="18"/>
      <c r="E653" s="18"/>
      <c r="F653" s="18"/>
      <c r="G653" s="14"/>
      <c r="H653" s="14"/>
      <c r="I653" s="14"/>
      <c r="J653" s="14"/>
      <c r="K653" s="14"/>
      <c r="L653" s="14"/>
      <c r="M653" s="18"/>
      <c r="N653" s="14"/>
      <c r="O653" s="14"/>
      <c r="P653" s="14"/>
      <c r="Q653" s="14"/>
      <c r="R653" s="14"/>
      <c r="S653" s="14"/>
      <c r="T653" s="14"/>
      <c r="U653" s="18"/>
      <c r="V653" s="18"/>
      <c r="W653" s="18"/>
      <c r="X653" s="18"/>
      <c r="Y653" s="18"/>
      <c r="Z653" s="18"/>
      <c r="AA653" s="18"/>
      <c r="AB653" s="18"/>
      <c r="AC653" s="18"/>
      <c r="AD653" s="18"/>
    </row>
    <row r="654" ht="24.75" customHeight="1">
      <c r="A654" s="19"/>
      <c r="B654" s="18"/>
      <c r="C654" s="18"/>
      <c r="D654" s="18"/>
      <c r="E654" s="18"/>
      <c r="F654" s="18"/>
      <c r="G654" s="14"/>
      <c r="H654" s="14"/>
      <c r="I654" s="14"/>
      <c r="J654" s="14"/>
      <c r="K654" s="14"/>
      <c r="L654" s="14"/>
      <c r="M654" s="18"/>
      <c r="N654" s="14"/>
      <c r="O654" s="14"/>
      <c r="P654" s="14"/>
      <c r="Q654" s="14"/>
      <c r="R654" s="14"/>
      <c r="S654" s="14"/>
      <c r="T654" s="14"/>
      <c r="U654" s="18"/>
      <c r="V654" s="18"/>
      <c r="W654" s="18"/>
      <c r="X654" s="18"/>
      <c r="Y654" s="18"/>
      <c r="Z654" s="18"/>
      <c r="AA654" s="18"/>
      <c r="AB654" s="18"/>
      <c r="AC654" s="18"/>
      <c r="AD654" s="18"/>
    </row>
    <row r="655" ht="24.75" customHeight="1">
      <c r="A655" s="19"/>
      <c r="B655" s="18"/>
      <c r="C655" s="18"/>
      <c r="D655" s="18"/>
      <c r="E655" s="18"/>
      <c r="F655" s="18"/>
      <c r="G655" s="14"/>
      <c r="H655" s="14"/>
      <c r="I655" s="14"/>
      <c r="J655" s="14"/>
      <c r="K655" s="14"/>
      <c r="L655" s="14"/>
      <c r="M655" s="18"/>
      <c r="N655" s="14"/>
      <c r="O655" s="14"/>
      <c r="P655" s="14"/>
      <c r="Q655" s="14"/>
      <c r="R655" s="14"/>
      <c r="S655" s="14"/>
      <c r="T655" s="14"/>
      <c r="U655" s="18"/>
      <c r="V655" s="18"/>
      <c r="W655" s="18"/>
      <c r="X655" s="18"/>
      <c r="Y655" s="18"/>
      <c r="Z655" s="18"/>
      <c r="AA655" s="18"/>
      <c r="AB655" s="18"/>
      <c r="AC655" s="18"/>
      <c r="AD655" s="18"/>
    </row>
    <row r="656" ht="24.75" customHeight="1">
      <c r="A656" s="19"/>
      <c r="B656" s="18"/>
      <c r="C656" s="18"/>
      <c r="D656" s="18"/>
      <c r="E656" s="18"/>
      <c r="F656" s="18"/>
      <c r="G656" s="14"/>
      <c r="H656" s="14"/>
      <c r="I656" s="14"/>
      <c r="J656" s="14"/>
      <c r="K656" s="14"/>
      <c r="L656" s="14"/>
      <c r="M656" s="18"/>
      <c r="N656" s="14"/>
      <c r="O656" s="14"/>
      <c r="P656" s="14"/>
      <c r="Q656" s="14"/>
      <c r="R656" s="14"/>
      <c r="S656" s="14"/>
      <c r="T656" s="14"/>
      <c r="U656" s="18"/>
      <c r="V656" s="18"/>
      <c r="W656" s="18"/>
      <c r="X656" s="18"/>
      <c r="Y656" s="18"/>
      <c r="Z656" s="18"/>
      <c r="AA656" s="18"/>
      <c r="AB656" s="18"/>
      <c r="AC656" s="18"/>
      <c r="AD656" s="18"/>
    </row>
    <row r="657" ht="24.75" customHeight="1">
      <c r="A657" s="19"/>
      <c r="B657" s="18"/>
      <c r="C657" s="18"/>
      <c r="D657" s="18"/>
      <c r="E657" s="18"/>
      <c r="F657" s="18"/>
      <c r="G657" s="14"/>
      <c r="H657" s="14"/>
      <c r="I657" s="14"/>
      <c r="J657" s="14"/>
      <c r="K657" s="14"/>
      <c r="L657" s="14"/>
      <c r="M657" s="18"/>
      <c r="N657" s="14"/>
      <c r="O657" s="14"/>
      <c r="P657" s="14"/>
      <c r="Q657" s="14"/>
      <c r="R657" s="14"/>
      <c r="S657" s="14"/>
      <c r="T657" s="14"/>
      <c r="U657" s="18"/>
      <c r="V657" s="18"/>
      <c r="W657" s="18"/>
      <c r="X657" s="18"/>
      <c r="Y657" s="18"/>
      <c r="Z657" s="18"/>
      <c r="AA657" s="18"/>
      <c r="AB657" s="18"/>
      <c r="AC657" s="18"/>
      <c r="AD657" s="18"/>
    </row>
    <row r="658" ht="24.75" customHeight="1">
      <c r="A658" s="19"/>
      <c r="B658" s="18"/>
      <c r="C658" s="18"/>
      <c r="D658" s="18"/>
      <c r="E658" s="18"/>
      <c r="F658" s="18"/>
      <c r="G658" s="14"/>
      <c r="H658" s="14"/>
      <c r="I658" s="14"/>
      <c r="J658" s="14"/>
      <c r="K658" s="14"/>
      <c r="L658" s="14"/>
      <c r="M658" s="18"/>
      <c r="N658" s="14"/>
      <c r="O658" s="14"/>
      <c r="P658" s="14"/>
      <c r="Q658" s="14"/>
      <c r="R658" s="14"/>
      <c r="S658" s="14"/>
      <c r="T658" s="14"/>
      <c r="U658" s="18"/>
      <c r="V658" s="18"/>
      <c r="W658" s="18"/>
      <c r="X658" s="18"/>
      <c r="Y658" s="18"/>
      <c r="Z658" s="18"/>
      <c r="AA658" s="18"/>
      <c r="AB658" s="18"/>
      <c r="AC658" s="18"/>
      <c r="AD658" s="18"/>
    </row>
    <row r="659" ht="24.75" customHeight="1">
      <c r="A659" s="19"/>
      <c r="B659" s="18"/>
      <c r="C659" s="18"/>
      <c r="D659" s="18"/>
      <c r="E659" s="18"/>
      <c r="F659" s="18"/>
      <c r="G659" s="14"/>
      <c r="H659" s="14"/>
      <c r="I659" s="14"/>
      <c r="J659" s="14"/>
      <c r="K659" s="14"/>
      <c r="L659" s="14"/>
      <c r="M659" s="18"/>
      <c r="N659" s="14"/>
      <c r="O659" s="14"/>
      <c r="P659" s="14"/>
      <c r="Q659" s="14"/>
      <c r="R659" s="14"/>
      <c r="S659" s="14"/>
      <c r="T659" s="14"/>
      <c r="U659" s="18"/>
      <c r="V659" s="18"/>
      <c r="W659" s="18"/>
      <c r="X659" s="18"/>
      <c r="Y659" s="18"/>
      <c r="Z659" s="18"/>
      <c r="AA659" s="18"/>
      <c r="AB659" s="18"/>
      <c r="AC659" s="18"/>
      <c r="AD659" s="18"/>
    </row>
    <row r="660" ht="24.75" customHeight="1">
      <c r="A660" s="19"/>
      <c r="B660" s="18"/>
      <c r="C660" s="18"/>
      <c r="D660" s="18"/>
      <c r="E660" s="18"/>
      <c r="F660" s="18"/>
      <c r="G660" s="14"/>
      <c r="H660" s="14"/>
      <c r="I660" s="14"/>
      <c r="J660" s="14"/>
      <c r="K660" s="14"/>
      <c r="L660" s="14"/>
      <c r="M660" s="18"/>
      <c r="N660" s="14"/>
      <c r="O660" s="14"/>
      <c r="P660" s="14"/>
      <c r="Q660" s="14"/>
      <c r="R660" s="14"/>
      <c r="S660" s="14"/>
      <c r="T660" s="14"/>
      <c r="U660" s="18"/>
      <c r="V660" s="18"/>
      <c r="W660" s="18"/>
      <c r="X660" s="18"/>
      <c r="Y660" s="18"/>
      <c r="Z660" s="18"/>
      <c r="AA660" s="18"/>
      <c r="AB660" s="18"/>
      <c r="AC660" s="18"/>
      <c r="AD660" s="18"/>
    </row>
    <row r="661" ht="24.75" customHeight="1">
      <c r="A661" s="19"/>
      <c r="B661" s="18"/>
      <c r="C661" s="18"/>
      <c r="D661" s="18"/>
      <c r="E661" s="18"/>
      <c r="F661" s="18"/>
      <c r="G661" s="14"/>
      <c r="H661" s="14"/>
      <c r="I661" s="14"/>
      <c r="J661" s="14"/>
      <c r="K661" s="14"/>
      <c r="L661" s="14"/>
      <c r="M661" s="18"/>
      <c r="N661" s="14"/>
      <c r="O661" s="14"/>
      <c r="P661" s="14"/>
      <c r="Q661" s="14"/>
      <c r="R661" s="14"/>
      <c r="S661" s="14"/>
      <c r="T661" s="14"/>
      <c r="U661" s="18"/>
      <c r="V661" s="18"/>
      <c r="W661" s="18"/>
      <c r="X661" s="18"/>
      <c r="Y661" s="18"/>
      <c r="Z661" s="18"/>
      <c r="AA661" s="18"/>
      <c r="AB661" s="18"/>
      <c r="AC661" s="18"/>
      <c r="AD661" s="18"/>
    </row>
    <row r="662" ht="24.75" customHeight="1">
      <c r="A662" s="19"/>
      <c r="B662" s="18"/>
      <c r="C662" s="18"/>
      <c r="D662" s="18"/>
      <c r="E662" s="18"/>
      <c r="F662" s="18"/>
      <c r="G662" s="14"/>
      <c r="H662" s="14"/>
      <c r="I662" s="14"/>
      <c r="J662" s="14"/>
      <c r="K662" s="14"/>
      <c r="L662" s="14"/>
      <c r="M662" s="18"/>
      <c r="N662" s="14"/>
      <c r="O662" s="14"/>
      <c r="P662" s="14"/>
      <c r="Q662" s="14"/>
      <c r="R662" s="14"/>
      <c r="S662" s="14"/>
      <c r="T662" s="14"/>
      <c r="U662" s="18"/>
      <c r="V662" s="18"/>
      <c r="W662" s="18"/>
      <c r="X662" s="18"/>
      <c r="Y662" s="18"/>
      <c r="Z662" s="18"/>
      <c r="AA662" s="18"/>
      <c r="AB662" s="18"/>
      <c r="AC662" s="18"/>
      <c r="AD662" s="18"/>
    </row>
    <row r="663" ht="24.75" customHeight="1">
      <c r="A663" s="19"/>
      <c r="B663" s="18"/>
      <c r="C663" s="18"/>
      <c r="D663" s="18"/>
      <c r="E663" s="18"/>
      <c r="F663" s="18"/>
      <c r="G663" s="14"/>
      <c r="H663" s="14"/>
      <c r="I663" s="14"/>
      <c r="J663" s="14"/>
      <c r="K663" s="14"/>
      <c r="L663" s="14"/>
      <c r="M663" s="18"/>
      <c r="N663" s="14"/>
      <c r="O663" s="14"/>
      <c r="P663" s="14"/>
      <c r="Q663" s="14"/>
      <c r="R663" s="14"/>
      <c r="S663" s="14"/>
      <c r="T663" s="14"/>
      <c r="U663" s="18"/>
      <c r="V663" s="18"/>
      <c r="W663" s="18"/>
      <c r="X663" s="18"/>
      <c r="Y663" s="18"/>
      <c r="Z663" s="18"/>
      <c r="AA663" s="18"/>
      <c r="AB663" s="18"/>
      <c r="AC663" s="18"/>
      <c r="AD663" s="18"/>
    </row>
    <row r="664" ht="24.75" customHeight="1">
      <c r="A664" s="19"/>
      <c r="B664" s="18"/>
      <c r="C664" s="18"/>
      <c r="D664" s="18"/>
      <c r="E664" s="18"/>
      <c r="F664" s="18"/>
      <c r="G664" s="14"/>
      <c r="H664" s="14"/>
      <c r="I664" s="14"/>
      <c r="J664" s="14"/>
      <c r="K664" s="14"/>
      <c r="L664" s="14"/>
      <c r="M664" s="18"/>
      <c r="N664" s="14"/>
      <c r="O664" s="14"/>
      <c r="P664" s="14"/>
      <c r="Q664" s="14"/>
      <c r="R664" s="14"/>
      <c r="S664" s="14"/>
      <c r="T664" s="14"/>
      <c r="U664" s="18"/>
      <c r="V664" s="18"/>
      <c r="W664" s="18"/>
      <c r="X664" s="18"/>
      <c r="Y664" s="18"/>
      <c r="Z664" s="18"/>
      <c r="AA664" s="18"/>
      <c r="AB664" s="18"/>
      <c r="AC664" s="18"/>
      <c r="AD664" s="18"/>
    </row>
    <row r="665" ht="24.75" customHeight="1">
      <c r="A665" s="19"/>
      <c r="B665" s="18"/>
      <c r="C665" s="18"/>
      <c r="D665" s="18"/>
      <c r="E665" s="18"/>
      <c r="F665" s="18"/>
      <c r="G665" s="14"/>
      <c r="H665" s="14"/>
      <c r="I665" s="14"/>
      <c r="J665" s="14"/>
      <c r="K665" s="14"/>
      <c r="L665" s="14"/>
      <c r="M665" s="18"/>
      <c r="N665" s="14"/>
      <c r="O665" s="14"/>
      <c r="P665" s="14"/>
      <c r="Q665" s="14"/>
      <c r="R665" s="14"/>
      <c r="S665" s="14"/>
      <c r="T665" s="14"/>
      <c r="U665" s="18"/>
      <c r="V665" s="18"/>
      <c r="W665" s="18"/>
      <c r="X665" s="18"/>
      <c r="Y665" s="18"/>
      <c r="Z665" s="18"/>
      <c r="AA665" s="18"/>
      <c r="AB665" s="18"/>
      <c r="AC665" s="18"/>
      <c r="AD665" s="18"/>
    </row>
    <row r="666" ht="24.75" customHeight="1">
      <c r="A666" s="19"/>
      <c r="B666" s="18"/>
      <c r="C666" s="18"/>
      <c r="D666" s="18"/>
      <c r="E666" s="18"/>
      <c r="F666" s="18"/>
      <c r="G666" s="14"/>
      <c r="H666" s="14"/>
      <c r="I666" s="14"/>
      <c r="J666" s="14"/>
      <c r="K666" s="14"/>
      <c r="L666" s="14"/>
      <c r="M666" s="18"/>
      <c r="N666" s="14"/>
      <c r="O666" s="14"/>
      <c r="P666" s="14"/>
      <c r="Q666" s="14"/>
      <c r="R666" s="14"/>
      <c r="S666" s="14"/>
      <c r="T666" s="14"/>
      <c r="U666" s="18"/>
      <c r="V666" s="18"/>
      <c r="W666" s="18"/>
      <c r="X666" s="18"/>
      <c r="Y666" s="18"/>
      <c r="Z666" s="18"/>
      <c r="AA666" s="18"/>
      <c r="AB666" s="18"/>
      <c r="AC666" s="18"/>
      <c r="AD666" s="18"/>
    </row>
    <row r="667" ht="24.75" customHeight="1">
      <c r="A667" s="19"/>
      <c r="B667" s="18"/>
      <c r="C667" s="18"/>
      <c r="D667" s="18"/>
      <c r="E667" s="18"/>
      <c r="F667" s="18"/>
      <c r="G667" s="14"/>
      <c r="H667" s="14"/>
      <c r="I667" s="14"/>
      <c r="J667" s="14"/>
      <c r="K667" s="14"/>
      <c r="L667" s="14"/>
      <c r="M667" s="18"/>
      <c r="N667" s="14"/>
      <c r="O667" s="14"/>
      <c r="P667" s="14"/>
      <c r="Q667" s="14"/>
      <c r="R667" s="14"/>
      <c r="S667" s="14"/>
      <c r="T667" s="14"/>
      <c r="U667" s="18"/>
      <c r="V667" s="18"/>
      <c r="W667" s="18"/>
      <c r="X667" s="18"/>
      <c r="Y667" s="18"/>
      <c r="Z667" s="18"/>
      <c r="AA667" s="18"/>
      <c r="AB667" s="18"/>
      <c r="AC667" s="18"/>
      <c r="AD667" s="18"/>
    </row>
    <row r="668" ht="24.75" customHeight="1">
      <c r="A668" s="19"/>
      <c r="B668" s="18"/>
      <c r="C668" s="18"/>
      <c r="D668" s="18"/>
      <c r="E668" s="18"/>
      <c r="F668" s="18"/>
      <c r="G668" s="14"/>
      <c r="H668" s="14"/>
      <c r="I668" s="14"/>
      <c r="J668" s="14"/>
      <c r="K668" s="14"/>
      <c r="L668" s="14"/>
      <c r="M668" s="18"/>
      <c r="N668" s="14"/>
      <c r="O668" s="14"/>
      <c r="P668" s="14"/>
      <c r="Q668" s="14"/>
      <c r="R668" s="14"/>
      <c r="S668" s="14"/>
      <c r="T668" s="14"/>
      <c r="U668" s="18"/>
      <c r="V668" s="18"/>
      <c r="W668" s="18"/>
      <c r="X668" s="18"/>
      <c r="Y668" s="18"/>
      <c r="Z668" s="18"/>
      <c r="AA668" s="18"/>
      <c r="AB668" s="18"/>
      <c r="AC668" s="18"/>
      <c r="AD668" s="18"/>
    </row>
    <row r="669" ht="24.75" customHeight="1">
      <c r="A669" s="19"/>
      <c r="B669" s="18"/>
      <c r="C669" s="18"/>
      <c r="D669" s="18"/>
      <c r="E669" s="18"/>
      <c r="F669" s="18"/>
      <c r="G669" s="14"/>
      <c r="H669" s="14"/>
      <c r="I669" s="14"/>
      <c r="J669" s="14"/>
      <c r="K669" s="14"/>
      <c r="L669" s="14"/>
      <c r="M669" s="18"/>
      <c r="N669" s="14"/>
      <c r="O669" s="14"/>
      <c r="P669" s="14"/>
      <c r="Q669" s="14"/>
      <c r="R669" s="14"/>
      <c r="S669" s="14"/>
      <c r="T669" s="14"/>
      <c r="U669" s="18"/>
      <c r="V669" s="18"/>
      <c r="W669" s="18"/>
      <c r="X669" s="18"/>
      <c r="Y669" s="18"/>
      <c r="Z669" s="18"/>
      <c r="AA669" s="18"/>
      <c r="AB669" s="18"/>
      <c r="AC669" s="18"/>
      <c r="AD669" s="18"/>
    </row>
    <row r="670" ht="24.75" customHeight="1">
      <c r="A670" s="19"/>
      <c r="B670" s="18"/>
      <c r="C670" s="18"/>
      <c r="D670" s="18"/>
      <c r="E670" s="18"/>
      <c r="F670" s="18"/>
      <c r="G670" s="14"/>
      <c r="H670" s="14"/>
      <c r="I670" s="14"/>
      <c r="J670" s="14"/>
      <c r="K670" s="14"/>
      <c r="L670" s="14"/>
      <c r="M670" s="18"/>
      <c r="N670" s="14"/>
      <c r="O670" s="14"/>
      <c r="P670" s="14"/>
      <c r="Q670" s="14"/>
      <c r="R670" s="14"/>
      <c r="S670" s="14"/>
      <c r="T670" s="14"/>
      <c r="U670" s="18"/>
      <c r="V670" s="18"/>
      <c r="W670" s="18"/>
      <c r="X670" s="18"/>
      <c r="Y670" s="18"/>
      <c r="Z670" s="18"/>
      <c r="AA670" s="18"/>
      <c r="AB670" s="18"/>
      <c r="AC670" s="18"/>
      <c r="AD670" s="18"/>
    </row>
    <row r="671" ht="24.75" customHeight="1">
      <c r="A671" s="19"/>
      <c r="B671" s="18"/>
      <c r="C671" s="18"/>
      <c r="D671" s="18"/>
      <c r="E671" s="18"/>
      <c r="F671" s="18"/>
      <c r="G671" s="14"/>
      <c r="H671" s="14"/>
      <c r="I671" s="14"/>
      <c r="J671" s="14"/>
      <c r="K671" s="14"/>
      <c r="L671" s="14"/>
      <c r="M671" s="18"/>
      <c r="N671" s="14"/>
      <c r="O671" s="14"/>
      <c r="P671" s="14"/>
      <c r="Q671" s="14"/>
      <c r="R671" s="14"/>
      <c r="S671" s="14"/>
      <c r="T671" s="14"/>
      <c r="U671" s="18"/>
      <c r="V671" s="18"/>
      <c r="W671" s="18"/>
      <c r="X671" s="18"/>
      <c r="Y671" s="18"/>
      <c r="Z671" s="18"/>
      <c r="AA671" s="18"/>
      <c r="AB671" s="18"/>
      <c r="AC671" s="18"/>
      <c r="AD671" s="18"/>
    </row>
    <row r="672" ht="24.75" customHeight="1">
      <c r="A672" s="19"/>
      <c r="B672" s="18"/>
      <c r="C672" s="18"/>
      <c r="D672" s="18"/>
      <c r="E672" s="18"/>
      <c r="F672" s="18"/>
      <c r="G672" s="14"/>
      <c r="H672" s="14"/>
      <c r="I672" s="14"/>
      <c r="J672" s="14"/>
      <c r="K672" s="14"/>
      <c r="L672" s="14"/>
      <c r="M672" s="18"/>
      <c r="N672" s="14"/>
      <c r="O672" s="14"/>
      <c r="P672" s="14"/>
      <c r="Q672" s="14"/>
      <c r="R672" s="14"/>
      <c r="S672" s="14"/>
      <c r="T672" s="14"/>
      <c r="U672" s="18"/>
      <c r="V672" s="18"/>
      <c r="W672" s="18"/>
      <c r="X672" s="18"/>
      <c r="Y672" s="18"/>
      <c r="Z672" s="18"/>
      <c r="AA672" s="18"/>
      <c r="AB672" s="18"/>
      <c r="AC672" s="18"/>
      <c r="AD672" s="18"/>
    </row>
    <row r="673" ht="24.75" customHeight="1">
      <c r="A673" s="19"/>
      <c r="B673" s="18"/>
      <c r="C673" s="18"/>
      <c r="D673" s="18"/>
      <c r="E673" s="18"/>
      <c r="F673" s="18"/>
      <c r="G673" s="14"/>
      <c r="H673" s="14"/>
      <c r="I673" s="14"/>
      <c r="J673" s="14"/>
      <c r="K673" s="14"/>
      <c r="L673" s="14"/>
      <c r="M673" s="18"/>
      <c r="N673" s="14"/>
      <c r="O673" s="14"/>
      <c r="P673" s="14"/>
      <c r="Q673" s="14"/>
      <c r="R673" s="14"/>
      <c r="S673" s="14"/>
      <c r="T673" s="14"/>
      <c r="U673" s="18"/>
      <c r="V673" s="18"/>
      <c r="W673" s="18"/>
      <c r="X673" s="18"/>
      <c r="Y673" s="18"/>
      <c r="Z673" s="18"/>
      <c r="AA673" s="18"/>
      <c r="AB673" s="18"/>
      <c r="AC673" s="18"/>
      <c r="AD673" s="18"/>
    </row>
    <row r="674" ht="24.75" customHeight="1">
      <c r="A674" s="19"/>
      <c r="B674" s="18"/>
      <c r="C674" s="18"/>
      <c r="D674" s="18"/>
      <c r="E674" s="18"/>
      <c r="F674" s="18"/>
      <c r="G674" s="14"/>
      <c r="H674" s="14"/>
      <c r="I674" s="14"/>
      <c r="J674" s="14"/>
      <c r="K674" s="14"/>
      <c r="L674" s="14"/>
      <c r="M674" s="18"/>
      <c r="N674" s="14"/>
      <c r="O674" s="14"/>
      <c r="P674" s="14"/>
      <c r="Q674" s="14"/>
      <c r="R674" s="14"/>
      <c r="S674" s="14"/>
      <c r="T674" s="14"/>
      <c r="U674" s="18"/>
      <c r="V674" s="18"/>
      <c r="W674" s="18"/>
      <c r="X674" s="18"/>
      <c r="Y674" s="18"/>
      <c r="Z674" s="18"/>
      <c r="AA674" s="18"/>
      <c r="AB674" s="18"/>
      <c r="AC674" s="18"/>
      <c r="AD674" s="18"/>
    </row>
    <row r="675" ht="24.75" customHeight="1">
      <c r="A675" s="19"/>
      <c r="B675" s="18"/>
      <c r="C675" s="18"/>
      <c r="D675" s="18"/>
      <c r="E675" s="18"/>
      <c r="F675" s="18"/>
      <c r="G675" s="14"/>
      <c r="H675" s="14"/>
      <c r="I675" s="14"/>
      <c r="J675" s="14"/>
      <c r="K675" s="14"/>
      <c r="L675" s="14"/>
      <c r="M675" s="18"/>
      <c r="N675" s="14"/>
      <c r="O675" s="14"/>
      <c r="P675" s="14"/>
      <c r="Q675" s="14"/>
      <c r="R675" s="14"/>
      <c r="S675" s="14"/>
      <c r="T675" s="14"/>
      <c r="U675" s="18"/>
      <c r="V675" s="18"/>
      <c r="W675" s="18"/>
      <c r="X675" s="18"/>
      <c r="Y675" s="18"/>
      <c r="Z675" s="18"/>
      <c r="AA675" s="18"/>
      <c r="AB675" s="18"/>
      <c r="AC675" s="18"/>
      <c r="AD675" s="18"/>
    </row>
    <row r="676" ht="24.75" customHeight="1">
      <c r="A676" s="19"/>
      <c r="B676" s="18"/>
      <c r="C676" s="18"/>
      <c r="D676" s="18"/>
      <c r="E676" s="18"/>
      <c r="F676" s="18"/>
      <c r="G676" s="14"/>
      <c r="H676" s="14"/>
      <c r="I676" s="14"/>
      <c r="J676" s="14"/>
      <c r="K676" s="14"/>
      <c r="L676" s="14"/>
      <c r="M676" s="18"/>
      <c r="N676" s="14"/>
      <c r="O676" s="14"/>
      <c r="P676" s="14"/>
      <c r="Q676" s="14"/>
      <c r="R676" s="14"/>
      <c r="S676" s="14"/>
      <c r="T676" s="14"/>
      <c r="U676" s="18"/>
      <c r="V676" s="18"/>
      <c r="W676" s="18"/>
      <c r="X676" s="18"/>
      <c r="Y676" s="18"/>
      <c r="Z676" s="18"/>
      <c r="AA676" s="18"/>
      <c r="AB676" s="18"/>
      <c r="AC676" s="18"/>
      <c r="AD676" s="18"/>
    </row>
    <row r="677" ht="24.75" customHeight="1">
      <c r="A677" s="19"/>
      <c r="B677" s="18"/>
      <c r="C677" s="18"/>
      <c r="D677" s="18"/>
      <c r="E677" s="18"/>
      <c r="F677" s="18"/>
      <c r="G677" s="14"/>
      <c r="H677" s="14"/>
      <c r="I677" s="14"/>
      <c r="J677" s="14"/>
      <c r="K677" s="14"/>
      <c r="L677" s="14"/>
      <c r="M677" s="18"/>
      <c r="N677" s="14"/>
      <c r="O677" s="14"/>
      <c r="P677" s="14"/>
      <c r="Q677" s="14"/>
      <c r="R677" s="14"/>
      <c r="S677" s="14"/>
      <c r="T677" s="14"/>
      <c r="U677" s="18"/>
      <c r="V677" s="18"/>
      <c r="W677" s="18"/>
      <c r="X677" s="18"/>
      <c r="Y677" s="18"/>
      <c r="Z677" s="18"/>
      <c r="AA677" s="18"/>
      <c r="AB677" s="18"/>
      <c r="AC677" s="18"/>
      <c r="AD677" s="18"/>
    </row>
    <row r="678" ht="24.75" customHeight="1">
      <c r="A678" s="19"/>
      <c r="B678" s="18"/>
      <c r="C678" s="18"/>
      <c r="D678" s="18"/>
      <c r="E678" s="18"/>
      <c r="F678" s="18"/>
      <c r="G678" s="14"/>
      <c r="H678" s="14"/>
      <c r="I678" s="14"/>
      <c r="J678" s="14"/>
      <c r="K678" s="14"/>
      <c r="L678" s="14"/>
      <c r="M678" s="18"/>
      <c r="N678" s="14"/>
      <c r="O678" s="14"/>
      <c r="P678" s="14"/>
      <c r="Q678" s="14"/>
      <c r="R678" s="14"/>
      <c r="S678" s="14"/>
      <c r="T678" s="14"/>
      <c r="U678" s="18"/>
      <c r="V678" s="18"/>
      <c r="W678" s="18"/>
      <c r="X678" s="18"/>
      <c r="Y678" s="18"/>
      <c r="Z678" s="18"/>
      <c r="AA678" s="18"/>
      <c r="AB678" s="18"/>
      <c r="AC678" s="18"/>
      <c r="AD678" s="18"/>
    </row>
    <row r="679" ht="24.75" customHeight="1">
      <c r="A679" s="19"/>
      <c r="B679" s="18"/>
      <c r="C679" s="18"/>
      <c r="D679" s="18"/>
      <c r="E679" s="18"/>
      <c r="F679" s="18"/>
      <c r="G679" s="14"/>
      <c r="H679" s="14"/>
      <c r="I679" s="14"/>
      <c r="J679" s="14"/>
      <c r="K679" s="14"/>
      <c r="L679" s="14"/>
      <c r="M679" s="18"/>
      <c r="N679" s="14"/>
      <c r="O679" s="14"/>
      <c r="P679" s="14"/>
      <c r="Q679" s="14"/>
      <c r="R679" s="14"/>
      <c r="S679" s="14"/>
      <c r="T679" s="14"/>
      <c r="U679" s="18"/>
      <c r="V679" s="18"/>
      <c r="W679" s="18"/>
      <c r="X679" s="18"/>
      <c r="Y679" s="18"/>
      <c r="Z679" s="18"/>
      <c r="AA679" s="18"/>
      <c r="AB679" s="18"/>
      <c r="AC679" s="18"/>
      <c r="AD679" s="18"/>
    </row>
    <row r="680" ht="24.75" customHeight="1">
      <c r="A680" s="19"/>
      <c r="B680" s="18"/>
      <c r="C680" s="18"/>
      <c r="D680" s="18"/>
      <c r="E680" s="18"/>
      <c r="F680" s="18"/>
      <c r="G680" s="14"/>
      <c r="H680" s="14"/>
      <c r="I680" s="14"/>
      <c r="J680" s="14"/>
      <c r="K680" s="14"/>
      <c r="L680" s="14"/>
      <c r="M680" s="18"/>
      <c r="N680" s="14"/>
      <c r="O680" s="14"/>
      <c r="P680" s="14"/>
      <c r="Q680" s="14"/>
      <c r="R680" s="14"/>
      <c r="S680" s="14"/>
      <c r="T680" s="14"/>
      <c r="U680" s="18"/>
      <c r="V680" s="18"/>
      <c r="W680" s="18"/>
      <c r="X680" s="18"/>
      <c r="Y680" s="18"/>
      <c r="Z680" s="18"/>
      <c r="AA680" s="18"/>
      <c r="AB680" s="18"/>
      <c r="AC680" s="18"/>
      <c r="AD680" s="18"/>
    </row>
    <row r="681" ht="24.75" customHeight="1">
      <c r="A681" s="19"/>
      <c r="B681" s="18"/>
      <c r="C681" s="18"/>
      <c r="D681" s="18"/>
      <c r="E681" s="18"/>
      <c r="F681" s="18"/>
      <c r="G681" s="14"/>
      <c r="H681" s="14"/>
      <c r="I681" s="14"/>
      <c r="J681" s="14"/>
      <c r="K681" s="14"/>
      <c r="L681" s="14"/>
      <c r="M681" s="18"/>
      <c r="N681" s="14"/>
      <c r="O681" s="14"/>
      <c r="P681" s="14"/>
      <c r="Q681" s="14"/>
      <c r="R681" s="14"/>
      <c r="S681" s="14"/>
      <c r="T681" s="14"/>
      <c r="U681" s="18"/>
      <c r="V681" s="18"/>
      <c r="W681" s="18"/>
      <c r="X681" s="18"/>
      <c r="Y681" s="18"/>
      <c r="Z681" s="18"/>
      <c r="AA681" s="18"/>
      <c r="AB681" s="18"/>
      <c r="AC681" s="18"/>
      <c r="AD681" s="18"/>
    </row>
    <row r="682" ht="24.75" customHeight="1">
      <c r="A682" s="19"/>
      <c r="B682" s="18"/>
      <c r="C682" s="18"/>
      <c r="D682" s="18"/>
      <c r="E682" s="18"/>
      <c r="F682" s="18"/>
      <c r="G682" s="14"/>
      <c r="H682" s="14"/>
      <c r="I682" s="14"/>
      <c r="J682" s="14"/>
      <c r="K682" s="14"/>
      <c r="L682" s="14"/>
      <c r="M682" s="18"/>
      <c r="N682" s="14"/>
      <c r="O682" s="14"/>
      <c r="P682" s="14"/>
      <c r="Q682" s="14"/>
      <c r="R682" s="14"/>
      <c r="S682" s="14"/>
      <c r="T682" s="14"/>
      <c r="U682" s="18"/>
      <c r="V682" s="18"/>
      <c r="W682" s="18"/>
      <c r="X682" s="18"/>
      <c r="Y682" s="18"/>
      <c r="Z682" s="18"/>
      <c r="AA682" s="18"/>
      <c r="AB682" s="18"/>
      <c r="AC682" s="18"/>
      <c r="AD682" s="18"/>
    </row>
    <row r="683" ht="24.75" customHeight="1">
      <c r="A683" s="19"/>
      <c r="B683" s="18"/>
      <c r="C683" s="18"/>
      <c r="D683" s="18"/>
      <c r="E683" s="18"/>
      <c r="F683" s="18"/>
      <c r="G683" s="14"/>
      <c r="H683" s="14"/>
      <c r="I683" s="14"/>
      <c r="J683" s="14"/>
      <c r="K683" s="14"/>
      <c r="L683" s="14"/>
      <c r="M683" s="18"/>
      <c r="N683" s="14"/>
      <c r="O683" s="14"/>
      <c r="P683" s="14"/>
      <c r="Q683" s="14"/>
      <c r="R683" s="14"/>
      <c r="S683" s="14"/>
      <c r="T683" s="14"/>
      <c r="U683" s="18"/>
      <c r="V683" s="18"/>
      <c r="W683" s="18"/>
      <c r="X683" s="18"/>
      <c r="Y683" s="18"/>
      <c r="Z683" s="18"/>
      <c r="AA683" s="18"/>
      <c r="AB683" s="18"/>
      <c r="AC683" s="18"/>
      <c r="AD683" s="18"/>
    </row>
    <row r="684" ht="24.75" customHeight="1">
      <c r="A684" s="19"/>
      <c r="B684" s="18"/>
      <c r="C684" s="18"/>
      <c r="D684" s="18"/>
      <c r="E684" s="18"/>
      <c r="F684" s="18"/>
      <c r="G684" s="14"/>
      <c r="H684" s="14"/>
      <c r="I684" s="14"/>
      <c r="J684" s="14"/>
      <c r="K684" s="14"/>
      <c r="L684" s="14"/>
      <c r="M684" s="18"/>
      <c r="N684" s="14"/>
      <c r="O684" s="14"/>
      <c r="P684" s="14"/>
      <c r="Q684" s="14"/>
      <c r="R684" s="14"/>
      <c r="S684" s="14"/>
      <c r="T684" s="14"/>
      <c r="U684" s="18"/>
      <c r="V684" s="18"/>
      <c r="W684" s="18"/>
      <c r="X684" s="18"/>
      <c r="Y684" s="18"/>
      <c r="Z684" s="18"/>
      <c r="AA684" s="18"/>
      <c r="AB684" s="18"/>
      <c r="AC684" s="18"/>
      <c r="AD684" s="18"/>
    </row>
    <row r="685" ht="24.75" customHeight="1">
      <c r="A685" s="19"/>
      <c r="B685" s="18"/>
      <c r="C685" s="18"/>
      <c r="D685" s="18"/>
      <c r="E685" s="18"/>
      <c r="F685" s="18"/>
      <c r="G685" s="14"/>
      <c r="H685" s="14"/>
      <c r="I685" s="14"/>
      <c r="J685" s="14"/>
      <c r="K685" s="14"/>
      <c r="L685" s="14"/>
      <c r="M685" s="18"/>
      <c r="N685" s="14"/>
      <c r="O685" s="14"/>
      <c r="P685" s="14"/>
      <c r="Q685" s="14"/>
      <c r="R685" s="14"/>
      <c r="S685" s="14"/>
      <c r="T685" s="14"/>
      <c r="U685" s="18"/>
      <c r="V685" s="18"/>
      <c r="W685" s="18"/>
      <c r="X685" s="18"/>
      <c r="Y685" s="18"/>
      <c r="Z685" s="18"/>
      <c r="AA685" s="18"/>
      <c r="AB685" s="18"/>
      <c r="AC685" s="18"/>
      <c r="AD685" s="18"/>
    </row>
    <row r="686" ht="24.75" customHeight="1">
      <c r="A686" s="19"/>
      <c r="B686" s="18"/>
      <c r="C686" s="18"/>
      <c r="D686" s="18"/>
      <c r="E686" s="18"/>
      <c r="F686" s="18"/>
      <c r="G686" s="14"/>
      <c r="H686" s="14"/>
      <c r="I686" s="14"/>
      <c r="J686" s="14"/>
      <c r="K686" s="14"/>
      <c r="L686" s="14"/>
      <c r="M686" s="18"/>
      <c r="N686" s="14"/>
      <c r="O686" s="14"/>
      <c r="P686" s="14"/>
      <c r="Q686" s="14"/>
      <c r="R686" s="14"/>
      <c r="S686" s="14"/>
      <c r="T686" s="14"/>
      <c r="U686" s="18"/>
      <c r="V686" s="18"/>
      <c r="W686" s="18"/>
      <c r="X686" s="18"/>
      <c r="Y686" s="18"/>
      <c r="Z686" s="18"/>
      <c r="AA686" s="18"/>
      <c r="AB686" s="18"/>
      <c r="AC686" s="18"/>
      <c r="AD686" s="18"/>
    </row>
    <row r="687" ht="24.75" customHeight="1">
      <c r="A687" s="19"/>
      <c r="B687" s="18"/>
      <c r="C687" s="18"/>
      <c r="D687" s="18"/>
      <c r="E687" s="18"/>
      <c r="F687" s="18"/>
      <c r="G687" s="14"/>
      <c r="H687" s="14"/>
      <c r="I687" s="14"/>
      <c r="J687" s="14"/>
      <c r="K687" s="14"/>
      <c r="L687" s="14"/>
      <c r="M687" s="18"/>
      <c r="N687" s="14"/>
      <c r="O687" s="14"/>
      <c r="P687" s="14"/>
      <c r="Q687" s="14"/>
      <c r="R687" s="14"/>
      <c r="S687" s="14"/>
      <c r="T687" s="14"/>
      <c r="U687" s="18"/>
      <c r="V687" s="18"/>
      <c r="W687" s="18"/>
      <c r="X687" s="18"/>
      <c r="Y687" s="18"/>
      <c r="Z687" s="18"/>
      <c r="AA687" s="18"/>
      <c r="AB687" s="18"/>
      <c r="AC687" s="18"/>
      <c r="AD687" s="18"/>
    </row>
    <row r="688" ht="24.75" customHeight="1">
      <c r="A688" s="19"/>
      <c r="B688" s="18"/>
      <c r="C688" s="18"/>
      <c r="D688" s="18"/>
      <c r="E688" s="18"/>
      <c r="F688" s="18"/>
      <c r="G688" s="14"/>
      <c r="H688" s="14"/>
      <c r="I688" s="14"/>
      <c r="J688" s="14"/>
      <c r="K688" s="14"/>
      <c r="L688" s="14"/>
      <c r="M688" s="18"/>
      <c r="N688" s="14"/>
      <c r="O688" s="14"/>
      <c r="P688" s="14"/>
      <c r="Q688" s="14"/>
      <c r="R688" s="14"/>
      <c r="S688" s="14"/>
      <c r="T688" s="14"/>
      <c r="U688" s="18"/>
      <c r="V688" s="18"/>
      <c r="W688" s="18"/>
      <c r="X688" s="18"/>
      <c r="Y688" s="18"/>
      <c r="Z688" s="18"/>
      <c r="AA688" s="18"/>
      <c r="AB688" s="18"/>
      <c r="AC688" s="18"/>
      <c r="AD688" s="18"/>
    </row>
    <row r="689" ht="24.75" customHeight="1">
      <c r="A689" s="19"/>
      <c r="B689" s="18"/>
      <c r="C689" s="18"/>
      <c r="D689" s="18"/>
      <c r="E689" s="18"/>
      <c r="F689" s="18"/>
      <c r="G689" s="14"/>
      <c r="H689" s="14"/>
      <c r="I689" s="14"/>
      <c r="J689" s="14"/>
      <c r="K689" s="14"/>
      <c r="L689" s="14"/>
      <c r="M689" s="18"/>
      <c r="N689" s="14"/>
      <c r="O689" s="14"/>
      <c r="P689" s="14"/>
      <c r="Q689" s="14"/>
      <c r="R689" s="14"/>
      <c r="S689" s="14"/>
      <c r="T689" s="14"/>
      <c r="U689" s="18"/>
      <c r="V689" s="18"/>
      <c r="W689" s="18"/>
      <c r="X689" s="18"/>
      <c r="Y689" s="18"/>
      <c r="Z689" s="18"/>
      <c r="AA689" s="18"/>
      <c r="AB689" s="18"/>
      <c r="AC689" s="18"/>
      <c r="AD689" s="18"/>
    </row>
    <row r="690" ht="24.75" customHeight="1">
      <c r="A690" s="19"/>
      <c r="B690" s="18"/>
      <c r="C690" s="18"/>
      <c r="D690" s="18"/>
      <c r="E690" s="18"/>
      <c r="F690" s="18"/>
      <c r="G690" s="14"/>
      <c r="H690" s="14"/>
      <c r="I690" s="14"/>
      <c r="J690" s="14"/>
      <c r="K690" s="14"/>
      <c r="L690" s="14"/>
      <c r="M690" s="18"/>
      <c r="N690" s="14"/>
      <c r="O690" s="14"/>
      <c r="P690" s="14"/>
      <c r="Q690" s="14"/>
      <c r="R690" s="14"/>
      <c r="S690" s="14"/>
      <c r="T690" s="14"/>
      <c r="U690" s="18"/>
      <c r="V690" s="18"/>
      <c r="W690" s="18"/>
      <c r="X690" s="18"/>
      <c r="Y690" s="18"/>
      <c r="Z690" s="18"/>
      <c r="AA690" s="18"/>
      <c r="AB690" s="18"/>
      <c r="AC690" s="18"/>
      <c r="AD690" s="18"/>
    </row>
    <row r="691" ht="24.75" customHeight="1">
      <c r="A691" s="19"/>
      <c r="B691" s="18"/>
      <c r="C691" s="18"/>
      <c r="D691" s="18"/>
      <c r="E691" s="18"/>
      <c r="F691" s="18"/>
      <c r="G691" s="14"/>
      <c r="H691" s="14"/>
      <c r="I691" s="14"/>
      <c r="J691" s="14"/>
      <c r="K691" s="14"/>
      <c r="L691" s="14"/>
      <c r="M691" s="18"/>
      <c r="N691" s="14"/>
      <c r="O691" s="14"/>
      <c r="P691" s="14"/>
      <c r="Q691" s="14"/>
      <c r="R691" s="14"/>
      <c r="S691" s="14"/>
      <c r="T691" s="14"/>
      <c r="U691" s="18"/>
      <c r="V691" s="18"/>
      <c r="W691" s="18"/>
      <c r="X691" s="18"/>
      <c r="Y691" s="18"/>
      <c r="Z691" s="18"/>
      <c r="AA691" s="18"/>
      <c r="AB691" s="18"/>
      <c r="AC691" s="18"/>
      <c r="AD691" s="18"/>
    </row>
    <row r="692" ht="24.75" customHeight="1">
      <c r="A692" s="19"/>
      <c r="B692" s="18"/>
      <c r="C692" s="18"/>
      <c r="D692" s="18"/>
      <c r="E692" s="18"/>
      <c r="F692" s="18"/>
      <c r="G692" s="14"/>
      <c r="H692" s="14"/>
      <c r="I692" s="14"/>
      <c r="J692" s="14"/>
      <c r="K692" s="14"/>
      <c r="L692" s="14"/>
      <c r="M692" s="18"/>
      <c r="N692" s="14"/>
      <c r="O692" s="14"/>
      <c r="P692" s="14"/>
      <c r="Q692" s="14"/>
      <c r="R692" s="14"/>
      <c r="S692" s="14"/>
      <c r="T692" s="14"/>
      <c r="U692" s="18"/>
      <c r="V692" s="18"/>
      <c r="W692" s="18"/>
      <c r="X692" s="18"/>
      <c r="Y692" s="18"/>
      <c r="Z692" s="18"/>
      <c r="AA692" s="18"/>
      <c r="AB692" s="18"/>
      <c r="AC692" s="18"/>
      <c r="AD692" s="18"/>
    </row>
    <row r="693" ht="24.75" customHeight="1">
      <c r="A693" s="19"/>
      <c r="B693" s="18"/>
      <c r="C693" s="18"/>
      <c r="D693" s="18"/>
      <c r="E693" s="18"/>
      <c r="F693" s="18"/>
      <c r="G693" s="14"/>
      <c r="H693" s="14"/>
      <c r="I693" s="14"/>
      <c r="J693" s="14"/>
      <c r="K693" s="14"/>
      <c r="L693" s="14"/>
      <c r="M693" s="18"/>
      <c r="N693" s="14"/>
      <c r="O693" s="14"/>
      <c r="P693" s="14"/>
      <c r="Q693" s="14"/>
      <c r="R693" s="14"/>
      <c r="S693" s="14"/>
      <c r="T693" s="14"/>
      <c r="U693" s="18"/>
      <c r="V693" s="18"/>
      <c r="W693" s="18"/>
      <c r="X693" s="18"/>
      <c r="Y693" s="18"/>
      <c r="Z693" s="18"/>
      <c r="AA693" s="18"/>
      <c r="AB693" s="18"/>
      <c r="AC693" s="18"/>
      <c r="AD693" s="18"/>
    </row>
    <row r="694" ht="24.75" customHeight="1">
      <c r="A694" s="19"/>
      <c r="B694" s="18"/>
      <c r="C694" s="18"/>
      <c r="D694" s="18"/>
      <c r="E694" s="18"/>
      <c r="F694" s="18"/>
      <c r="G694" s="14"/>
      <c r="H694" s="14"/>
      <c r="I694" s="14"/>
      <c r="J694" s="14"/>
      <c r="K694" s="14"/>
      <c r="L694" s="14"/>
      <c r="M694" s="18"/>
      <c r="N694" s="14"/>
      <c r="O694" s="14"/>
      <c r="P694" s="14"/>
      <c r="Q694" s="14"/>
      <c r="R694" s="14"/>
      <c r="S694" s="14"/>
      <c r="T694" s="14"/>
      <c r="U694" s="18"/>
      <c r="V694" s="18"/>
      <c r="W694" s="18"/>
      <c r="X694" s="18"/>
      <c r="Y694" s="18"/>
      <c r="Z694" s="18"/>
      <c r="AA694" s="18"/>
      <c r="AB694" s="18"/>
      <c r="AC694" s="18"/>
      <c r="AD694" s="18"/>
    </row>
    <row r="695" ht="24.75" customHeight="1">
      <c r="A695" s="19"/>
      <c r="B695" s="18"/>
      <c r="C695" s="18"/>
      <c r="D695" s="18"/>
      <c r="E695" s="18"/>
      <c r="F695" s="18"/>
      <c r="G695" s="14"/>
      <c r="H695" s="14"/>
      <c r="I695" s="14"/>
      <c r="J695" s="14"/>
      <c r="K695" s="14"/>
      <c r="L695" s="14"/>
      <c r="M695" s="18"/>
      <c r="N695" s="14"/>
      <c r="O695" s="14"/>
      <c r="P695" s="14"/>
      <c r="Q695" s="14"/>
      <c r="R695" s="14"/>
      <c r="S695" s="14"/>
      <c r="T695" s="14"/>
      <c r="U695" s="18"/>
      <c r="V695" s="18"/>
      <c r="W695" s="18"/>
      <c r="X695" s="18"/>
      <c r="Y695" s="18"/>
      <c r="Z695" s="18"/>
      <c r="AA695" s="18"/>
      <c r="AB695" s="18"/>
      <c r="AC695" s="18"/>
      <c r="AD695" s="18"/>
    </row>
    <row r="696" ht="24.75" customHeight="1">
      <c r="A696" s="19"/>
      <c r="B696" s="18"/>
      <c r="C696" s="18"/>
      <c r="D696" s="18"/>
      <c r="E696" s="18"/>
      <c r="F696" s="18"/>
      <c r="G696" s="14"/>
      <c r="H696" s="14"/>
      <c r="I696" s="14"/>
      <c r="J696" s="14"/>
      <c r="K696" s="14"/>
      <c r="L696" s="14"/>
      <c r="M696" s="18"/>
      <c r="N696" s="14"/>
      <c r="O696" s="14"/>
      <c r="P696" s="14"/>
      <c r="Q696" s="14"/>
      <c r="R696" s="14"/>
      <c r="S696" s="14"/>
      <c r="T696" s="14"/>
      <c r="U696" s="18"/>
      <c r="V696" s="18"/>
      <c r="W696" s="18"/>
      <c r="X696" s="18"/>
      <c r="Y696" s="18"/>
      <c r="Z696" s="18"/>
      <c r="AA696" s="18"/>
      <c r="AB696" s="18"/>
      <c r="AC696" s="18"/>
      <c r="AD696" s="18"/>
    </row>
    <row r="697" ht="24.75" customHeight="1">
      <c r="A697" s="19"/>
      <c r="B697" s="18"/>
      <c r="C697" s="18"/>
      <c r="D697" s="18"/>
      <c r="E697" s="18"/>
      <c r="F697" s="18"/>
      <c r="G697" s="14"/>
      <c r="H697" s="14"/>
      <c r="I697" s="14"/>
      <c r="J697" s="14"/>
      <c r="K697" s="14"/>
      <c r="L697" s="14"/>
      <c r="M697" s="18"/>
      <c r="N697" s="14"/>
      <c r="O697" s="14"/>
      <c r="P697" s="14"/>
      <c r="Q697" s="14"/>
      <c r="R697" s="14"/>
      <c r="S697" s="14"/>
      <c r="T697" s="14"/>
      <c r="U697" s="18"/>
      <c r="V697" s="18"/>
      <c r="W697" s="18"/>
      <c r="X697" s="18"/>
      <c r="Y697" s="18"/>
      <c r="Z697" s="18"/>
      <c r="AA697" s="18"/>
      <c r="AB697" s="18"/>
      <c r="AC697" s="18"/>
      <c r="AD697" s="18"/>
    </row>
    <row r="698" ht="24.75" customHeight="1">
      <c r="A698" s="19"/>
      <c r="B698" s="18"/>
      <c r="C698" s="18"/>
      <c r="D698" s="18"/>
      <c r="E698" s="18"/>
      <c r="F698" s="18"/>
      <c r="G698" s="14"/>
      <c r="H698" s="14"/>
      <c r="I698" s="14"/>
      <c r="J698" s="14"/>
      <c r="K698" s="14"/>
      <c r="L698" s="14"/>
      <c r="M698" s="18"/>
      <c r="N698" s="14"/>
      <c r="O698" s="14"/>
      <c r="P698" s="14"/>
      <c r="Q698" s="14"/>
      <c r="R698" s="14"/>
      <c r="S698" s="14"/>
      <c r="T698" s="14"/>
      <c r="U698" s="18"/>
      <c r="V698" s="18"/>
      <c r="W698" s="18"/>
      <c r="X698" s="18"/>
      <c r="Y698" s="18"/>
      <c r="Z698" s="18"/>
      <c r="AA698" s="18"/>
      <c r="AB698" s="18"/>
      <c r="AC698" s="18"/>
      <c r="AD698" s="18"/>
    </row>
    <row r="699" ht="24.75" customHeight="1">
      <c r="A699" s="19"/>
      <c r="B699" s="18"/>
      <c r="C699" s="18"/>
      <c r="D699" s="18"/>
      <c r="E699" s="18"/>
      <c r="F699" s="18"/>
      <c r="G699" s="14"/>
      <c r="H699" s="14"/>
      <c r="I699" s="14"/>
      <c r="J699" s="14"/>
      <c r="K699" s="14"/>
      <c r="L699" s="14"/>
      <c r="M699" s="18"/>
      <c r="N699" s="14"/>
      <c r="O699" s="14"/>
      <c r="P699" s="14"/>
      <c r="Q699" s="14"/>
      <c r="R699" s="14"/>
      <c r="S699" s="14"/>
      <c r="T699" s="14"/>
      <c r="U699" s="18"/>
      <c r="V699" s="18"/>
      <c r="W699" s="18"/>
      <c r="X699" s="18"/>
      <c r="Y699" s="18"/>
      <c r="Z699" s="18"/>
      <c r="AA699" s="18"/>
      <c r="AB699" s="18"/>
      <c r="AC699" s="18"/>
      <c r="AD699" s="18"/>
    </row>
    <row r="700" ht="24.75" customHeight="1">
      <c r="A700" s="19"/>
      <c r="B700" s="18"/>
      <c r="C700" s="18"/>
      <c r="D700" s="18"/>
      <c r="E700" s="18"/>
      <c r="F700" s="18"/>
      <c r="G700" s="14"/>
      <c r="H700" s="14"/>
      <c r="I700" s="14"/>
      <c r="J700" s="14"/>
      <c r="K700" s="14"/>
      <c r="L700" s="14"/>
      <c r="M700" s="18"/>
      <c r="N700" s="14"/>
      <c r="O700" s="14"/>
      <c r="P700" s="14"/>
      <c r="Q700" s="14"/>
      <c r="R700" s="14"/>
      <c r="S700" s="14"/>
      <c r="T700" s="14"/>
      <c r="U700" s="18"/>
      <c r="V700" s="18"/>
      <c r="W700" s="18"/>
      <c r="X700" s="18"/>
      <c r="Y700" s="18"/>
      <c r="Z700" s="18"/>
      <c r="AA700" s="18"/>
      <c r="AB700" s="18"/>
      <c r="AC700" s="18"/>
      <c r="AD700" s="18"/>
    </row>
    <row r="701" ht="24.75" customHeight="1">
      <c r="A701" s="19"/>
      <c r="B701" s="18"/>
      <c r="C701" s="18"/>
      <c r="D701" s="18"/>
      <c r="E701" s="18"/>
      <c r="F701" s="18"/>
      <c r="G701" s="14"/>
      <c r="H701" s="14"/>
      <c r="I701" s="14"/>
      <c r="J701" s="14"/>
      <c r="K701" s="14"/>
      <c r="L701" s="14"/>
      <c r="M701" s="18"/>
      <c r="N701" s="14"/>
      <c r="O701" s="14"/>
      <c r="P701" s="14"/>
      <c r="Q701" s="14"/>
      <c r="R701" s="14"/>
      <c r="S701" s="14"/>
      <c r="T701" s="14"/>
      <c r="U701" s="18"/>
      <c r="V701" s="18"/>
      <c r="W701" s="18"/>
      <c r="X701" s="18"/>
      <c r="Y701" s="18"/>
      <c r="Z701" s="18"/>
      <c r="AA701" s="18"/>
      <c r="AB701" s="18"/>
      <c r="AC701" s="18"/>
      <c r="AD701" s="18"/>
    </row>
    <row r="702" ht="24.75" customHeight="1">
      <c r="A702" s="19"/>
      <c r="B702" s="18"/>
      <c r="C702" s="18"/>
      <c r="D702" s="18"/>
      <c r="E702" s="18"/>
      <c r="F702" s="18"/>
      <c r="G702" s="14"/>
      <c r="H702" s="14"/>
      <c r="I702" s="14"/>
      <c r="J702" s="14"/>
      <c r="K702" s="14"/>
      <c r="L702" s="14"/>
      <c r="M702" s="18"/>
      <c r="N702" s="14"/>
      <c r="O702" s="14"/>
      <c r="P702" s="14"/>
      <c r="Q702" s="14"/>
      <c r="R702" s="14"/>
      <c r="S702" s="14"/>
      <c r="T702" s="14"/>
      <c r="U702" s="18"/>
      <c r="V702" s="18"/>
      <c r="W702" s="18"/>
      <c r="X702" s="18"/>
      <c r="Y702" s="18"/>
      <c r="Z702" s="18"/>
      <c r="AA702" s="18"/>
      <c r="AB702" s="18"/>
      <c r="AC702" s="18"/>
      <c r="AD702" s="18"/>
    </row>
    <row r="703" ht="24.75" customHeight="1">
      <c r="A703" s="19"/>
      <c r="B703" s="18"/>
      <c r="C703" s="18"/>
      <c r="D703" s="18"/>
      <c r="E703" s="18"/>
      <c r="F703" s="18"/>
      <c r="G703" s="14"/>
      <c r="H703" s="14"/>
      <c r="I703" s="14"/>
      <c r="J703" s="14"/>
      <c r="K703" s="14"/>
      <c r="L703" s="14"/>
      <c r="M703" s="18"/>
      <c r="N703" s="14"/>
      <c r="O703" s="14"/>
      <c r="P703" s="14"/>
      <c r="Q703" s="14"/>
      <c r="R703" s="14"/>
      <c r="S703" s="14"/>
      <c r="T703" s="14"/>
      <c r="U703" s="18"/>
      <c r="V703" s="18"/>
      <c r="W703" s="18"/>
      <c r="X703" s="18"/>
      <c r="Y703" s="18"/>
      <c r="Z703" s="18"/>
      <c r="AA703" s="18"/>
      <c r="AB703" s="18"/>
      <c r="AC703" s="18"/>
      <c r="AD703" s="18"/>
    </row>
    <row r="704" ht="24.75" customHeight="1">
      <c r="A704" s="19"/>
      <c r="B704" s="18"/>
      <c r="C704" s="18"/>
      <c r="D704" s="18"/>
      <c r="E704" s="18"/>
      <c r="F704" s="18"/>
      <c r="G704" s="14"/>
      <c r="H704" s="14"/>
      <c r="I704" s="14"/>
      <c r="J704" s="14"/>
      <c r="K704" s="14"/>
      <c r="L704" s="14"/>
      <c r="M704" s="18"/>
      <c r="N704" s="14"/>
      <c r="O704" s="14"/>
      <c r="P704" s="14"/>
      <c r="Q704" s="14"/>
      <c r="R704" s="14"/>
      <c r="S704" s="14"/>
      <c r="T704" s="14"/>
      <c r="U704" s="18"/>
      <c r="V704" s="18"/>
      <c r="W704" s="18"/>
      <c r="X704" s="18"/>
      <c r="Y704" s="18"/>
      <c r="Z704" s="18"/>
      <c r="AA704" s="18"/>
      <c r="AB704" s="18"/>
      <c r="AC704" s="18"/>
      <c r="AD704" s="18"/>
    </row>
    <row r="705" ht="24.75" customHeight="1">
      <c r="A705" s="19"/>
      <c r="B705" s="18"/>
      <c r="C705" s="18"/>
      <c r="D705" s="18"/>
      <c r="E705" s="18"/>
      <c r="F705" s="18"/>
      <c r="G705" s="14"/>
      <c r="H705" s="14"/>
      <c r="I705" s="14"/>
      <c r="J705" s="14"/>
      <c r="K705" s="14"/>
      <c r="L705" s="14"/>
      <c r="M705" s="18"/>
      <c r="N705" s="14"/>
      <c r="O705" s="14"/>
      <c r="P705" s="14"/>
      <c r="Q705" s="14"/>
      <c r="R705" s="14"/>
      <c r="S705" s="14"/>
      <c r="T705" s="14"/>
      <c r="U705" s="18"/>
      <c r="V705" s="18"/>
      <c r="W705" s="18"/>
      <c r="X705" s="18"/>
      <c r="Y705" s="18"/>
      <c r="Z705" s="18"/>
      <c r="AA705" s="18"/>
      <c r="AB705" s="18"/>
      <c r="AC705" s="18"/>
      <c r="AD705" s="18"/>
    </row>
    <row r="706" ht="24.75" customHeight="1">
      <c r="A706" s="19"/>
      <c r="B706" s="18"/>
      <c r="C706" s="18"/>
      <c r="D706" s="18"/>
      <c r="E706" s="18"/>
      <c r="F706" s="18"/>
      <c r="G706" s="14"/>
      <c r="H706" s="14"/>
      <c r="I706" s="14"/>
      <c r="J706" s="14"/>
      <c r="K706" s="14"/>
      <c r="L706" s="14"/>
      <c r="M706" s="18"/>
      <c r="N706" s="14"/>
      <c r="O706" s="14"/>
      <c r="P706" s="14"/>
      <c r="Q706" s="14"/>
      <c r="R706" s="14"/>
      <c r="S706" s="14"/>
      <c r="T706" s="14"/>
      <c r="U706" s="18"/>
      <c r="V706" s="18"/>
      <c r="W706" s="18"/>
      <c r="X706" s="18"/>
      <c r="Y706" s="18"/>
      <c r="Z706" s="18"/>
      <c r="AA706" s="18"/>
      <c r="AB706" s="18"/>
      <c r="AC706" s="18"/>
      <c r="AD706" s="18"/>
    </row>
    <row r="707" ht="24.75" customHeight="1">
      <c r="A707" s="19"/>
      <c r="B707" s="18"/>
      <c r="C707" s="18"/>
      <c r="D707" s="18"/>
      <c r="E707" s="18"/>
      <c r="F707" s="18"/>
      <c r="G707" s="14"/>
      <c r="H707" s="14"/>
      <c r="I707" s="14"/>
      <c r="J707" s="14"/>
      <c r="K707" s="14"/>
      <c r="L707" s="14"/>
      <c r="M707" s="18"/>
      <c r="N707" s="14"/>
      <c r="O707" s="14"/>
      <c r="P707" s="14"/>
      <c r="Q707" s="14"/>
      <c r="R707" s="14"/>
      <c r="S707" s="14"/>
      <c r="T707" s="14"/>
      <c r="U707" s="18"/>
      <c r="V707" s="18"/>
      <c r="W707" s="18"/>
      <c r="X707" s="18"/>
      <c r="Y707" s="18"/>
      <c r="Z707" s="18"/>
      <c r="AA707" s="18"/>
      <c r="AB707" s="18"/>
      <c r="AC707" s="18"/>
      <c r="AD707" s="18"/>
    </row>
    <row r="708" ht="24.75" customHeight="1">
      <c r="A708" s="19"/>
      <c r="B708" s="18"/>
      <c r="C708" s="18"/>
      <c r="D708" s="18"/>
      <c r="E708" s="18"/>
      <c r="F708" s="18"/>
      <c r="G708" s="14"/>
      <c r="H708" s="14"/>
      <c r="I708" s="14"/>
      <c r="J708" s="14"/>
      <c r="K708" s="14"/>
      <c r="L708" s="14"/>
      <c r="M708" s="18"/>
      <c r="N708" s="14"/>
      <c r="O708" s="14"/>
      <c r="P708" s="14"/>
      <c r="Q708" s="14"/>
      <c r="R708" s="14"/>
      <c r="S708" s="14"/>
      <c r="T708" s="14"/>
      <c r="U708" s="18"/>
      <c r="V708" s="18"/>
      <c r="W708" s="18"/>
      <c r="X708" s="18"/>
      <c r="Y708" s="18"/>
      <c r="Z708" s="18"/>
      <c r="AA708" s="18"/>
      <c r="AB708" s="18"/>
      <c r="AC708" s="18"/>
      <c r="AD708" s="18"/>
    </row>
    <row r="709" ht="24.75" customHeight="1">
      <c r="A709" s="19"/>
      <c r="B709" s="18"/>
      <c r="C709" s="18"/>
      <c r="D709" s="18"/>
      <c r="E709" s="18"/>
      <c r="F709" s="18"/>
      <c r="G709" s="14"/>
      <c r="H709" s="14"/>
      <c r="I709" s="14"/>
      <c r="J709" s="14"/>
      <c r="K709" s="14"/>
      <c r="L709" s="14"/>
      <c r="M709" s="18"/>
      <c r="N709" s="14"/>
      <c r="O709" s="14"/>
      <c r="P709" s="14"/>
      <c r="Q709" s="14"/>
      <c r="R709" s="14"/>
      <c r="S709" s="14"/>
      <c r="T709" s="14"/>
      <c r="U709" s="18"/>
      <c r="V709" s="18"/>
      <c r="W709" s="18"/>
      <c r="X709" s="18"/>
      <c r="Y709" s="18"/>
      <c r="Z709" s="18"/>
      <c r="AA709" s="18"/>
      <c r="AB709" s="18"/>
      <c r="AC709" s="18"/>
      <c r="AD709" s="18"/>
    </row>
    <row r="710" ht="24.75" customHeight="1">
      <c r="A710" s="19"/>
      <c r="B710" s="18"/>
      <c r="C710" s="18"/>
      <c r="D710" s="18"/>
      <c r="E710" s="18"/>
      <c r="F710" s="18"/>
      <c r="G710" s="14"/>
      <c r="H710" s="14"/>
      <c r="I710" s="14"/>
      <c r="J710" s="14"/>
      <c r="K710" s="14"/>
      <c r="L710" s="14"/>
      <c r="M710" s="18"/>
      <c r="N710" s="14"/>
      <c r="O710" s="14"/>
      <c r="P710" s="14"/>
      <c r="Q710" s="14"/>
      <c r="R710" s="14"/>
      <c r="S710" s="14"/>
      <c r="T710" s="14"/>
      <c r="U710" s="18"/>
      <c r="V710" s="18"/>
      <c r="W710" s="18"/>
      <c r="X710" s="18"/>
      <c r="Y710" s="18"/>
      <c r="Z710" s="18"/>
      <c r="AA710" s="18"/>
      <c r="AB710" s="18"/>
      <c r="AC710" s="18"/>
      <c r="AD710" s="18"/>
    </row>
    <row r="711" ht="24.75" customHeight="1">
      <c r="A711" s="19"/>
      <c r="B711" s="18"/>
      <c r="C711" s="18"/>
      <c r="D711" s="18"/>
      <c r="E711" s="18"/>
      <c r="F711" s="18"/>
      <c r="G711" s="14"/>
      <c r="H711" s="14"/>
      <c r="I711" s="14"/>
      <c r="J711" s="14"/>
      <c r="K711" s="14"/>
      <c r="L711" s="14"/>
      <c r="M711" s="18"/>
      <c r="N711" s="14"/>
      <c r="O711" s="14"/>
      <c r="P711" s="14"/>
      <c r="Q711" s="14"/>
      <c r="R711" s="14"/>
      <c r="S711" s="14"/>
      <c r="T711" s="14"/>
      <c r="U711" s="18"/>
      <c r="V711" s="18"/>
      <c r="W711" s="18"/>
      <c r="X711" s="18"/>
      <c r="Y711" s="18"/>
      <c r="Z711" s="18"/>
      <c r="AA711" s="18"/>
      <c r="AB711" s="18"/>
      <c r="AC711" s="18"/>
      <c r="AD711" s="18"/>
    </row>
    <row r="712" ht="24.75" customHeight="1">
      <c r="A712" s="19"/>
      <c r="B712" s="18"/>
      <c r="C712" s="18"/>
      <c r="D712" s="18"/>
      <c r="E712" s="18"/>
      <c r="F712" s="18"/>
      <c r="G712" s="14"/>
      <c r="H712" s="14"/>
      <c r="I712" s="14"/>
      <c r="J712" s="14"/>
      <c r="K712" s="14"/>
      <c r="L712" s="14"/>
      <c r="M712" s="18"/>
      <c r="N712" s="14"/>
      <c r="O712" s="14"/>
      <c r="P712" s="14"/>
      <c r="Q712" s="14"/>
      <c r="R712" s="14"/>
      <c r="S712" s="14"/>
      <c r="T712" s="14"/>
      <c r="U712" s="18"/>
      <c r="V712" s="18"/>
      <c r="W712" s="18"/>
      <c r="X712" s="18"/>
      <c r="Y712" s="18"/>
      <c r="Z712" s="18"/>
      <c r="AA712" s="18"/>
      <c r="AB712" s="18"/>
      <c r="AC712" s="18"/>
      <c r="AD712" s="18"/>
    </row>
    <row r="713" ht="24.75" customHeight="1">
      <c r="A713" s="19"/>
      <c r="B713" s="18"/>
      <c r="C713" s="18"/>
      <c r="D713" s="18"/>
      <c r="E713" s="18"/>
      <c r="F713" s="18"/>
      <c r="G713" s="14"/>
      <c r="H713" s="14"/>
      <c r="I713" s="14"/>
      <c r="J713" s="14"/>
      <c r="K713" s="14"/>
      <c r="L713" s="14"/>
      <c r="M713" s="18"/>
      <c r="N713" s="14"/>
      <c r="O713" s="14"/>
      <c r="P713" s="14"/>
      <c r="Q713" s="14"/>
      <c r="R713" s="14"/>
      <c r="S713" s="14"/>
      <c r="T713" s="14"/>
      <c r="U713" s="18"/>
      <c r="V713" s="18"/>
      <c r="W713" s="18"/>
      <c r="X713" s="18"/>
      <c r="Y713" s="18"/>
      <c r="Z713" s="18"/>
      <c r="AA713" s="18"/>
      <c r="AB713" s="18"/>
      <c r="AC713" s="18"/>
      <c r="AD713" s="18"/>
    </row>
    <row r="714" ht="24.75" customHeight="1">
      <c r="A714" s="19"/>
      <c r="B714" s="18"/>
      <c r="C714" s="18"/>
      <c r="D714" s="18"/>
      <c r="E714" s="18"/>
      <c r="F714" s="18"/>
      <c r="G714" s="14"/>
      <c r="H714" s="14"/>
      <c r="I714" s="14"/>
      <c r="J714" s="14"/>
      <c r="K714" s="14"/>
      <c r="L714" s="14"/>
      <c r="M714" s="18"/>
      <c r="N714" s="14"/>
      <c r="O714" s="14"/>
      <c r="P714" s="14"/>
      <c r="Q714" s="14"/>
      <c r="R714" s="14"/>
      <c r="S714" s="14"/>
      <c r="T714" s="14"/>
      <c r="U714" s="18"/>
      <c r="V714" s="18"/>
      <c r="W714" s="18"/>
      <c r="X714" s="18"/>
      <c r="Y714" s="18"/>
      <c r="Z714" s="18"/>
      <c r="AA714" s="18"/>
      <c r="AB714" s="18"/>
      <c r="AC714" s="18"/>
      <c r="AD714" s="18"/>
    </row>
    <row r="715" ht="24.75" customHeight="1">
      <c r="A715" s="19"/>
      <c r="B715" s="18"/>
      <c r="C715" s="18"/>
      <c r="D715" s="18"/>
      <c r="E715" s="18"/>
      <c r="F715" s="18"/>
      <c r="G715" s="14"/>
      <c r="H715" s="14"/>
      <c r="I715" s="14"/>
      <c r="J715" s="14"/>
      <c r="K715" s="14"/>
      <c r="L715" s="14"/>
      <c r="M715" s="18"/>
      <c r="N715" s="14"/>
      <c r="O715" s="14"/>
      <c r="P715" s="14"/>
      <c r="Q715" s="14"/>
      <c r="R715" s="14"/>
      <c r="S715" s="14"/>
      <c r="T715" s="14"/>
      <c r="U715" s="18"/>
      <c r="V715" s="18"/>
      <c r="W715" s="18"/>
      <c r="X715" s="18"/>
      <c r="Y715" s="18"/>
      <c r="Z715" s="18"/>
      <c r="AA715" s="18"/>
      <c r="AB715" s="18"/>
      <c r="AC715" s="18"/>
      <c r="AD715" s="18"/>
    </row>
    <row r="716" ht="24.75" customHeight="1">
      <c r="A716" s="19"/>
      <c r="B716" s="18"/>
      <c r="C716" s="18"/>
      <c r="D716" s="18"/>
      <c r="E716" s="18"/>
      <c r="F716" s="18"/>
      <c r="G716" s="14"/>
      <c r="H716" s="14"/>
      <c r="I716" s="14"/>
      <c r="J716" s="14"/>
      <c r="K716" s="14"/>
      <c r="L716" s="14"/>
      <c r="M716" s="18"/>
      <c r="N716" s="14"/>
      <c r="O716" s="14"/>
      <c r="P716" s="14"/>
      <c r="Q716" s="14"/>
      <c r="R716" s="14"/>
      <c r="S716" s="14"/>
      <c r="T716" s="14"/>
      <c r="U716" s="18"/>
      <c r="V716" s="18"/>
      <c r="W716" s="18"/>
      <c r="X716" s="18"/>
      <c r="Y716" s="18"/>
      <c r="Z716" s="18"/>
      <c r="AA716" s="18"/>
      <c r="AB716" s="18"/>
      <c r="AC716" s="18"/>
      <c r="AD716" s="18"/>
    </row>
    <row r="717" ht="24.75" customHeight="1">
      <c r="A717" s="19"/>
      <c r="B717" s="18"/>
      <c r="C717" s="18"/>
      <c r="D717" s="18"/>
      <c r="E717" s="18"/>
      <c r="F717" s="18"/>
      <c r="G717" s="14"/>
      <c r="H717" s="14"/>
      <c r="I717" s="14"/>
      <c r="J717" s="14"/>
      <c r="K717" s="14"/>
      <c r="L717" s="14"/>
      <c r="M717" s="18"/>
      <c r="N717" s="14"/>
      <c r="O717" s="14"/>
      <c r="P717" s="14"/>
      <c r="Q717" s="14"/>
      <c r="R717" s="14"/>
      <c r="S717" s="14"/>
      <c r="T717" s="14"/>
      <c r="U717" s="18"/>
      <c r="V717" s="18"/>
      <c r="W717" s="18"/>
      <c r="X717" s="18"/>
      <c r="Y717" s="18"/>
      <c r="Z717" s="18"/>
      <c r="AA717" s="18"/>
      <c r="AB717" s="18"/>
      <c r="AC717" s="18"/>
      <c r="AD717" s="18"/>
    </row>
    <row r="718" ht="24.75" customHeight="1">
      <c r="A718" s="19"/>
      <c r="B718" s="18"/>
      <c r="C718" s="18"/>
      <c r="D718" s="18"/>
      <c r="E718" s="18"/>
      <c r="F718" s="18"/>
      <c r="G718" s="14"/>
      <c r="H718" s="14"/>
      <c r="I718" s="14"/>
      <c r="J718" s="14"/>
      <c r="K718" s="14"/>
      <c r="L718" s="14"/>
      <c r="M718" s="18"/>
      <c r="N718" s="14"/>
      <c r="O718" s="14"/>
      <c r="P718" s="14"/>
      <c r="Q718" s="14"/>
      <c r="R718" s="14"/>
      <c r="S718" s="14"/>
      <c r="T718" s="14"/>
      <c r="U718" s="18"/>
      <c r="V718" s="18"/>
      <c r="W718" s="18"/>
      <c r="X718" s="18"/>
      <c r="Y718" s="18"/>
      <c r="Z718" s="18"/>
      <c r="AA718" s="18"/>
      <c r="AB718" s="18"/>
      <c r="AC718" s="18"/>
      <c r="AD718" s="18"/>
    </row>
    <row r="719" ht="24.75" customHeight="1">
      <c r="A719" s="19"/>
      <c r="B719" s="18"/>
      <c r="C719" s="18"/>
      <c r="D719" s="18"/>
      <c r="E719" s="18"/>
      <c r="F719" s="18"/>
      <c r="G719" s="14"/>
      <c r="H719" s="14"/>
      <c r="I719" s="14"/>
      <c r="J719" s="14"/>
      <c r="K719" s="14"/>
      <c r="L719" s="14"/>
      <c r="M719" s="18"/>
      <c r="N719" s="14"/>
      <c r="O719" s="14"/>
      <c r="P719" s="14"/>
      <c r="Q719" s="14"/>
      <c r="R719" s="14"/>
      <c r="S719" s="14"/>
      <c r="T719" s="14"/>
      <c r="U719" s="18"/>
      <c r="V719" s="18"/>
      <c r="W719" s="18"/>
      <c r="X719" s="18"/>
      <c r="Y719" s="18"/>
      <c r="Z719" s="18"/>
      <c r="AA719" s="18"/>
      <c r="AB719" s="18"/>
      <c r="AC719" s="18"/>
      <c r="AD719" s="18"/>
    </row>
    <row r="720" ht="24.75" customHeight="1">
      <c r="A720" s="19"/>
      <c r="B720" s="18"/>
      <c r="C720" s="18"/>
      <c r="D720" s="18"/>
      <c r="E720" s="18"/>
      <c r="F720" s="18"/>
      <c r="G720" s="14"/>
      <c r="H720" s="14"/>
      <c r="I720" s="14"/>
      <c r="J720" s="14"/>
      <c r="K720" s="14"/>
      <c r="L720" s="14"/>
      <c r="M720" s="18"/>
      <c r="N720" s="14"/>
      <c r="O720" s="14"/>
      <c r="P720" s="14"/>
      <c r="Q720" s="14"/>
      <c r="R720" s="14"/>
      <c r="S720" s="14"/>
      <c r="T720" s="14"/>
      <c r="U720" s="18"/>
      <c r="V720" s="18"/>
      <c r="W720" s="18"/>
      <c r="X720" s="18"/>
      <c r="Y720" s="18"/>
      <c r="Z720" s="18"/>
      <c r="AA720" s="18"/>
      <c r="AB720" s="18"/>
      <c r="AC720" s="18"/>
      <c r="AD720" s="18"/>
    </row>
    <row r="721" ht="24.75" customHeight="1">
      <c r="A721" s="19"/>
      <c r="B721" s="18"/>
      <c r="C721" s="18"/>
      <c r="D721" s="18"/>
      <c r="E721" s="18"/>
      <c r="F721" s="18"/>
      <c r="G721" s="14"/>
      <c r="H721" s="14"/>
      <c r="I721" s="14"/>
      <c r="J721" s="14"/>
      <c r="K721" s="14"/>
      <c r="L721" s="14"/>
      <c r="M721" s="18"/>
      <c r="N721" s="14"/>
      <c r="O721" s="14"/>
      <c r="P721" s="14"/>
      <c r="Q721" s="14"/>
      <c r="R721" s="14"/>
      <c r="S721" s="14"/>
      <c r="T721" s="14"/>
      <c r="U721" s="18"/>
      <c r="V721" s="18"/>
      <c r="W721" s="18"/>
      <c r="X721" s="18"/>
      <c r="Y721" s="18"/>
      <c r="Z721" s="18"/>
      <c r="AA721" s="18"/>
      <c r="AB721" s="18"/>
      <c r="AC721" s="18"/>
      <c r="AD721" s="18"/>
    </row>
    <row r="722" ht="24.75" customHeight="1">
      <c r="A722" s="19"/>
      <c r="B722" s="18"/>
      <c r="C722" s="18"/>
      <c r="D722" s="18"/>
      <c r="E722" s="18"/>
      <c r="F722" s="18"/>
      <c r="G722" s="14"/>
      <c r="H722" s="14"/>
      <c r="I722" s="14"/>
      <c r="J722" s="14"/>
      <c r="K722" s="14"/>
      <c r="L722" s="14"/>
      <c r="M722" s="18"/>
      <c r="N722" s="14"/>
      <c r="O722" s="14"/>
      <c r="P722" s="14"/>
      <c r="Q722" s="14"/>
      <c r="R722" s="14"/>
      <c r="S722" s="14"/>
      <c r="T722" s="14"/>
      <c r="U722" s="18"/>
      <c r="V722" s="18"/>
      <c r="W722" s="18"/>
      <c r="X722" s="18"/>
      <c r="Y722" s="18"/>
      <c r="Z722" s="18"/>
      <c r="AA722" s="18"/>
      <c r="AB722" s="18"/>
      <c r="AC722" s="18"/>
      <c r="AD722" s="18"/>
    </row>
    <row r="723" ht="24.75" customHeight="1">
      <c r="A723" s="19"/>
      <c r="B723" s="18"/>
      <c r="C723" s="18"/>
      <c r="D723" s="18"/>
      <c r="E723" s="18"/>
      <c r="F723" s="18"/>
      <c r="G723" s="14"/>
      <c r="H723" s="14"/>
      <c r="I723" s="14"/>
      <c r="J723" s="14"/>
      <c r="K723" s="14"/>
      <c r="L723" s="14"/>
      <c r="M723" s="18"/>
      <c r="N723" s="14"/>
      <c r="O723" s="14"/>
      <c r="P723" s="14"/>
      <c r="Q723" s="14"/>
      <c r="R723" s="14"/>
      <c r="S723" s="14"/>
      <c r="T723" s="14"/>
      <c r="U723" s="18"/>
      <c r="V723" s="18"/>
      <c r="W723" s="18"/>
      <c r="X723" s="18"/>
      <c r="Y723" s="18"/>
      <c r="Z723" s="18"/>
      <c r="AA723" s="18"/>
      <c r="AB723" s="18"/>
      <c r="AC723" s="18"/>
      <c r="AD723" s="18"/>
    </row>
    <row r="724" ht="24.75" customHeight="1">
      <c r="A724" s="19"/>
      <c r="B724" s="18"/>
      <c r="C724" s="18"/>
      <c r="D724" s="18"/>
      <c r="E724" s="18"/>
      <c r="F724" s="18"/>
      <c r="G724" s="14"/>
      <c r="H724" s="14"/>
      <c r="I724" s="14"/>
      <c r="J724" s="14"/>
      <c r="K724" s="14"/>
      <c r="L724" s="14"/>
      <c r="M724" s="18"/>
      <c r="N724" s="14"/>
      <c r="O724" s="14"/>
      <c r="P724" s="14"/>
      <c r="Q724" s="14"/>
      <c r="R724" s="14"/>
      <c r="S724" s="14"/>
      <c r="T724" s="14"/>
      <c r="U724" s="18"/>
      <c r="V724" s="18"/>
      <c r="W724" s="18"/>
      <c r="X724" s="18"/>
      <c r="Y724" s="18"/>
      <c r="Z724" s="18"/>
      <c r="AA724" s="18"/>
      <c r="AB724" s="18"/>
      <c r="AC724" s="18"/>
      <c r="AD724" s="18"/>
    </row>
    <row r="725" ht="24.75" customHeight="1">
      <c r="A725" s="19"/>
      <c r="B725" s="18"/>
      <c r="C725" s="18"/>
      <c r="D725" s="18"/>
      <c r="E725" s="18"/>
      <c r="F725" s="18"/>
      <c r="G725" s="14"/>
      <c r="H725" s="14"/>
      <c r="I725" s="14"/>
      <c r="J725" s="14"/>
      <c r="K725" s="14"/>
      <c r="L725" s="14"/>
      <c r="M725" s="18"/>
      <c r="N725" s="14"/>
      <c r="O725" s="14"/>
      <c r="P725" s="14"/>
      <c r="Q725" s="14"/>
      <c r="R725" s="14"/>
      <c r="S725" s="14"/>
      <c r="T725" s="14"/>
      <c r="U725" s="18"/>
      <c r="V725" s="18"/>
      <c r="W725" s="18"/>
      <c r="X725" s="18"/>
      <c r="Y725" s="18"/>
      <c r="Z725" s="18"/>
      <c r="AA725" s="18"/>
      <c r="AB725" s="18"/>
      <c r="AC725" s="18"/>
      <c r="AD725" s="18"/>
    </row>
    <row r="726" ht="24.75" customHeight="1">
      <c r="A726" s="19"/>
      <c r="B726" s="18"/>
      <c r="C726" s="18"/>
      <c r="D726" s="18"/>
      <c r="E726" s="18"/>
      <c r="F726" s="18"/>
      <c r="G726" s="14"/>
      <c r="H726" s="14"/>
      <c r="I726" s="14"/>
      <c r="J726" s="14"/>
      <c r="K726" s="14"/>
      <c r="L726" s="14"/>
      <c r="M726" s="18"/>
      <c r="N726" s="14"/>
      <c r="O726" s="14"/>
      <c r="P726" s="14"/>
      <c r="Q726" s="14"/>
      <c r="R726" s="14"/>
      <c r="S726" s="14"/>
      <c r="T726" s="14"/>
      <c r="U726" s="18"/>
      <c r="V726" s="18"/>
      <c r="W726" s="18"/>
      <c r="X726" s="18"/>
      <c r="Y726" s="18"/>
      <c r="Z726" s="18"/>
      <c r="AA726" s="18"/>
      <c r="AB726" s="18"/>
      <c r="AC726" s="18"/>
      <c r="AD726" s="18"/>
    </row>
    <row r="727" ht="24.75" customHeight="1">
      <c r="A727" s="19"/>
      <c r="B727" s="18"/>
      <c r="C727" s="18"/>
      <c r="D727" s="18"/>
      <c r="E727" s="18"/>
      <c r="F727" s="18"/>
      <c r="G727" s="14"/>
      <c r="H727" s="14"/>
      <c r="I727" s="14"/>
      <c r="J727" s="14"/>
      <c r="K727" s="14"/>
      <c r="L727" s="14"/>
      <c r="M727" s="18"/>
      <c r="N727" s="14"/>
      <c r="O727" s="14"/>
      <c r="P727" s="14"/>
      <c r="Q727" s="14"/>
      <c r="R727" s="14"/>
      <c r="S727" s="14"/>
      <c r="T727" s="14"/>
      <c r="U727" s="18"/>
      <c r="V727" s="18"/>
      <c r="W727" s="18"/>
      <c r="X727" s="18"/>
      <c r="Y727" s="18"/>
      <c r="Z727" s="18"/>
      <c r="AA727" s="18"/>
      <c r="AB727" s="18"/>
      <c r="AC727" s="18"/>
      <c r="AD727" s="18"/>
    </row>
    <row r="728" ht="24.75" customHeight="1">
      <c r="A728" s="19"/>
      <c r="B728" s="18"/>
      <c r="C728" s="18"/>
      <c r="D728" s="18"/>
      <c r="E728" s="18"/>
      <c r="F728" s="18"/>
      <c r="G728" s="14"/>
      <c r="H728" s="14"/>
      <c r="I728" s="14"/>
      <c r="J728" s="14"/>
      <c r="K728" s="14"/>
      <c r="L728" s="14"/>
      <c r="M728" s="18"/>
      <c r="N728" s="14"/>
      <c r="O728" s="14"/>
      <c r="P728" s="14"/>
      <c r="Q728" s="14"/>
      <c r="R728" s="14"/>
      <c r="S728" s="14"/>
      <c r="T728" s="14"/>
      <c r="U728" s="18"/>
      <c r="V728" s="18"/>
      <c r="W728" s="18"/>
      <c r="X728" s="18"/>
      <c r="Y728" s="18"/>
      <c r="Z728" s="18"/>
      <c r="AA728" s="18"/>
      <c r="AB728" s="18"/>
      <c r="AC728" s="18"/>
      <c r="AD728" s="18"/>
    </row>
    <row r="729" ht="24.75" customHeight="1">
      <c r="A729" s="19"/>
      <c r="B729" s="18"/>
      <c r="C729" s="18"/>
      <c r="D729" s="18"/>
      <c r="E729" s="18"/>
      <c r="F729" s="18"/>
      <c r="G729" s="14"/>
      <c r="H729" s="14"/>
      <c r="I729" s="14"/>
      <c r="J729" s="14"/>
      <c r="K729" s="14"/>
      <c r="L729" s="14"/>
      <c r="M729" s="18"/>
      <c r="N729" s="14"/>
      <c r="O729" s="14"/>
      <c r="P729" s="14"/>
      <c r="Q729" s="14"/>
      <c r="R729" s="14"/>
      <c r="S729" s="14"/>
      <c r="T729" s="14"/>
      <c r="U729" s="18"/>
      <c r="V729" s="18"/>
      <c r="W729" s="18"/>
      <c r="X729" s="18"/>
      <c r="Y729" s="18"/>
      <c r="Z729" s="18"/>
      <c r="AA729" s="18"/>
      <c r="AB729" s="18"/>
      <c r="AC729" s="18"/>
      <c r="AD729" s="18"/>
    </row>
    <row r="730" ht="24.75" customHeight="1">
      <c r="A730" s="19"/>
      <c r="B730" s="18"/>
      <c r="C730" s="18"/>
      <c r="D730" s="18"/>
      <c r="E730" s="18"/>
      <c r="F730" s="18"/>
      <c r="G730" s="14"/>
      <c r="H730" s="14"/>
      <c r="I730" s="14"/>
      <c r="J730" s="14"/>
      <c r="K730" s="14"/>
      <c r="L730" s="14"/>
      <c r="M730" s="18"/>
      <c r="N730" s="14"/>
      <c r="O730" s="14"/>
      <c r="P730" s="14"/>
      <c r="Q730" s="14"/>
      <c r="R730" s="14"/>
      <c r="S730" s="14"/>
      <c r="T730" s="14"/>
      <c r="U730" s="18"/>
      <c r="V730" s="18"/>
      <c r="W730" s="18"/>
      <c r="X730" s="18"/>
      <c r="Y730" s="18"/>
      <c r="Z730" s="18"/>
      <c r="AA730" s="18"/>
      <c r="AB730" s="18"/>
      <c r="AC730" s="18"/>
      <c r="AD730" s="18"/>
    </row>
    <row r="731" ht="24.75" customHeight="1">
      <c r="A731" s="19"/>
      <c r="B731" s="18"/>
      <c r="C731" s="18"/>
      <c r="D731" s="18"/>
      <c r="E731" s="18"/>
      <c r="F731" s="18"/>
      <c r="G731" s="14"/>
      <c r="H731" s="14"/>
      <c r="I731" s="14"/>
      <c r="J731" s="14"/>
      <c r="K731" s="14"/>
      <c r="L731" s="14"/>
      <c r="M731" s="18"/>
      <c r="N731" s="14"/>
      <c r="O731" s="14"/>
      <c r="P731" s="14"/>
      <c r="Q731" s="14"/>
      <c r="R731" s="14"/>
      <c r="S731" s="14"/>
      <c r="T731" s="14"/>
      <c r="U731" s="18"/>
      <c r="V731" s="18"/>
      <c r="W731" s="18"/>
      <c r="X731" s="18"/>
      <c r="Y731" s="18"/>
      <c r="Z731" s="18"/>
      <c r="AA731" s="18"/>
      <c r="AB731" s="18"/>
      <c r="AC731" s="18"/>
      <c r="AD731" s="18"/>
    </row>
    <row r="732" ht="24.75" customHeight="1">
      <c r="A732" s="19"/>
      <c r="B732" s="18"/>
      <c r="C732" s="18"/>
      <c r="D732" s="18"/>
      <c r="E732" s="18"/>
      <c r="F732" s="18"/>
      <c r="G732" s="14"/>
      <c r="H732" s="14"/>
      <c r="I732" s="14"/>
      <c r="J732" s="14"/>
      <c r="K732" s="14"/>
      <c r="L732" s="14"/>
      <c r="M732" s="18"/>
      <c r="N732" s="14"/>
      <c r="O732" s="14"/>
      <c r="P732" s="14"/>
      <c r="Q732" s="14"/>
      <c r="R732" s="14"/>
      <c r="S732" s="14"/>
      <c r="T732" s="14"/>
      <c r="U732" s="18"/>
      <c r="V732" s="18"/>
      <c r="W732" s="18"/>
      <c r="X732" s="18"/>
      <c r="Y732" s="18"/>
      <c r="Z732" s="18"/>
      <c r="AA732" s="18"/>
      <c r="AB732" s="18"/>
      <c r="AC732" s="18"/>
      <c r="AD732" s="18"/>
    </row>
    <row r="733" ht="24.75" customHeight="1">
      <c r="A733" s="19"/>
      <c r="B733" s="18"/>
      <c r="C733" s="18"/>
      <c r="D733" s="18"/>
      <c r="E733" s="18"/>
      <c r="F733" s="18"/>
      <c r="G733" s="14"/>
      <c r="H733" s="14"/>
      <c r="I733" s="14"/>
      <c r="J733" s="14"/>
      <c r="K733" s="14"/>
      <c r="L733" s="14"/>
      <c r="M733" s="18"/>
      <c r="N733" s="14"/>
      <c r="O733" s="14"/>
      <c r="P733" s="14"/>
      <c r="Q733" s="14"/>
      <c r="R733" s="14"/>
      <c r="S733" s="14"/>
      <c r="T733" s="14"/>
      <c r="U733" s="18"/>
      <c r="V733" s="18"/>
      <c r="W733" s="18"/>
      <c r="X733" s="18"/>
      <c r="Y733" s="18"/>
      <c r="Z733" s="18"/>
      <c r="AA733" s="18"/>
      <c r="AB733" s="18"/>
      <c r="AC733" s="18"/>
      <c r="AD733" s="18"/>
    </row>
    <row r="734" ht="24.75" customHeight="1">
      <c r="A734" s="19"/>
      <c r="B734" s="18"/>
      <c r="C734" s="18"/>
      <c r="D734" s="18"/>
      <c r="E734" s="18"/>
      <c r="F734" s="18"/>
      <c r="G734" s="14"/>
      <c r="H734" s="14"/>
      <c r="I734" s="14"/>
      <c r="J734" s="14"/>
      <c r="K734" s="14"/>
      <c r="L734" s="14"/>
      <c r="M734" s="18"/>
      <c r="N734" s="14"/>
      <c r="O734" s="14"/>
      <c r="P734" s="14"/>
      <c r="Q734" s="14"/>
      <c r="R734" s="14"/>
      <c r="S734" s="14"/>
      <c r="T734" s="14"/>
      <c r="U734" s="18"/>
      <c r="V734" s="18"/>
      <c r="W734" s="18"/>
      <c r="X734" s="18"/>
      <c r="Y734" s="18"/>
      <c r="Z734" s="18"/>
      <c r="AA734" s="18"/>
      <c r="AB734" s="18"/>
      <c r="AC734" s="18"/>
      <c r="AD734" s="18"/>
    </row>
    <row r="735" ht="24.75" customHeight="1">
      <c r="A735" s="19"/>
      <c r="B735" s="18"/>
      <c r="C735" s="18"/>
      <c r="D735" s="18"/>
      <c r="E735" s="18"/>
      <c r="F735" s="18"/>
      <c r="G735" s="14"/>
      <c r="H735" s="14"/>
      <c r="I735" s="14"/>
      <c r="J735" s="14"/>
      <c r="K735" s="14"/>
      <c r="L735" s="14"/>
      <c r="M735" s="18"/>
      <c r="N735" s="14"/>
      <c r="O735" s="14"/>
      <c r="P735" s="14"/>
      <c r="Q735" s="14"/>
      <c r="R735" s="14"/>
      <c r="S735" s="14"/>
      <c r="T735" s="14"/>
      <c r="U735" s="18"/>
      <c r="V735" s="18"/>
      <c r="W735" s="18"/>
      <c r="X735" s="18"/>
      <c r="Y735" s="18"/>
      <c r="Z735" s="18"/>
      <c r="AA735" s="18"/>
      <c r="AB735" s="18"/>
      <c r="AC735" s="18"/>
      <c r="AD735" s="18"/>
    </row>
    <row r="736" ht="24.75" customHeight="1">
      <c r="A736" s="19"/>
      <c r="B736" s="18"/>
      <c r="C736" s="18"/>
      <c r="D736" s="18"/>
      <c r="E736" s="18"/>
      <c r="F736" s="18"/>
      <c r="G736" s="14"/>
      <c r="H736" s="14"/>
      <c r="I736" s="14"/>
      <c r="J736" s="14"/>
      <c r="K736" s="14"/>
      <c r="L736" s="14"/>
      <c r="M736" s="18"/>
      <c r="N736" s="14"/>
      <c r="O736" s="14"/>
      <c r="P736" s="14"/>
      <c r="Q736" s="14"/>
      <c r="R736" s="14"/>
      <c r="S736" s="14"/>
      <c r="T736" s="14"/>
      <c r="U736" s="18"/>
      <c r="V736" s="18"/>
      <c r="W736" s="18"/>
      <c r="X736" s="18"/>
      <c r="Y736" s="18"/>
      <c r="Z736" s="18"/>
      <c r="AA736" s="18"/>
      <c r="AB736" s="18"/>
      <c r="AC736" s="18"/>
      <c r="AD736" s="18"/>
    </row>
    <row r="737" ht="24.75" customHeight="1">
      <c r="A737" s="19"/>
      <c r="B737" s="18"/>
      <c r="C737" s="18"/>
      <c r="D737" s="18"/>
      <c r="E737" s="18"/>
      <c r="F737" s="18"/>
      <c r="G737" s="14"/>
      <c r="H737" s="14"/>
      <c r="I737" s="14"/>
      <c r="J737" s="14"/>
      <c r="K737" s="14"/>
      <c r="L737" s="14"/>
      <c r="M737" s="18"/>
      <c r="N737" s="14"/>
      <c r="O737" s="14"/>
      <c r="P737" s="14"/>
      <c r="Q737" s="14"/>
      <c r="R737" s="14"/>
      <c r="S737" s="14"/>
      <c r="T737" s="14"/>
      <c r="U737" s="18"/>
      <c r="V737" s="18"/>
      <c r="W737" s="18"/>
      <c r="X737" s="18"/>
      <c r="Y737" s="18"/>
      <c r="Z737" s="18"/>
      <c r="AA737" s="18"/>
      <c r="AB737" s="18"/>
      <c r="AC737" s="18"/>
      <c r="AD737" s="18"/>
    </row>
    <row r="738" ht="24.75" customHeight="1">
      <c r="A738" s="19"/>
      <c r="B738" s="18"/>
      <c r="C738" s="18"/>
      <c r="D738" s="18"/>
      <c r="E738" s="18"/>
      <c r="F738" s="18"/>
      <c r="G738" s="14"/>
      <c r="H738" s="14"/>
      <c r="I738" s="14"/>
      <c r="J738" s="14"/>
      <c r="K738" s="14"/>
      <c r="L738" s="14"/>
      <c r="M738" s="18"/>
      <c r="N738" s="14"/>
      <c r="O738" s="14"/>
      <c r="P738" s="14"/>
      <c r="Q738" s="14"/>
      <c r="R738" s="14"/>
      <c r="S738" s="14"/>
      <c r="T738" s="14"/>
      <c r="U738" s="18"/>
      <c r="V738" s="18"/>
      <c r="W738" s="18"/>
      <c r="X738" s="18"/>
      <c r="Y738" s="18"/>
      <c r="Z738" s="18"/>
      <c r="AA738" s="18"/>
      <c r="AB738" s="18"/>
      <c r="AC738" s="18"/>
      <c r="AD738" s="18"/>
    </row>
    <row r="739" ht="24.75" customHeight="1">
      <c r="A739" s="19"/>
      <c r="B739" s="18"/>
      <c r="C739" s="18"/>
      <c r="D739" s="18"/>
      <c r="E739" s="18"/>
      <c r="F739" s="18"/>
      <c r="G739" s="14"/>
      <c r="H739" s="14"/>
      <c r="I739" s="14"/>
      <c r="J739" s="14"/>
      <c r="K739" s="14"/>
      <c r="L739" s="14"/>
      <c r="M739" s="18"/>
      <c r="N739" s="14"/>
      <c r="O739" s="14"/>
      <c r="P739" s="14"/>
      <c r="Q739" s="14"/>
      <c r="R739" s="14"/>
      <c r="S739" s="14"/>
      <c r="T739" s="14"/>
      <c r="U739" s="18"/>
      <c r="V739" s="18"/>
      <c r="W739" s="18"/>
      <c r="X739" s="18"/>
      <c r="Y739" s="18"/>
      <c r="Z739" s="18"/>
      <c r="AA739" s="18"/>
      <c r="AB739" s="18"/>
      <c r="AC739" s="18"/>
      <c r="AD739" s="18"/>
    </row>
    <row r="740" ht="24.75" customHeight="1">
      <c r="A740" s="19"/>
      <c r="B740" s="18"/>
      <c r="C740" s="18"/>
      <c r="D740" s="18"/>
      <c r="E740" s="18"/>
      <c r="F740" s="18"/>
      <c r="G740" s="14"/>
      <c r="H740" s="14"/>
      <c r="I740" s="14"/>
      <c r="J740" s="14"/>
      <c r="K740" s="14"/>
      <c r="L740" s="14"/>
      <c r="M740" s="18"/>
      <c r="N740" s="14"/>
      <c r="O740" s="14"/>
      <c r="P740" s="14"/>
      <c r="Q740" s="14"/>
      <c r="R740" s="14"/>
      <c r="S740" s="14"/>
      <c r="T740" s="14"/>
      <c r="U740" s="18"/>
      <c r="V740" s="18"/>
      <c r="W740" s="18"/>
      <c r="X740" s="18"/>
      <c r="Y740" s="18"/>
      <c r="Z740" s="18"/>
      <c r="AA740" s="18"/>
      <c r="AB740" s="18"/>
      <c r="AC740" s="18"/>
      <c r="AD740" s="18"/>
    </row>
    <row r="741" ht="24.75" customHeight="1">
      <c r="A741" s="19"/>
      <c r="B741" s="18"/>
      <c r="C741" s="18"/>
      <c r="D741" s="18"/>
      <c r="E741" s="18"/>
      <c r="F741" s="18"/>
      <c r="G741" s="14"/>
      <c r="H741" s="14"/>
      <c r="I741" s="14"/>
      <c r="J741" s="14"/>
      <c r="K741" s="14"/>
      <c r="L741" s="14"/>
      <c r="M741" s="18"/>
      <c r="N741" s="14"/>
      <c r="O741" s="14"/>
      <c r="P741" s="14"/>
      <c r="Q741" s="14"/>
      <c r="R741" s="14"/>
      <c r="S741" s="14"/>
      <c r="T741" s="14"/>
      <c r="U741" s="18"/>
      <c r="V741" s="18"/>
      <c r="W741" s="18"/>
      <c r="X741" s="18"/>
      <c r="Y741" s="18"/>
      <c r="Z741" s="18"/>
      <c r="AA741" s="18"/>
      <c r="AB741" s="18"/>
      <c r="AC741" s="18"/>
      <c r="AD741" s="18"/>
    </row>
    <row r="742" ht="24.75" customHeight="1">
      <c r="A742" s="19"/>
      <c r="B742" s="18"/>
      <c r="C742" s="18"/>
      <c r="D742" s="18"/>
      <c r="E742" s="18"/>
      <c r="F742" s="18"/>
      <c r="G742" s="14"/>
      <c r="H742" s="14"/>
      <c r="I742" s="14"/>
      <c r="J742" s="14"/>
      <c r="K742" s="14"/>
      <c r="L742" s="14"/>
      <c r="M742" s="18"/>
      <c r="N742" s="14"/>
      <c r="O742" s="14"/>
      <c r="P742" s="14"/>
      <c r="Q742" s="14"/>
      <c r="R742" s="14"/>
      <c r="S742" s="14"/>
      <c r="T742" s="14"/>
      <c r="U742" s="18"/>
      <c r="V742" s="18"/>
      <c r="W742" s="18"/>
      <c r="X742" s="18"/>
      <c r="Y742" s="18"/>
      <c r="Z742" s="18"/>
      <c r="AA742" s="18"/>
      <c r="AB742" s="18"/>
      <c r="AC742" s="18"/>
      <c r="AD742" s="18"/>
    </row>
    <row r="743" ht="24.75" customHeight="1">
      <c r="A743" s="19"/>
      <c r="B743" s="18"/>
      <c r="C743" s="18"/>
      <c r="D743" s="18"/>
      <c r="E743" s="18"/>
      <c r="F743" s="18"/>
      <c r="G743" s="14"/>
      <c r="H743" s="14"/>
      <c r="I743" s="14"/>
      <c r="J743" s="14"/>
      <c r="K743" s="14"/>
      <c r="L743" s="14"/>
      <c r="M743" s="18"/>
      <c r="N743" s="14"/>
      <c r="O743" s="14"/>
      <c r="P743" s="14"/>
      <c r="Q743" s="14"/>
      <c r="R743" s="14"/>
      <c r="S743" s="14"/>
      <c r="T743" s="14"/>
      <c r="U743" s="18"/>
      <c r="V743" s="18"/>
      <c r="W743" s="18"/>
      <c r="X743" s="18"/>
      <c r="Y743" s="18"/>
      <c r="Z743" s="18"/>
      <c r="AA743" s="18"/>
      <c r="AB743" s="18"/>
      <c r="AC743" s="18"/>
      <c r="AD743" s="18"/>
    </row>
    <row r="744" ht="24.75" customHeight="1">
      <c r="A744" s="19"/>
      <c r="B744" s="18"/>
      <c r="C744" s="18"/>
      <c r="D744" s="18"/>
      <c r="E744" s="18"/>
      <c r="F744" s="18"/>
      <c r="G744" s="14"/>
      <c r="H744" s="14"/>
      <c r="I744" s="14"/>
      <c r="J744" s="14"/>
      <c r="K744" s="14"/>
      <c r="L744" s="14"/>
      <c r="M744" s="18"/>
      <c r="N744" s="14"/>
      <c r="O744" s="14"/>
      <c r="P744" s="14"/>
      <c r="Q744" s="14"/>
      <c r="R744" s="14"/>
      <c r="S744" s="14"/>
      <c r="T744" s="14"/>
      <c r="U744" s="18"/>
      <c r="V744" s="18"/>
      <c r="W744" s="18"/>
      <c r="X744" s="18"/>
      <c r="Y744" s="18"/>
      <c r="Z744" s="18"/>
      <c r="AA744" s="18"/>
      <c r="AB744" s="18"/>
      <c r="AC744" s="18"/>
      <c r="AD744" s="18"/>
    </row>
    <row r="745" ht="24.75" customHeight="1">
      <c r="A745" s="19"/>
      <c r="B745" s="18"/>
      <c r="C745" s="18"/>
      <c r="D745" s="18"/>
      <c r="E745" s="18"/>
      <c r="F745" s="18"/>
      <c r="G745" s="14"/>
      <c r="H745" s="14"/>
      <c r="I745" s="14"/>
      <c r="J745" s="14"/>
      <c r="K745" s="14"/>
      <c r="L745" s="14"/>
      <c r="M745" s="18"/>
      <c r="N745" s="14"/>
      <c r="O745" s="14"/>
      <c r="P745" s="14"/>
      <c r="Q745" s="14"/>
      <c r="R745" s="14"/>
      <c r="S745" s="14"/>
      <c r="T745" s="14"/>
      <c r="U745" s="18"/>
      <c r="V745" s="18"/>
      <c r="W745" s="18"/>
      <c r="X745" s="18"/>
      <c r="Y745" s="18"/>
      <c r="Z745" s="18"/>
      <c r="AA745" s="18"/>
      <c r="AB745" s="18"/>
      <c r="AC745" s="18"/>
      <c r="AD745" s="18"/>
    </row>
    <row r="746" ht="24.75" customHeight="1">
      <c r="A746" s="19"/>
      <c r="B746" s="18"/>
      <c r="C746" s="18"/>
      <c r="D746" s="18"/>
      <c r="E746" s="18"/>
      <c r="F746" s="18"/>
      <c r="G746" s="14"/>
      <c r="H746" s="14"/>
      <c r="I746" s="14"/>
      <c r="J746" s="14"/>
      <c r="K746" s="14"/>
      <c r="L746" s="14"/>
      <c r="M746" s="18"/>
      <c r="N746" s="14"/>
      <c r="O746" s="14"/>
      <c r="P746" s="14"/>
      <c r="Q746" s="14"/>
      <c r="R746" s="14"/>
      <c r="S746" s="14"/>
      <c r="T746" s="14"/>
      <c r="U746" s="18"/>
      <c r="V746" s="18"/>
      <c r="W746" s="18"/>
      <c r="X746" s="18"/>
      <c r="Y746" s="18"/>
      <c r="Z746" s="18"/>
      <c r="AA746" s="18"/>
      <c r="AB746" s="18"/>
      <c r="AC746" s="18"/>
      <c r="AD746" s="18"/>
    </row>
    <row r="747" ht="24.75" customHeight="1">
      <c r="A747" s="19"/>
      <c r="B747" s="18"/>
      <c r="C747" s="18"/>
      <c r="D747" s="18"/>
      <c r="E747" s="18"/>
      <c r="F747" s="18"/>
      <c r="G747" s="14"/>
      <c r="H747" s="14"/>
      <c r="I747" s="14"/>
      <c r="J747" s="14"/>
      <c r="K747" s="14"/>
      <c r="L747" s="14"/>
      <c r="M747" s="18"/>
      <c r="N747" s="14"/>
      <c r="O747" s="14"/>
      <c r="P747" s="14"/>
      <c r="Q747" s="14"/>
      <c r="R747" s="14"/>
      <c r="S747" s="14"/>
      <c r="T747" s="14"/>
      <c r="U747" s="18"/>
      <c r="V747" s="18"/>
      <c r="W747" s="18"/>
      <c r="X747" s="18"/>
      <c r="Y747" s="18"/>
      <c r="Z747" s="18"/>
      <c r="AA747" s="18"/>
      <c r="AB747" s="18"/>
      <c r="AC747" s="18"/>
      <c r="AD747" s="18"/>
    </row>
    <row r="748" ht="24.75" customHeight="1">
      <c r="A748" s="19"/>
      <c r="B748" s="18"/>
      <c r="C748" s="18"/>
      <c r="D748" s="18"/>
      <c r="E748" s="18"/>
      <c r="F748" s="18"/>
      <c r="G748" s="14"/>
      <c r="H748" s="14"/>
      <c r="I748" s="14"/>
      <c r="J748" s="14"/>
      <c r="K748" s="14"/>
      <c r="L748" s="14"/>
      <c r="M748" s="18"/>
      <c r="N748" s="14"/>
      <c r="O748" s="14"/>
      <c r="P748" s="14"/>
      <c r="Q748" s="14"/>
      <c r="R748" s="14"/>
      <c r="S748" s="14"/>
      <c r="T748" s="14"/>
      <c r="U748" s="18"/>
      <c r="V748" s="18"/>
      <c r="W748" s="18"/>
      <c r="X748" s="18"/>
      <c r="Y748" s="18"/>
      <c r="Z748" s="18"/>
      <c r="AA748" s="18"/>
      <c r="AB748" s="18"/>
      <c r="AC748" s="18"/>
      <c r="AD748" s="18"/>
    </row>
    <row r="749" ht="24.75" customHeight="1">
      <c r="A749" s="19"/>
      <c r="B749" s="18"/>
      <c r="C749" s="18"/>
      <c r="D749" s="18"/>
      <c r="E749" s="18"/>
      <c r="F749" s="18"/>
      <c r="G749" s="14"/>
      <c r="H749" s="14"/>
      <c r="I749" s="14"/>
      <c r="J749" s="14"/>
      <c r="K749" s="14"/>
      <c r="L749" s="14"/>
      <c r="M749" s="18"/>
      <c r="N749" s="14"/>
      <c r="O749" s="14"/>
      <c r="P749" s="14"/>
      <c r="Q749" s="14"/>
      <c r="R749" s="14"/>
      <c r="S749" s="14"/>
      <c r="T749" s="14"/>
      <c r="U749" s="18"/>
      <c r="V749" s="18"/>
      <c r="W749" s="18"/>
      <c r="X749" s="18"/>
      <c r="Y749" s="18"/>
      <c r="Z749" s="18"/>
      <c r="AA749" s="18"/>
      <c r="AB749" s="18"/>
      <c r="AC749" s="18"/>
      <c r="AD749" s="18"/>
    </row>
    <row r="750" ht="24.75" customHeight="1">
      <c r="A750" s="19"/>
      <c r="B750" s="18"/>
      <c r="C750" s="18"/>
      <c r="D750" s="18"/>
      <c r="E750" s="18"/>
      <c r="F750" s="18"/>
      <c r="G750" s="14"/>
      <c r="H750" s="14"/>
      <c r="I750" s="14"/>
      <c r="J750" s="14"/>
      <c r="K750" s="14"/>
      <c r="L750" s="14"/>
      <c r="M750" s="18"/>
      <c r="N750" s="14"/>
      <c r="O750" s="14"/>
      <c r="P750" s="14"/>
      <c r="Q750" s="14"/>
      <c r="R750" s="14"/>
      <c r="S750" s="14"/>
      <c r="T750" s="14"/>
      <c r="U750" s="18"/>
      <c r="V750" s="18"/>
      <c r="W750" s="18"/>
      <c r="X750" s="18"/>
      <c r="Y750" s="18"/>
      <c r="Z750" s="18"/>
      <c r="AA750" s="18"/>
      <c r="AB750" s="18"/>
      <c r="AC750" s="18"/>
      <c r="AD750" s="18"/>
    </row>
    <row r="751" ht="24.75" customHeight="1">
      <c r="A751" s="19"/>
      <c r="B751" s="18"/>
      <c r="C751" s="18"/>
      <c r="D751" s="18"/>
      <c r="E751" s="18"/>
      <c r="F751" s="18"/>
      <c r="G751" s="14"/>
      <c r="H751" s="14"/>
      <c r="I751" s="14"/>
      <c r="J751" s="14"/>
      <c r="K751" s="14"/>
      <c r="L751" s="14"/>
      <c r="M751" s="18"/>
      <c r="N751" s="14"/>
      <c r="O751" s="14"/>
      <c r="P751" s="14"/>
      <c r="Q751" s="14"/>
      <c r="R751" s="14"/>
      <c r="S751" s="14"/>
      <c r="T751" s="14"/>
      <c r="U751" s="18"/>
      <c r="V751" s="18"/>
      <c r="W751" s="18"/>
      <c r="X751" s="18"/>
      <c r="Y751" s="18"/>
      <c r="Z751" s="18"/>
      <c r="AA751" s="18"/>
      <c r="AB751" s="18"/>
      <c r="AC751" s="18"/>
      <c r="AD751" s="18"/>
    </row>
    <row r="752" ht="24.75" customHeight="1">
      <c r="A752" s="19"/>
      <c r="B752" s="18"/>
      <c r="C752" s="18"/>
      <c r="D752" s="18"/>
      <c r="E752" s="18"/>
      <c r="F752" s="18"/>
      <c r="G752" s="14"/>
      <c r="H752" s="14"/>
      <c r="I752" s="14"/>
      <c r="J752" s="14"/>
      <c r="K752" s="14"/>
      <c r="L752" s="14"/>
      <c r="M752" s="18"/>
      <c r="N752" s="14"/>
      <c r="O752" s="14"/>
      <c r="P752" s="14"/>
      <c r="Q752" s="14"/>
      <c r="R752" s="14"/>
      <c r="S752" s="14"/>
      <c r="T752" s="14"/>
      <c r="U752" s="18"/>
      <c r="V752" s="18"/>
      <c r="W752" s="18"/>
      <c r="X752" s="18"/>
      <c r="Y752" s="18"/>
      <c r="Z752" s="18"/>
      <c r="AA752" s="18"/>
      <c r="AB752" s="18"/>
      <c r="AC752" s="18"/>
      <c r="AD752" s="18"/>
    </row>
    <row r="753" ht="24.75" customHeight="1">
      <c r="A753" s="19"/>
      <c r="B753" s="18"/>
      <c r="C753" s="18"/>
      <c r="D753" s="18"/>
      <c r="E753" s="18"/>
      <c r="F753" s="18"/>
      <c r="G753" s="14"/>
      <c r="H753" s="14"/>
      <c r="I753" s="14"/>
      <c r="J753" s="14"/>
      <c r="K753" s="14"/>
      <c r="L753" s="14"/>
      <c r="M753" s="18"/>
      <c r="N753" s="14"/>
      <c r="O753" s="14"/>
      <c r="P753" s="14"/>
      <c r="Q753" s="14"/>
      <c r="R753" s="14"/>
      <c r="S753" s="14"/>
      <c r="T753" s="14"/>
      <c r="U753" s="18"/>
      <c r="V753" s="18"/>
      <c r="W753" s="18"/>
      <c r="X753" s="18"/>
      <c r="Y753" s="18"/>
      <c r="Z753" s="18"/>
      <c r="AA753" s="18"/>
      <c r="AB753" s="18"/>
      <c r="AC753" s="18"/>
      <c r="AD753" s="18"/>
    </row>
    <row r="754" ht="24.75" customHeight="1">
      <c r="A754" s="19"/>
      <c r="B754" s="18"/>
      <c r="C754" s="18"/>
      <c r="D754" s="18"/>
      <c r="E754" s="18"/>
      <c r="F754" s="18"/>
      <c r="G754" s="14"/>
      <c r="H754" s="14"/>
      <c r="I754" s="14"/>
      <c r="J754" s="14"/>
      <c r="K754" s="14"/>
      <c r="L754" s="14"/>
      <c r="M754" s="18"/>
      <c r="N754" s="14"/>
      <c r="O754" s="14"/>
      <c r="P754" s="14"/>
      <c r="Q754" s="14"/>
      <c r="R754" s="14"/>
      <c r="S754" s="14"/>
      <c r="T754" s="14"/>
      <c r="U754" s="18"/>
      <c r="V754" s="18"/>
      <c r="W754" s="18"/>
      <c r="X754" s="18"/>
      <c r="Y754" s="18"/>
      <c r="Z754" s="18"/>
      <c r="AA754" s="18"/>
      <c r="AB754" s="18"/>
      <c r="AC754" s="18"/>
      <c r="AD754" s="18"/>
    </row>
    <row r="755" ht="24.75" customHeight="1">
      <c r="A755" s="19"/>
      <c r="B755" s="18"/>
      <c r="C755" s="18"/>
      <c r="D755" s="18"/>
      <c r="E755" s="18"/>
      <c r="F755" s="18"/>
      <c r="G755" s="14"/>
      <c r="H755" s="14"/>
      <c r="I755" s="14"/>
      <c r="J755" s="14"/>
      <c r="K755" s="14"/>
      <c r="L755" s="14"/>
      <c r="M755" s="18"/>
      <c r="N755" s="14"/>
      <c r="O755" s="14"/>
      <c r="P755" s="14"/>
      <c r="Q755" s="14"/>
      <c r="R755" s="14"/>
      <c r="S755" s="14"/>
      <c r="T755" s="14"/>
      <c r="U755" s="18"/>
      <c r="V755" s="18"/>
      <c r="W755" s="18"/>
      <c r="X755" s="18"/>
      <c r="Y755" s="18"/>
      <c r="Z755" s="18"/>
      <c r="AA755" s="18"/>
      <c r="AB755" s="18"/>
      <c r="AC755" s="18"/>
      <c r="AD755" s="18"/>
    </row>
    <row r="756" ht="24.75" customHeight="1">
      <c r="A756" s="19"/>
      <c r="B756" s="18"/>
      <c r="C756" s="18"/>
      <c r="D756" s="18"/>
      <c r="E756" s="18"/>
      <c r="F756" s="18"/>
      <c r="G756" s="14"/>
      <c r="H756" s="14"/>
      <c r="I756" s="14"/>
      <c r="J756" s="14"/>
      <c r="K756" s="14"/>
      <c r="L756" s="14"/>
      <c r="M756" s="18"/>
      <c r="N756" s="14"/>
      <c r="O756" s="14"/>
      <c r="P756" s="14"/>
      <c r="Q756" s="14"/>
      <c r="R756" s="14"/>
      <c r="S756" s="14"/>
      <c r="T756" s="14"/>
      <c r="U756" s="18"/>
      <c r="V756" s="18"/>
      <c r="W756" s="18"/>
      <c r="X756" s="18"/>
      <c r="Y756" s="18"/>
      <c r="Z756" s="18"/>
      <c r="AA756" s="18"/>
      <c r="AB756" s="18"/>
      <c r="AC756" s="18"/>
      <c r="AD756" s="18"/>
    </row>
    <row r="757" ht="24.75" customHeight="1">
      <c r="A757" s="19"/>
      <c r="B757" s="18"/>
      <c r="C757" s="18"/>
      <c r="D757" s="18"/>
      <c r="E757" s="18"/>
      <c r="F757" s="18"/>
      <c r="G757" s="14"/>
      <c r="H757" s="14"/>
      <c r="I757" s="14"/>
      <c r="J757" s="14"/>
      <c r="K757" s="14"/>
      <c r="L757" s="14"/>
      <c r="M757" s="18"/>
      <c r="N757" s="14"/>
      <c r="O757" s="14"/>
      <c r="P757" s="14"/>
      <c r="Q757" s="14"/>
      <c r="R757" s="14"/>
      <c r="S757" s="14"/>
      <c r="T757" s="14"/>
      <c r="U757" s="18"/>
      <c r="V757" s="18"/>
      <c r="W757" s="18"/>
      <c r="X757" s="18"/>
      <c r="Y757" s="18"/>
      <c r="Z757" s="18"/>
      <c r="AA757" s="18"/>
      <c r="AB757" s="18"/>
      <c r="AC757" s="18"/>
      <c r="AD757" s="18"/>
    </row>
    <row r="758" ht="24.75" customHeight="1">
      <c r="A758" s="19"/>
      <c r="B758" s="18"/>
      <c r="C758" s="18"/>
      <c r="D758" s="18"/>
      <c r="E758" s="18"/>
      <c r="F758" s="18"/>
      <c r="G758" s="14"/>
      <c r="H758" s="14"/>
      <c r="I758" s="14"/>
      <c r="J758" s="14"/>
      <c r="K758" s="14"/>
      <c r="L758" s="14"/>
      <c r="M758" s="18"/>
      <c r="N758" s="14"/>
      <c r="O758" s="14"/>
      <c r="P758" s="14"/>
      <c r="Q758" s="14"/>
      <c r="R758" s="14"/>
      <c r="S758" s="14"/>
      <c r="T758" s="14"/>
      <c r="U758" s="18"/>
      <c r="V758" s="18"/>
      <c r="W758" s="18"/>
      <c r="X758" s="18"/>
      <c r="Y758" s="18"/>
      <c r="Z758" s="18"/>
      <c r="AA758" s="18"/>
      <c r="AB758" s="18"/>
      <c r="AC758" s="18"/>
      <c r="AD758" s="18"/>
    </row>
    <row r="759" ht="24.75" customHeight="1">
      <c r="A759" s="19"/>
      <c r="B759" s="18"/>
      <c r="C759" s="18"/>
      <c r="D759" s="18"/>
      <c r="E759" s="18"/>
      <c r="F759" s="18"/>
      <c r="G759" s="14"/>
      <c r="H759" s="14"/>
      <c r="I759" s="14"/>
      <c r="J759" s="14"/>
      <c r="K759" s="14"/>
      <c r="L759" s="14"/>
      <c r="M759" s="18"/>
      <c r="N759" s="14"/>
      <c r="O759" s="14"/>
      <c r="P759" s="14"/>
      <c r="Q759" s="14"/>
      <c r="R759" s="14"/>
      <c r="S759" s="14"/>
      <c r="T759" s="14"/>
      <c r="U759" s="18"/>
      <c r="V759" s="18"/>
      <c r="W759" s="18"/>
      <c r="X759" s="18"/>
      <c r="Y759" s="18"/>
      <c r="Z759" s="18"/>
      <c r="AA759" s="18"/>
      <c r="AB759" s="18"/>
      <c r="AC759" s="18"/>
      <c r="AD759" s="18"/>
    </row>
    <row r="760" ht="24.75" customHeight="1">
      <c r="A760" s="19"/>
      <c r="B760" s="18"/>
      <c r="C760" s="18"/>
      <c r="D760" s="18"/>
      <c r="E760" s="18"/>
      <c r="F760" s="18"/>
      <c r="G760" s="14"/>
      <c r="H760" s="14"/>
      <c r="I760" s="14"/>
      <c r="J760" s="14"/>
      <c r="K760" s="14"/>
      <c r="L760" s="14"/>
      <c r="M760" s="18"/>
      <c r="N760" s="14"/>
      <c r="O760" s="14"/>
      <c r="P760" s="14"/>
      <c r="Q760" s="14"/>
      <c r="R760" s="14"/>
      <c r="S760" s="14"/>
      <c r="T760" s="14"/>
      <c r="U760" s="18"/>
      <c r="V760" s="18"/>
      <c r="W760" s="18"/>
      <c r="X760" s="18"/>
      <c r="Y760" s="18"/>
      <c r="Z760" s="18"/>
      <c r="AA760" s="18"/>
      <c r="AB760" s="18"/>
      <c r="AC760" s="18"/>
      <c r="AD760" s="18"/>
    </row>
    <row r="761" ht="24.75" customHeight="1">
      <c r="A761" s="19"/>
      <c r="B761" s="18"/>
      <c r="C761" s="18"/>
      <c r="D761" s="18"/>
      <c r="E761" s="18"/>
      <c r="F761" s="18"/>
      <c r="G761" s="14"/>
      <c r="H761" s="14"/>
      <c r="I761" s="14"/>
      <c r="J761" s="14"/>
      <c r="K761" s="14"/>
      <c r="L761" s="14"/>
      <c r="M761" s="18"/>
      <c r="N761" s="14"/>
      <c r="O761" s="14"/>
      <c r="P761" s="14"/>
      <c r="Q761" s="14"/>
      <c r="R761" s="14"/>
      <c r="S761" s="14"/>
      <c r="T761" s="14"/>
      <c r="U761" s="18"/>
      <c r="V761" s="18"/>
      <c r="W761" s="18"/>
      <c r="X761" s="18"/>
      <c r="Y761" s="18"/>
      <c r="Z761" s="18"/>
      <c r="AA761" s="18"/>
      <c r="AB761" s="18"/>
      <c r="AC761" s="18"/>
      <c r="AD761" s="18"/>
    </row>
    <row r="762" ht="24.75" customHeight="1">
      <c r="A762" s="19"/>
      <c r="B762" s="18"/>
      <c r="C762" s="18"/>
      <c r="D762" s="18"/>
      <c r="E762" s="18"/>
      <c r="F762" s="18"/>
      <c r="G762" s="14"/>
      <c r="H762" s="14"/>
      <c r="I762" s="14"/>
      <c r="J762" s="14"/>
      <c r="K762" s="14"/>
      <c r="L762" s="14"/>
      <c r="M762" s="18"/>
      <c r="N762" s="14"/>
      <c r="O762" s="14"/>
      <c r="P762" s="14"/>
      <c r="Q762" s="14"/>
      <c r="R762" s="14"/>
      <c r="S762" s="14"/>
      <c r="T762" s="14"/>
      <c r="U762" s="18"/>
      <c r="V762" s="18"/>
      <c r="W762" s="18"/>
      <c r="X762" s="18"/>
      <c r="Y762" s="18"/>
      <c r="Z762" s="18"/>
      <c r="AA762" s="18"/>
      <c r="AB762" s="18"/>
      <c r="AC762" s="18"/>
      <c r="AD762" s="18"/>
    </row>
    <row r="763" ht="24.75" customHeight="1">
      <c r="A763" s="19"/>
      <c r="B763" s="18"/>
      <c r="C763" s="18"/>
      <c r="D763" s="18"/>
      <c r="E763" s="18"/>
      <c r="F763" s="18"/>
      <c r="G763" s="14"/>
      <c r="H763" s="14"/>
      <c r="I763" s="14"/>
      <c r="J763" s="14"/>
      <c r="K763" s="14"/>
      <c r="L763" s="14"/>
      <c r="M763" s="18"/>
      <c r="N763" s="14"/>
      <c r="O763" s="14"/>
      <c r="P763" s="14"/>
      <c r="Q763" s="14"/>
      <c r="R763" s="14"/>
      <c r="S763" s="14"/>
      <c r="T763" s="14"/>
      <c r="U763" s="18"/>
      <c r="V763" s="18"/>
      <c r="W763" s="18"/>
      <c r="X763" s="18"/>
      <c r="Y763" s="18"/>
      <c r="Z763" s="18"/>
      <c r="AA763" s="18"/>
      <c r="AB763" s="18"/>
      <c r="AC763" s="18"/>
      <c r="AD763" s="18"/>
    </row>
    <row r="764" ht="24.75" customHeight="1">
      <c r="A764" s="19"/>
      <c r="B764" s="18"/>
      <c r="C764" s="18"/>
      <c r="D764" s="18"/>
      <c r="E764" s="18"/>
      <c r="F764" s="18"/>
      <c r="G764" s="14"/>
      <c r="H764" s="14"/>
      <c r="I764" s="14"/>
      <c r="J764" s="14"/>
      <c r="K764" s="14"/>
      <c r="L764" s="14"/>
      <c r="M764" s="18"/>
      <c r="N764" s="14"/>
      <c r="O764" s="14"/>
      <c r="P764" s="14"/>
      <c r="Q764" s="14"/>
      <c r="R764" s="14"/>
      <c r="S764" s="14"/>
      <c r="T764" s="14"/>
      <c r="U764" s="18"/>
      <c r="V764" s="18"/>
      <c r="W764" s="18"/>
      <c r="X764" s="18"/>
      <c r="Y764" s="18"/>
      <c r="Z764" s="18"/>
      <c r="AA764" s="18"/>
      <c r="AB764" s="18"/>
      <c r="AC764" s="18"/>
      <c r="AD764" s="18"/>
    </row>
    <row r="765" ht="24.75" customHeight="1">
      <c r="A765" s="19"/>
      <c r="B765" s="18"/>
      <c r="C765" s="18"/>
      <c r="D765" s="18"/>
      <c r="E765" s="18"/>
      <c r="F765" s="18"/>
      <c r="G765" s="14"/>
      <c r="H765" s="14"/>
      <c r="I765" s="14"/>
      <c r="J765" s="14"/>
      <c r="K765" s="14"/>
      <c r="L765" s="14"/>
      <c r="M765" s="18"/>
      <c r="N765" s="14"/>
      <c r="O765" s="14"/>
      <c r="P765" s="14"/>
      <c r="Q765" s="14"/>
      <c r="R765" s="14"/>
      <c r="S765" s="14"/>
      <c r="T765" s="14"/>
      <c r="U765" s="18"/>
      <c r="V765" s="18"/>
      <c r="W765" s="18"/>
      <c r="X765" s="18"/>
      <c r="Y765" s="18"/>
      <c r="Z765" s="18"/>
      <c r="AA765" s="18"/>
      <c r="AB765" s="18"/>
      <c r="AC765" s="18"/>
      <c r="AD765" s="18"/>
    </row>
    <row r="766" ht="24.75" customHeight="1">
      <c r="A766" s="19"/>
      <c r="B766" s="18"/>
      <c r="C766" s="18"/>
      <c r="D766" s="18"/>
      <c r="E766" s="18"/>
      <c r="F766" s="18"/>
      <c r="G766" s="14"/>
      <c r="H766" s="14"/>
      <c r="I766" s="14"/>
      <c r="J766" s="14"/>
      <c r="K766" s="14"/>
      <c r="L766" s="14"/>
      <c r="M766" s="18"/>
      <c r="N766" s="14"/>
      <c r="O766" s="14"/>
      <c r="P766" s="14"/>
      <c r="Q766" s="14"/>
      <c r="R766" s="14"/>
      <c r="S766" s="14"/>
      <c r="T766" s="14"/>
      <c r="U766" s="18"/>
      <c r="V766" s="18"/>
      <c r="W766" s="18"/>
      <c r="X766" s="18"/>
      <c r="Y766" s="18"/>
      <c r="Z766" s="18"/>
      <c r="AA766" s="18"/>
      <c r="AB766" s="18"/>
      <c r="AC766" s="18"/>
      <c r="AD766" s="18"/>
    </row>
    <row r="767" ht="24.75" customHeight="1">
      <c r="A767" s="19"/>
      <c r="B767" s="18"/>
      <c r="C767" s="18"/>
      <c r="D767" s="18"/>
      <c r="E767" s="18"/>
      <c r="F767" s="18"/>
      <c r="G767" s="14"/>
      <c r="H767" s="14"/>
      <c r="I767" s="14"/>
      <c r="J767" s="14"/>
      <c r="K767" s="14"/>
      <c r="L767" s="14"/>
      <c r="M767" s="18"/>
      <c r="N767" s="14"/>
      <c r="O767" s="14"/>
      <c r="P767" s="14"/>
      <c r="Q767" s="14"/>
      <c r="R767" s="14"/>
      <c r="S767" s="14"/>
      <c r="T767" s="14"/>
      <c r="U767" s="18"/>
      <c r="V767" s="18"/>
      <c r="W767" s="18"/>
      <c r="X767" s="18"/>
      <c r="Y767" s="18"/>
      <c r="Z767" s="18"/>
      <c r="AA767" s="18"/>
      <c r="AB767" s="18"/>
      <c r="AC767" s="18"/>
      <c r="AD767" s="18"/>
    </row>
    <row r="768" ht="24.75" customHeight="1">
      <c r="A768" s="19"/>
      <c r="B768" s="18"/>
      <c r="C768" s="18"/>
      <c r="D768" s="18"/>
      <c r="E768" s="18"/>
      <c r="F768" s="18"/>
      <c r="G768" s="14"/>
      <c r="H768" s="14"/>
      <c r="I768" s="14"/>
      <c r="J768" s="14"/>
      <c r="K768" s="14"/>
      <c r="L768" s="14"/>
      <c r="M768" s="18"/>
      <c r="N768" s="14"/>
      <c r="O768" s="14"/>
      <c r="P768" s="14"/>
      <c r="Q768" s="14"/>
      <c r="R768" s="14"/>
      <c r="S768" s="14"/>
      <c r="T768" s="14"/>
      <c r="U768" s="18"/>
      <c r="V768" s="18"/>
      <c r="W768" s="18"/>
      <c r="X768" s="18"/>
      <c r="Y768" s="18"/>
      <c r="Z768" s="18"/>
      <c r="AA768" s="18"/>
      <c r="AB768" s="18"/>
      <c r="AC768" s="18"/>
      <c r="AD768" s="18"/>
    </row>
    <row r="769" ht="24.75" customHeight="1">
      <c r="A769" s="19"/>
      <c r="B769" s="18"/>
      <c r="C769" s="18"/>
      <c r="D769" s="18"/>
      <c r="E769" s="18"/>
      <c r="F769" s="18"/>
      <c r="G769" s="14"/>
      <c r="H769" s="14"/>
      <c r="I769" s="14"/>
      <c r="J769" s="14"/>
      <c r="K769" s="14"/>
      <c r="L769" s="14"/>
      <c r="M769" s="18"/>
      <c r="N769" s="14"/>
      <c r="O769" s="14"/>
      <c r="P769" s="14"/>
      <c r="Q769" s="14"/>
      <c r="R769" s="14"/>
      <c r="S769" s="14"/>
      <c r="T769" s="14"/>
      <c r="U769" s="18"/>
      <c r="V769" s="18"/>
      <c r="W769" s="18"/>
      <c r="X769" s="18"/>
      <c r="Y769" s="18"/>
      <c r="Z769" s="18"/>
      <c r="AA769" s="18"/>
      <c r="AB769" s="18"/>
      <c r="AC769" s="18"/>
      <c r="AD769" s="18"/>
    </row>
    <row r="770" ht="24.75" customHeight="1">
      <c r="A770" s="19"/>
      <c r="B770" s="18"/>
      <c r="C770" s="18"/>
      <c r="D770" s="18"/>
      <c r="E770" s="18"/>
      <c r="F770" s="18"/>
      <c r="G770" s="14"/>
      <c r="H770" s="14"/>
      <c r="I770" s="14"/>
      <c r="J770" s="14"/>
      <c r="K770" s="14"/>
      <c r="L770" s="14"/>
      <c r="M770" s="18"/>
      <c r="N770" s="14"/>
      <c r="O770" s="14"/>
      <c r="P770" s="14"/>
      <c r="Q770" s="14"/>
      <c r="R770" s="14"/>
      <c r="S770" s="14"/>
      <c r="T770" s="14"/>
      <c r="U770" s="18"/>
      <c r="V770" s="18"/>
      <c r="W770" s="18"/>
      <c r="X770" s="18"/>
      <c r="Y770" s="18"/>
      <c r="Z770" s="18"/>
      <c r="AA770" s="18"/>
      <c r="AB770" s="18"/>
      <c r="AC770" s="18"/>
      <c r="AD770" s="18"/>
    </row>
    <row r="771" ht="24.75" customHeight="1">
      <c r="A771" s="19"/>
      <c r="B771" s="18"/>
      <c r="C771" s="18"/>
      <c r="D771" s="18"/>
      <c r="E771" s="18"/>
      <c r="F771" s="18"/>
      <c r="G771" s="14"/>
      <c r="H771" s="14"/>
      <c r="I771" s="14"/>
      <c r="J771" s="14"/>
      <c r="K771" s="14"/>
      <c r="L771" s="14"/>
      <c r="M771" s="18"/>
      <c r="N771" s="14"/>
      <c r="O771" s="14"/>
      <c r="P771" s="14"/>
      <c r="Q771" s="14"/>
      <c r="R771" s="14"/>
      <c r="S771" s="14"/>
      <c r="T771" s="14"/>
      <c r="U771" s="18"/>
      <c r="V771" s="18"/>
      <c r="W771" s="18"/>
      <c r="X771" s="18"/>
      <c r="Y771" s="18"/>
      <c r="Z771" s="18"/>
      <c r="AA771" s="18"/>
      <c r="AB771" s="18"/>
      <c r="AC771" s="18"/>
      <c r="AD771" s="18"/>
    </row>
    <row r="772" ht="24.75" customHeight="1">
      <c r="A772" s="19"/>
      <c r="B772" s="18"/>
      <c r="C772" s="18"/>
      <c r="D772" s="18"/>
      <c r="E772" s="18"/>
      <c r="F772" s="18"/>
      <c r="G772" s="14"/>
      <c r="H772" s="14"/>
      <c r="I772" s="14"/>
      <c r="J772" s="14"/>
      <c r="K772" s="14"/>
      <c r="L772" s="14"/>
      <c r="M772" s="18"/>
      <c r="N772" s="14"/>
      <c r="O772" s="14"/>
      <c r="P772" s="14"/>
      <c r="Q772" s="14"/>
      <c r="R772" s="14"/>
      <c r="S772" s="14"/>
      <c r="T772" s="14"/>
      <c r="U772" s="18"/>
      <c r="V772" s="18"/>
      <c r="W772" s="18"/>
      <c r="X772" s="18"/>
      <c r="Y772" s="18"/>
      <c r="Z772" s="18"/>
      <c r="AA772" s="18"/>
      <c r="AB772" s="18"/>
      <c r="AC772" s="18"/>
      <c r="AD772" s="18"/>
    </row>
    <row r="773" ht="24.75" customHeight="1">
      <c r="A773" s="19"/>
      <c r="B773" s="18"/>
      <c r="C773" s="18"/>
      <c r="D773" s="18"/>
      <c r="E773" s="18"/>
      <c r="F773" s="18"/>
      <c r="G773" s="14"/>
      <c r="H773" s="14"/>
      <c r="I773" s="14"/>
      <c r="J773" s="14"/>
      <c r="K773" s="14"/>
      <c r="L773" s="14"/>
      <c r="M773" s="18"/>
      <c r="N773" s="14"/>
      <c r="O773" s="14"/>
      <c r="P773" s="14"/>
      <c r="Q773" s="14"/>
      <c r="R773" s="14"/>
      <c r="S773" s="14"/>
      <c r="T773" s="14"/>
      <c r="U773" s="18"/>
      <c r="V773" s="18"/>
      <c r="W773" s="18"/>
      <c r="X773" s="18"/>
      <c r="Y773" s="18"/>
      <c r="Z773" s="18"/>
      <c r="AA773" s="18"/>
      <c r="AB773" s="18"/>
      <c r="AC773" s="18"/>
      <c r="AD773" s="18"/>
    </row>
    <row r="774" ht="24.75" customHeight="1">
      <c r="A774" s="19"/>
      <c r="B774" s="18"/>
      <c r="C774" s="18"/>
      <c r="D774" s="18"/>
      <c r="E774" s="18"/>
      <c r="F774" s="18"/>
      <c r="G774" s="14"/>
      <c r="H774" s="14"/>
      <c r="I774" s="14"/>
      <c r="J774" s="14"/>
      <c r="K774" s="14"/>
      <c r="L774" s="14"/>
      <c r="M774" s="18"/>
      <c r="N774" s="14"/>
      <c r="O774" s="14"/>
      <c r="P774" s="14"/>
      <c r="Q774" s="14"/>
      <c r="R774" s="14"/>
      <c r="S774" s="14"/>
      <c r="T774" s="14"/>
      <c r="U774" s="18"/>
      <c r="V774" s="18"/>
      <c r="W774" s="18"/>
      <c r="X774" s="18"/>
      <c r="Y774" s="18"/>
      <c r="Z774" s="18"/>
      <c r="AA774" s="18"/>
      <c r="AB774" s="18"/>
      <c r="AC774" s="18"/>
      <c r="AD774" s="18"/>
    </row>
    <row r="775" ht="24.75" customHeight="1">
      <c r="A775" s="19"/>
      <c r="B775" s="18"/>
      <c r="C775" s="18"/>
      <c r="D775" s="18"/>
      <c r="E775" s="18"/>
      <c r="F775" s="18"/>
      <c r="G775" s="14"/>
      <c r="H775" s="14"/>
      <c r="I775" s="14"/>
      <c r="J775" s="14"/>
      <c r="K775" s="14"/>
      <c r="L775" s="14"/>
      <c r="M775" s="18"/>
      <c r="N775" s="14"/>
      <c r="O775" s="14"/>
      <c r="P775" s="14"/>
      <c r="Q775" s="14"/>
      <c r="R775" s="14"/>
      <c r="S775" s="14"/>
      <c r="T775" s="14"/>
      <c r="U775" s="18"/>
      <c r="V775" s="18"/>
      <c r="W775" s="18"/>
      <c r="X775" s="18"/>
      <c r="Y775" s="18"/>
      <c r="Z775" s="18"/>
      <c r="AA775" s="18"/>
      <c r="AB775" s="18"/>
      <c r="AC775" s="18"/>
      <c r="AD775" s="18"/>
    </row>
    <row r="776" ht="24.75" customHeight="1">
      <c r="A776" s="19"/>
      <c r="B776" s="18"/>
      <c r="C776" s="18"/>
      <c r="D776" s="18"/>
      <c r="E776" s="18"/>
      <c r="F776" s="18"/>
      <c r="G776" s="14"/>
      <c r="H776" s="14"/>
      <c r="I776" s="14"/>
      <c r="J776" s="14"/>
      <c r="K776" s="14"/>
      <c r="L776" s="14"/>
      <c r="M776" s="18"/>
      <c r="N776" s="14"/>
      <c r="O776" s="14"/>
      <c r="P776" s="14"/>
      <c r="Q776" s="14"/>
      <c r="R776" s="14"/>
      <c r="S776" s="14"/>
      <c r="T776" s="14"/>
      <c r="U776" s="18"/>
      <c r="V776" s="18"/>
      <c r="W776" s="18"/>
      <c r="X776" s="18"/>
      <c r="Y776" s="18"/>
      <c r="Z776" s="18"/>
      <c r="AA776" s="18"/>
      <c r="AB776" s="18"/>
      <c r="AC776" s="18"/>
      <c r="AD776" s="18"/>
    </row>
    <row r="777" ht="24.75" customHeight="1">
      <c r="A777" s="19"/>
      <c r="B777" s="18"/>
      <c r="C777" s="18"/>
      <c r="D777" s="18"/>
      <c r="E777" s="18"/>
      <c r="F777" s="18"/>
      <c r="G777" s="14"/>
      <c r="H777" s="14"/>
      <c r="I777" s="14"/>
      <c r="J777" s="14"/>
      <c r="K777" s="14"/>
      <c r="L777" s="14"/>
      <c r="M777" s="18"/>
      <c r="N777" s="14"/>
      <c r="O777" s="14"/>
      <c r="P777" s="14"/>
      <c r="Q777" s="14"/>
      <c r="R777" s="14"/>
      <c r="S777" s="14"/>
      <c r="T777" s="14"/>
      <c r="U777" s="18"/>
      <c r="V777" s="18"/>
      <c r="W777" s="18"/>
      <c r="X777" s="18"/>
      <c r="Y777" s="18"/>
      <c r="Z777" s="18"/>
      <c r="AA777" s="18"/>
      <c r="AB777" s="18"/>
      <c r="AC777" s="18"/>
      <c r="AD777" s="18"/>
    </row>
    <row r="778" ht="24.75" customHeight="1">
      <c r="A778" s="19"/>
      <c r="B778" s="18"/>
      <c r="C778" s="18"/>
      <c r="D778" s="18"/>
      <c r="E778" s="18"/>
      <c r="F778" s="18"/>
      <c r="G778" s="14"/>
      <c r="H778" s="14"/>
      <c r="I778" s="14"/>
      <c r="J778" s="14"/>
      <c r="K778" s="14"/>
      <c r="L778" s="14"/>
      <c r="M778" s="18"/>
      <c r="N778" s="14"/>
      <c r="O778" s="14"/>
      <c r="P778" s="14"/>
      <c r="Q778" s="14"/>
      <c r="R778" s="14"/>
      <c r="S778" s="14"/>
      <c r="T778" s="14"/>
      <c r="U778" s="18"/>
      <c r="V778" s="18"/>
      <c r="W778" s="18"/>
      <c r="X778" s="18"/>
      <c r="Y778" s="18"/>
      <c r="Z778" s="18"/>
      <c r="AA778" s="18"/>
      <c r="AB778" s="18"/>
      <c r="AC778" s="18"/>
      <c r="AD778" s="18"/>
    </row>
    <row r="779" ht="24.75" customHeight="1">
      <c r="A779" s="19"/>
      <c r="B779" s="18"/>
      <c r="C779" s="18"/>
      <c r="D779" s="18"/>
      <c r="E779" s="18"/>
      <c r="F779" s="18"/>
      <c r="G779" s="14"/>
      <c r="H779" s="14"/>
      <c r="I779" s="14"/>
      <c r="J779" s="14"/>
      <c r="K779" s="14"/>
      <c r="L779" s="14"/>
      <c r="M779" s="18"/>
      <c r="N779" s="14"/>
      <c r="O779" s="14"/>
      <c r="P779" s="14"/>
      <c r="Q779" s="14"/>
      <c r="R779" s="14"/>
      <c r="S779" s="14"/>
      <c r="T779" s="14"/>
      <c r="U779" s="18"/>
      <c r="V779" s="18"/>
      <c r="W779" s="18"/>
      <c r="X779" s="18"/>
      <c r="Y779" s="18"/>
      <c r="Z779" s="18"/>
      <c r="AA779" s="18"/>
      <c r="AB779" s="18"/>
      <c r="AC779" s="18"/>
      <c r="AD779" s="18"/>
    </row>
    <row r="780" ht="24.75" customHeight="1">
      <c r="A780" s="19"/>
      <c r="B780" s="18"/>
      <c r="C780" s="18"/>
      <c r="D780" s="18"/>
      <c r="E780" s="18"/>
      <c r="F780" s="18"/>
      <c r="G780" s="14"/>
      <c r="H780" s="14"/>
      <c r="I780" s="14"/>
      <c r="J780" s="14"/>
      <c r="K780" s="14"/>
      <c r="L780" s="14"/>
      <c r="M780" s="18"/>
      <c r="N780" s="14"/>
      <c r="O780" s="14"/>
      <c r="P780" s="14"/>
      <c r="Q780" s="14"/>
      <c r="R780" s="14"/>
      <c r="S780" s="14"/>
      <c r="T780" s="14"/>
      <c r="U780" s="18"/>
      <c r="V780" s="18"/>
      <c r="W780" s="18"/>
      <c r="X780" s="18"/>
      <c r="Y780" s="18"/>
      <c r="Z780" s="18"/>
      <c r="AA780" s="18"/>
      <c r="AB780" s="18"/>
      <c r="AC780" s="18"/>
      <c r="AD780" s="18"/>
    </row>
    <row r="781" ht="24.75" customHeight="1">
      <c r="A781" s="19"/>
      <c r="B781" s="18"/>
      <c r="C781" s="18"/>
      <c r="D781" s="18"/>
      <c r="E781" s="18"/>
      <c r="F781" s="18"/>
      <c r="G781" s="14"/>
      <c r="H781" s="14"/>
      <c r="I781" s="14"/>
      <c r="J781" s="14"/>
      <c r="K781" s="14"/>
      <c r="L781" s="14"/>
      <c r="M781" s="18"/>
      <c r="N781" s="14"/>
      <c r="O781" s="14"/>
      <c r="P781" s="14"/>
      <c r="Q781" s="14"/>
      <c r="R781" s="14"/>
      <c r="S781" s="14"/>
      <c r="T781" s="14"/>
      <c r="U781" s="18"/>
      <c r="V781" s="18"/>
      <c r="W781" s="18"/>
      <c r="X781" s="18"/>
      <c r="Y781" s="18"/>
      <c r="Z781" s="18"/>
      <c r="AA781" s="18"/>
      <c r="AB781" s="18"/>
      <c r="AC781" s="18"/>
      <c r="AD781" s="18"/>
    </row>
    <row r="782" ht="24.75" customHeight="1">
      <c r="A782" s="19"/>
      <c r="B782" s="18"/>
      <c r="C782" s="18"/>
      <c r="D782" s="18"/>
      <c r="E782" s="18"/>
      <c r="F782" s="18"/>
      <c r="G782" s="14"/>
      <c r="H782" s="14"/>
      <c r="I782" s="14"/>
      <c r="J782" s="14"/>
      <c r="K782" s="14"/>
      <c r="L782" s="14"/>
      <c r="M782" s="18"/>
      <c r="N782" s="14"/>
      <c r="O782" s="14"/>
      <c r="P782" s="14"/>
      <c r="Q782" s="14"/>
      <c r="R782" s="14"/>
      <c r="S782" s="14"/>
      <c r="T782" s="14"/>
      <c r="U782" s="18"/>
      <c r="V782" s="18"/>
      <c r="W782" s="18"/>
      <c r="X782" s="18"/>
      <c r="Y782" s="18"/>
      <c r="Z782" s="18"/>
      <c r="AA782" s="18"/>
      <c r="AB782" s="18"/>
      <c r="AC782" s="18"/>
      <c r="AD782" s="18"/>
    </row>
    <row r="783" ht="24.75" customHeight="1">
      <c r="A783" s="19"/>
      <c r="B783" s="18"/>
      <c r="C783" s="18"/>
      <c r="D783" s="18"/>
      <c r="E783" s="18"/>
      <c r="F783" s="18"/>
      <c r="G783" s="14"/>
      <c r="H783" s="14"/>
      <c r="I783" s="14"/>
      <c r="J783" s="14"/>
      <c r="K783" s="14"/>
      <c r="L783" s="14"/>
      <c r="M783" s="18"/>
      <c r="N783" s="14"/>
      <c r="O783" s="14"/>
      <c r="P783" s="14"/>
      <c r="Q783" s="14"/>
      <c r="R783" s="14"/>
      <c r="S783" s="14"/>
      <c r="T783" s="14"/>
      <c r="U783" s="18"/>
      <c r="V783" s="18"/>
      <c r="W783" s="18"/>
      <c r="X783" s="18"/>
      <c r="Y783" s="18"/>
      <c r="Z783" s="18"/>
      <c r="AA783" s="18"/>
      <c r="AB783" s="18"/>
      <c r="AC783" s="18"/>
      <c r="AD783" s="18"/>
    </row>
    <row r="784" ht="24.75" customHeight="1">
      <c r="A784" s="19"/>
      <c r="B784" s="18"/>
      <c r="C784" s="18"/>
      <c r="D784" s="18"/>
      <c r="E784" s="18"/>
      <c r="F784" s="18"/>
      <c r="G784" s="14"/>
      <c r="H784" s="14"/>
      <c r="I784" s="14"/>
      <c r="J784" s="14"/>
      <c r="K784" s="14"/>
      <c r="L784" s="14"/>
      <c r="M784" s="18"/>
      <c r="N784" s="14"/>
      <c r="O784" s="14"/>
      <c r="P784" s="14"/>
      <c r="Q784" s="14"/>
      <c r="R784" s="14"/>
      <c r="S784" s="14"/>
      <c r="T784" s="14"/>
      <c r="U784" s="18"/>
      <c r="V784" s="18"/>
      <c r="W784" s="18"/>
      <c r="X784" s="18"/>
      <c r="Y784" s="18"/>
      <c r="Z784" s="18"/>
      <c r="AA784" s="18"/>
      <c r="AB784" s="18"/>
      <c r="AC784" s="18"/>
      <c r="AD784" s="18"/>
    </row>
    <row r="785" ht="24.75" customHeight="1">
      <c r="A785" s="19"/>
      <c r="B785" s="18"/>
      <c r="C785" s="18"/>
      <c r="D785" s="18"/>
      <c r="E785" s="18"/>
      <c r="F785" s="18"/>
      <c r="G785" s="14"/>
      <c r="H785" s="14"/>
      <c r="I785" s="14"/>
      <c r="J785" s="14"/>
      <c r="K785" s="14"/>
      <c r="L785" s="14"/>
      <c r="M785" s="18"/>
      <c r="N785" s="14"/>
      <c r="O785" s="14"/>
      <c r="P785" s="14"/>
      <c r="Q785" s="14"/>
      <c r="R785" s="14"/>
      <c r="S785" s="14"/>
      <c r="T785" s="14"/>
      <c r="U785" s="18"/>
      <c r="V785" s="18"/>
      <c r="W785" s="18"/>
      <c r="X785" s="18"/>
      <c r="Y785" s="18"/>
      <c r="Z785" s="18"/>
      <c r="AA785" s="18"/>
      <c r="AB785" s="18"/>
      <c r="AC785" s="18"/>
      <c r="AD785" s="18"/>
    </row>
    <row r="786" ht="24.75" customHeight="1">
      <c r="A786" s="19"/>
      <c r="B786" s="18"/>
      <c r="C786" s="18"/>
      <c r="D786" s="18"/>
      <c r="E786" s="18"/>
      <c r="F786" s="18"/>
      <c r="G786" s="14"/>
      <c r="H786" s="14"/>
      <c r="I786" s="14"/>
      <c r="J786" s="14"/>
      <c r="K786" s="14"/>
      <c r="L786" s="14"/>
      <c r="M786" s="18"/>
      <c r="N786" s="14"/>
      <c r="O786" s="14"/>
      <c r="P786" s="14"/>
      <c r="Q786" s="14"/>
      <c r="R786" s="14"/>
      <c r="S786" s="14"/>
      <c r="T786" s="14"/>
      <c r="U786" s="18"/>
      <c r="V786" s="18"/>
      <c r="W786" s="18"/>
      <c r="X786" s="18"/>
      <c r="Y786" s="18"/>
      <c r="Z786" s="18"/>
      <c r="AA786" s="18"/>
      <c r="AB786" s="18"/>
      <c r="AC786" s="18"/>
      <c r="AD786" s="18"/>
    </row>
    <row r="787" ht="24.75" customHeight="1">
      <c r="A787" s="19"/>
      <c r="B787" s="18"/>
      <c r="C787" s="18"/>
      <c r="D787" s="18"/>
      <c r="E787" s="18"/>
      <c r="F787" s="18"/>
      <c r="G787" s="14"/>
      <c r="H787" s="14"/>
      <c r="I787" s="14"/>
      <c r="J787" s="14"/>
      <c r="K787" s="14"/>
      <c r="L787" s="14"/>
      <c r="M787" s="18"/>
      <c r="N787" s="14"/>
      <c r="O787" s="14"/>
      <c r="P787" s="14"/>
      <c r="Q787" s="14"/>
      <c r="R787" s="14"/>
      <c r="S787" s="14"/>
      <c r="T787" s="14"/>
      <c r="U787" s="18"/>
      <c r="V787" s="18"/>
      <c r="W787" s="18"/>
      <c r="X787" s="18"/>
      <c r="Y787" s="18"/>
      <c r="Z787" s="18"/>
      <c r="AA787" s="18"/>
      <c r="AB787" s="18"/>
      <c r="AC787" s="18"/>
      <c r="AD787" s="18"/>
    </row>
    <row r="788" ht="24.75" customHeight="1">
      <c r="A788" s="19"/>
      <c r="B788" s="18"/>
      <c r="C788" s="18"/>
      <c r="D788" s="18"/>
      <c r="E788" s="18"/>
      <c r="F788" s="18"/>
      <c r="G788" s="14"/>
      <c r="H788" s="14"/>
      <c r="I788" s="14"/>
      <c r="J788" s="14"/>
      <c r="K788" s="14"/>
      <c r="L788" s="14"/>
      <c r="M788" s="18"/>
      <c r="N788" s="14"/>
      <c r="O788" s="14"/>
      <c r="P788" s="14"/>
      <c r="Q788" s="14"/>
      <c r="R788" s="14"/>
      <c r="S788" s="14"/>
      <c r="T788" s="14"/>
      <c r="U788" s="18"/>
      <c r="V788" s="18"/>
      <c r="W788" s="18"/>
      <c r="X788" s="18"/>
      <c r="Y788" s="18"/>
      <c r="Z788" s="18"/>
      <c r="AA788" s="18"/>
      <c r="AB788" s="18"/>
      <c r="AC788" s="18"/>
      <c r="AD788" s="18"/>
    </row>
    <row r="789" ht="24.75" customHeight="1">
      <c r="A789" s="19"/>
      <c r="B789" s="18"/>
      <c r="C789" s="18"/>
      <c r="D789" s="18"/>
      <c r="E789" s="18"/>
      <c r="F789" s="18"/>
      <c r="G789" s="14"/>
      <c r="H789" s="14"/>
      <c r="I789" s="14"/>
      <c r="J789" s="14"/>
      <c r="K789" s="14"/>
      <c r="L789" s="14"/>
      <c r="M789" s="18"/>
      <c r="N789" s="14"/>
      <c r="O789" s="14"/>
      <c r="P789" s="14"/>
      <c r="Q789" s="14"/>
      <c r="R789" s="14"/>
      <c r="S789" s="14"/>
      <c r="T789" s="14"/>
      <c r="U789" s="18"/>
      <c r="V789" s="18"/>
      <c r="W789" s="18"/>
      <c r="X789" s="18"/>
      <c r="Y789" s="18"/>
      <c r="Z789" s="18"/>
      <c r="AA789" s="18"/>
      <c r="AB789" s="18"/>
      <c r="AC789" s="18"/>
      <c r="AD789" s="18"/>
    </row>
    <row r="790" ht="24.75" customHeight="1">
      <c r="A790" s="19"/>
      <c r="B790" s="18"/>
      <c r="C790" s="18"/>
      <c r="D790" s="18"/>
      <c r="E790" s="18"/>
      <c r="F790" s="18"/>
      <c r="G790" s="14"/>
      <c r="H790" s="14"/>
      <c r="I790" s="14"/>
      <c r="J790" s="14"/>
      <c r="K790" s="14"/>
      <c r="L790" s="14"/>
      <c r="M790" s="18"/>
      <c r="N790" s="14"/>
      <c r="O790" s="14"/>
      <c r="P790" s="14"/>
      <c r="Q790" s="14"/>
      <c r="R790" s="14"/>
      <c r="S790" s="14"/>
      <c r="T790" s="14"/>
      <c r="U790" s="18"/>
      <c r="V790" s="18"/>
      <c r="W790" s="18"/>
      <c r="X790" s="18"/>
      <c r="Y790" s="18"/>
      <c r="Z790" s="18"/>
      <c r="AA790" s="18"/>
      <c r="AB790" s="18"/>
      <c r="AC790" s="18"/>
      <c r="AD790" s="18"/>
    </row>
    <row r="791" ht="24.75" customHeight="1">
      <c r="A791" s="19"/>
      <c r="B791" s="18"/>
      <c r="C791" s="18"/>
      <c r="D791" s="18"/>
      <c r="E791" s="18"/>
      <c r="F791" s="18"/>
      <c r="G791" s="14"/>
      <c r="H791" s="14"/>
      <c r="I791" s="14"/>
      <c r="J791" s="14"/>
      <c r="K791" s="14"/>
      <c r="L791" s="14"/>
      <c r="M791" s="18"/>
      <c r="N791" s="14"/>
      <c r="O791" s="14"/>
      <c r="P791" s="14"/>
      <c r="Q791" s="14"/>
      <c r="R791" s="14"/>
      <c r="S791" s="14"/>
      <c r="T791" s="14"/>
      <c r="U791" s="18"/>
      <c r="V791" s="18"/>
      <c r="W791" s="18"/>
      <c r="X791" s="18"/>
      <c r="Y791" s="18"/>
      <c r="Z791" s="18"/>
      <c r="AA791" s="18"/>
      <c r="AB791" s="18"/>
      <c r="AC791" s="18"/>
      <c r="AD791" s="18"/>
    </row>
    <row r="792" ht="24.75" customHeight="1">
      <c r="A792" s="19"/>
      <c r="B792" s="18"/>
      <c r="C792" s="18"/>
      <c r="D792" s="18"/>
      <c r="E792" s="18"/>
      <c r="F792" s="18"/>
      <c r="G792" s="14"/>
      <c r="H792" s="14"/>
      <c r="I792" s="14"/>
      <c r="J792" s="14"/>
      <c r="K792" s="14"/>
      <c r="L792" s="14"/>
      <c r="M792" s="18"/>
      <c r="N792" s="14"/>
      <c r="O792" s="14"/>
      <c r="P792" s="14"/>
      <c r="Q792" s="14"/>
      <c r="R792" s="14"/>
      <c r="S792" s="14"/>
      <c r="T792" s="14"/>
      <c r="U792" s="18"/>
      <c r="V792" s="18"/>
      <c r="W792" s="18"/>
      <c r="X792" s="18"/>
      <c r="Y792" s="18"/>
      <c r="Z792" s="18"/>
      <c r="AA792" s="18"/>
      <c r="AB792" s="18"/>
      <c r="AC792" s="18"/>
      <c r="AD792" s="18"/>
    </row>
    <row r="793" ht="24.75" customHeight="1">
      <c r="A793" s="19"/>
      <c r="B793" s="18"/>
      <c r="C793" s="18"/>
      <c r="D793" s="18"/>
      <c r="E793" s="18"/>
      <c r="F793" s="18"/>
      <c r="G793" s="14"/>
      <c r="H793" s="14"/>
      <c r="I793" s="14"/>
      <c r="J793" s="14"/>
      <c r="K793" s="14"/>
      <c r="L793" s="14"/>
      <c r="M793" s="18"/>
      <c r="N793" s="14"/>
      <c r="O793" s="14"/>
      <c r="P793" s="14"/>
      <c r="Q793" s="14"/>
      <c r="R793" s="14"/>
      <c r="S793" s="14"/>
      <c r="T793" s="14"/>
      <c r="U793" s="18"/>
      <c r="V793" s="18"/>
      <c r="W793" s="18"/>
      <c r="X793" s="18"/>
      <c r="Y793" s="18"/>
      <c r="Z793" s="18"/>
      <c r="AA793" s="18"/>
      <c r="AB793" s="18"/>
      <c r="AC793" s="18"/>
      <c r="AD793" s="18"/>
    </row>
    <row r="794" ht="24.75" customHeight="1">
      <c r="A794" s="19"/>
      <c r="B794" s="18"/>
      <c r="C794" s="18"/>
      <c r="D794" s="18"/>
      <c r="E794" s="18"/>
      <c r="F794" s="18"/>
      <c r="G794" s="14"/>
      <c r="H794" s="14"/>
      <c r="I794" s="14"/>
      <c r="J794" s="14"/>
      <c r="K794" s="14"/>
      <c r="L794" s="14"/>
      <c r="M794" s="18"/>
      <c r="N794" s="14"/>
      <c r="O794" s="14"/>
      <c r="P794" s="14"/>
      <c r="Q794" s="14"/>
      <c r="R794" s="14"/>
      <c r="S794" s="14"/>
      <c r="T794" s="14"/>
      <c r="U794" s="18"/>
      <c r="V794" s="18"/>
      <c r="W794" s="18"/>
      <c r="X794" s="18"/>
      <c r="Y794" s="18"/>
      <c r="Z794" s="18"/>
      <c r="AA794" s="18"/>
      <c r="AB794" s="18"/>
      <c r="AC794" s="18"/>
      <c r="AD794" s="18"/>
    </row>
    <row r="795" ht="24.75" customHeight="1">
      <c r="A795" s="19"/>
      <c r="B795" s="18"/>
      <c r="C795" s="18"/>
      <c r="D795" s="18"/>
      <c r="E795" s="18"/>
      <c r="F795" s="18"/>
      <c r="G795" s="14"/>
      <c r="H795" s="14"/>
      <c r="I795" s="14"/>
      <c r="J795" s="14"/>
      <c r="K795" s="14"/>
      <c r="L795" s="14"/>
      <c r="M795" s="18"/>
      <c r="N795" s="14"/>
      <c r="O795" s="14"/>
      <c r="P795" s="14"/>
      <c r="Q795" s="14"/>
      <c r="R795" s="14"/>
      <c r="S795" s="14"/>
      <c r="T795" s="14"/>
      <c r="U795" s="18"/>
      <c r="V795" s="18"/>
      <c r="W795" s="18"/>
      <c r="X795" s="18"/>
      <c r="Y795" s="18"/>
      <c r="Z795" s="18"/>
      <c r="AA795" s="18"/>
      <c r="AB795" s="18"/>
      <c r="AC795" s="18"/>
      <c r="AD795" s="18"/>
    </row>
    <row r="796" ht="24.75" customHeight="1">
      <c r="A796" s="19"/>
      <c r="B796" s="18"/>
      <c r="C796" s="18"/>
      <c r="D796" s="18"/>
      <c r="E796" s="18"/>
      <c r="F796" s="18"/>
      <c r="G796" s="14"/>
      <c r="H796" s="14"/>
      <c r="I796" s="14"/>
      <c r="J796" s="14"/>
      <c r="K796" s="14"/>
      <c r="L796" s="14"/>
      <c r="M796" s="18"/>
      <c r="N796" s="14"/>
      <c r="O796" s="14"/>
      <c r="P796" s="14"/>
      <c r="Q796" s="14"/>
      <c r="R796" s="14"/>
      <c r="S796" s="14"/>
      <c r="T796" s="14"/>
      <c r="U796" s="18"/>
      <c r="V796" s="18"/>
      <c r="W796" s="18"/>
      <c r="X796" s="18"/>
      <c r="Y796" s="18"/>
      <c r="Z796" s="18"/>
      <c r="AA796" s="18"/>
      <c r="AB796" s="18"/>
      <c r="AC796" s="18"/>
      <c r="AD796" s="18"/>
    </row>
    <row r="797" ht="24.75" customHeight="1">
      <c r="A797" s="19"/>
      <c r="B797" s="18"/>
      <c r="C797" s="18"/>
      <c r="D797" s="18"/>
      <c r="E797" s="18"/>
      <c r="F797" s="18"/>
      <c r="G797" s="14"/>
      <c r="H797" s="14"/>
      <c r="I797" s="14"/>
      <c r="J797" s="14"/>
      <c r="K797" s="14"/>
      <c r="L797" s="14"/>
      <c r="M797" s="18"/>
      <c r="N797" s="14"/>
      <c r="O797" s="14"/>
      <c r="P797" s="14"/>
      <c r="Q797" s="14"/>
      <c r="R797" s="14"/>
      <c r="S797" s="14"/>
      <c r="T797" s="14"/>
      <c r="U797" s="18"/>
      <c r="V797" s="18"/>
      <c r="W797" s="18"/>
      <c r="X797" s="18"/>
      <c r="Y797" s="18"/>
      <c r="Z797" s="18"/>
      <c r="AA797" s="18"/>
      <c r="AB797" s="18"/>
      <c r="AC797" s="18"/>
      <c r="AD797" s="18"/>
    </row>
    <row r="798" ht="24.75" customHeight="1">
      <c r="A798" s="19"/>
      <c r="B798" s="18"/>
      <c r="C798" s="18"/>
      <c r="D798" s="18"/>
      <c r="E798" s="18"/>
      <c r="F798" s="18"/>
      <c r="G798" s="14"/>
      <c r="H798" s="14"/>
      <c r="I798" s="14"/>
      <c r="J798" s="14"/>
      <c r="K798" s="14"/>
      <c r="L798" s="14"/>
      <c r="M798" s="18"/>
      <c r="N798" s="14"/>
      <c r="O798" s="14"/>
      <c r="P798" s="14"/>
      <c r="Q798" s="14"/>
      <c r="R798" s="14"/>
      <c r="S798" s="14"/>
      <c r="T798" s="14"/>
      <c r="U798" s="18"/>
      <c r="V798" s="18"/>
      <c r="W798" s="18"/>
      <c r="X798" s="18"/>
      <c r="Y798" s="18"/>
      <c r="Z798" s="18"/>
      <c r="AA798" s="18"/>
      <c r="AB798" s="18"/>
      <c r="AC798" s="18"/>
      <c r="AD798" s="18"/>
    </row>
    <row r="799" ht="24.75" customHeight="1">
      <c r="A799" s="19"/>
      <c r="B799" s="18"/>
      <c r="C799" s="18"/>
      <c r="D799" s="18"/>
      <c r="E799" s="18"/>
      <c r="F799" s="18"/>
      <c r="G799" s="14"/>
      <c r="H799" s="14"/>
      <c r="I799" s="14"/>
      <c r="J799" s="14"/>
      <c r="K799" s="14"/>
      <c r="L799" s="14"/>
      <c r="M799" s="18"/>
      <c r="N799" s="14"/>
      <c r="O799" s="14"/>
      <c r="P799" s="14"/>
      <c r="Q799" s="14"/>
      <c r="R799" s="14"/>
      <c r="S799" s="14"/>
      <c r="T799" s="14"/>
      <c r="U799" s="18"/>
      <c r="V799" s="18"/>
      <c r="W799" s="18"/>
      <c r="X799" s="18"/>
      <c r="Y799" s="18"/>
      <c r="Z799" s="18"/>
      <c r="AA799" s="18"/>
      <c r="AB799" s="18"/>
      <c r="AC799" s="18"/>
      <c r="AD799" s="18"/>
    </row>
    <row r="800" ht="24.75" customHeight="1">
      <c r="A800" s="19"/>
      <c r="B800" s="18"/>
      <c r="C800" s="18"/>
      <c r="D800" s="18"/>
      <c r="E800" s="18"/>
      <c r="F800" s="18"/>
      <c r="G800" s="14"/>
      <c r="H800" s="14"/>
      <c r="I800" s="14"/>
      <c r="J800" s="14"/>
      <c r="K800" s="14"/>
      <c r="L800" s="14"/>
      <c r="M800" s="18"/>
      <c r="N800" s="14"/>
      <c r="O800" s="14"/>
      <c r="P800" s="14"/>
      <c r="Q800" s="14"/>
      <c r="R800" s="14"/>
      <c r="S800" s="14"/>
      <c r="T800" s="14"/>
      <c r="U800" s="18"/>
      <c r="V800" s="18"/>
      <c r="W800" s="18"/>
      <c r="X800" s="18"/>
      <c r="Y800" s="18"/>
      <c r="Z800" s="18"/>
      <c r="AA800" s="18"/>
      <c r="AB800" s="18"/>
      <c r="AC800" s="18"/>
      <c r="AD800" s="18"/>
    </row>
    <row r="801" ht="24.75" customHeight="1">
      <c r="A801" s="19"/>
      <c r="B801" s="18"/>
      <c r="C801" s="18"/>
      <c r="D801" s="18"/>
      <c r="E801" s="18"/>
      <c r="F801" s="18"/>
      <c r="G801" s="14"/>
      <c r="H801" s="14"/>
      <c r="I801" s="14"/>
      <c r="J801" s="14"/>
      <c r="K801" s="14"/>
      <c r="L801" s="14"/>
      <c r="M801" s="18"/>
      <c r="N801" s="14"/>
      <c r="O801" s="14"/>
      <c r="P801" s="14"/>
      <c r="Q801" s="14"/>
      <c r="R801" s="14"/>
      <c r="S801" s="14"/>
      <c r="T801" s="14"/>
      <c r="U801" s="18"/>
      <c r="V801" s="18"/>
      <c r="W801" s="18"/>
      <c r="X801" s="18"/>
      <c r="Y801" s="18"/>
      <c r="Z801" s="18"/>
      <c r="AA801" s="18"/>
      <c r="AB801" s="18"/>
      <c r="AC801" s="18"/>
      <c r="AD801" s="18"/>
    </row>
    <row r="802" ht="24.75" customHeight="1">
      <c r="A802" s="19"/>
      <c r="B802" s="18"/>
      <c r="C802" s="18"/>
      <c r="D802" s="18"/>
      <c r="E802" s="18"/>
      <c r="F802" s="18"/>
      <c r="G802" s="14"/>
      <c r="H802" s="14"/>
      <c r="I802" s="14"/>
      <c r="J802" s="14"/>
      <c r="K802" s="14"/>
      <c r="L802" s="14"/>
      <c r="M802" s="18"/>
      <c r="N802" s="14"/>
      <c r="O802" s="14"/>
      <c r="P802" s="14"/>
      <c r="Q802" s="14"/>
      <c r="R802" s="14"/>
      <c r="S802" s="14"/>
      <c r="T802" s="14"/>
      <c r="U802" s="18"/>
      <c r="V802" s="18"/>
      <c r="W802" s="18"/>
      <c r="X802" s="18"/>
      <c r="Y802" s="18"/>
      <c r="Z802" s="18"/>
      <c r="AA802" s="18"/>
      <c r="AB802" s="18"/>
      <c r="AC802" s="18"/>
      <c r="AD802" s="18"/>
    </row>
    <row r="803" ht="24.75" customHeight="1">
      <c r="A803" s="19"/>
      <c r="B803" s="18"/>
      <c r="C803" s="18"/>
      <c r="D803" s="18"/>
      <c r="E803" s="18"/>
      <c r="F803" s="18"/>
      <c r="G803" s="14"/>
      <c r="H803" s="14"/>
      <c r="I803" s="14"/>
      <c r="J803" s="14"/>
      <c r="K803" s="14"/>
      <c r="L803" s="14"/>
      <c r="M803" s="18"/>
      <c r="N803" s="14"/>
      <c r="O803" s="14"/>
      <c r="P803" s="14"/>
      <c r="Q803" s="14"/>
      <c r="R803" s="14"/>
      <c r="S803" s="14"/>
      <c r="T803" s="14"/>
      <c r="U803" s="18"/>
      <c r="V803" s="18"/>
      <c r="W803" s="18"/>
      <c r="X803" s="18"/>
      <c r="Y803" s="18"/>
      <c r="Z803" s="18"/>
      <c r="AA803" s="18"/>
      <c r="AB803" s="18"/>
      <c r="AC803" s="18"/>
      <c r="AD803" s="18"/>
    </row>
    <row r="804" ht="24.75" customHeight="1">
      <c r="A804" s="19"/>
      <c r="B804" s="18"/>
      <c r="C804" s="18"/>
      <c r="D804" s="18"/>
      <c r="E804" s="18"/>
      <c r="F804" s="18"/>
      <c r="G804" s="14"/>
      <c r="H804" s="14"/>
      <c r="I804" s="14"/>
      <c r="J804" s="14"/>
      <c r="K804" s="14"/>
      <c r="L804" s="14"/>
      <c r="M804" s="18"/>
      <c r="N804" s="14"/>
      <c r="O804" s="14"/>
      <c r="P804" s="14"/>
      <c r="Q804" s="14"/>
      <c r="R804" s="14"/>
      <c r="S804" s="14"/>
      <c r="T804" s="14"/>
      <c r="U804" s="18"/>
      <c r="V804" s="18"/>
      <c r="W804" s="18"/>
      <c r="X804" s="18"/>
      <c r="Y804" s="18"/>
      <c r="Z804" s="18"/>
      <c r="AA804" s="18"/>
      <c r="AB804" s="18"/>
      <c r="AC804" s="18"/>
      <c r="AD804" s="18"/>
    </row>
    <row r="805" ht="24.75" customHeight="1">
      <c r="A805" s="19"/>
      <c r="B805" s="18"/>
      <c r="C805" s="18"/>
      <c r="D805" s="18"/>
      <c r="E805" s="18"/>
      <c r="F805" s="18"/>
      <c r="G805" s="14"/>
      <c r="H805" s="14"/>
      <c r="I805" s="14"/>
      <c r="J805" s="14"/>
      <c r="K805" s="14"/>
      <c r="L805" s="14"/>
      <c r="M805" s="18"/>
      <c r="N805" s="14"/>
      <c r="O805" s="14"/>
      <c r="P805" s="14"/>
      <c r="Q805" s="14"/>
      <c r="R805" s="14"/>
      <c r="S805" s="14"/>
      <c r="T805" s="14"/>
      <c r="U805" s="18"/>
      <c r="V805" s="18"/>
      <c r="W805" s="18"/>
      <c r="X805" s="18"/>
      <c r="Y805" s="18"/>
      <c r="Z805" s="18"/>
      <c r="AA805" s="18"/>
      <c r="AB805" s="18"/>
      <c r="AC805" s="18"/>
      <c r="AD805" s="18"/>
    </row>
    <row r="806" ht="24.75" customHeight="1">
      <c r="A806" s="19"/>
      <c r="B806" s="18"/>
      <c r="C806" s="18"/>
      <c r="D806" s="18"/>
      <c r="E806" s="18"/>
      <c r="F806" s="18"/>
      <c r="G806" s="14"/>
      <c r="H806" s="14"/>
      <c r="I806" s="14"/>
      <c r="J806" s="14"/>
      <c r="K806" s="14"/>
      <c r="L806" s="14"/>
      <c r="M806" s="18"/>
      <c r="N806" s="14"/>
      <c r="O806" s="14"/>
      <c r="P806" s="14"/>
      <c r="Q806" s="14"/>
      <c r="R806" s="14"/>
      <c r="S806" s="14"/>
      <c r="T806" s="14"/>
      <c r="U806" s="18"/>
      <c r="V806" s="18"/>
      <c r="W806" s="18"/>
      <c r="X806" s="18"/>
      <c r="Y806" s="18"/>
      <c r="Z806" s="18"/>
      <c r="AA806" s="18"/>
      <c r="AB806" s="18"/>
      <c r="AC806" s="18"/>
      <c r="AD806" s="18"/>
    </row>
    <row r="807" ht="24.75" customHeight="1">
      <c r="A807" s="19"/>
      <c r="B807" s="18"/>
      <c r="C807" s="18"/>
      <c r="D807" s="18"/>
      <c r="E807" s="18"/>
      <c r="F807" s="18"/>
      <c r="G807" s="14"/>
      <c r="H807" s="14"/>
      <c r="I807" s="14"/>
      <c r="J807" s="14"/>
      <c r="K807" s="14"/>
      <c r="L807" s="14"/>
      <c r="M807" s="18"/>
      <c r="N807" s="14"/>
      <c r="O807" s="14"/>
      <c r="P807" s="14"/>
      <c r="Q807" s="14"/>
      <c r="R807" s="14"/>
      <c r="S807" s="14"/>
      <c r="T807" s="14"/>
      <c r="U807" s="18"/>
      <c r="V807" s="18"/>
      <c r="W807" s="18"/>
      <c r="X807" s="18"/>
      <c r="Y807" s="18"/>
      <c r="Z807" s="18"/>
      <c r="AA807" s="18"/>
      <c r="AB807" s="18"/>
      <c r="AC807" s="18"/>
      <c r="AD807" s="18"/>
    </row>
    <row r="808" ht="24.75" customHeight="1">
      <c r="A808" s="19"/>
      <c r="B808" s="18"/>
      <c r="C808" s="18"/>
      <c r="D808" s="18"/>
      <c r="E808" s="18"/>
      <c r="F808" s="18"/>
      <c r="G808" s="14"/>
      <c r="H808" s="14"/>
      <c r="I808" s="14"/>
      <c r="J808" s="14"/>
      <c r="K808" s="14"/>
      <c r="L808" s="14"/>
      <c r="M808" s="18"/>
      <c r="N808" s="14"/>
      <c r="O808" s="14"/>
      <c r="P808" s="14"/>
      <c r="Q808" s="14"/>
      <c r="R808" s="14"/>
      <c r="S808" s="14"/>
      <c r="T808" s="14"/>
      <c r="U808" s="18"/>
      <c r="V808" s="18"/>
      <c r="W808" s="18"/>
      <c r="X808" s="18"/>
      <c r="Y808" s="18"/>
      <c r="Z808" s="18"/>
      <c r="AA808" s="18"/>
      <c r="AB808" s="18"/>
      <c r="AC808" s="18"/>
      <c r="AD808" s="18"/>
    </row>
    <row r="809" ht="24.75" customHeight="1">
      <c r="A809" s="19"/>
      <c r="B809" s="18"/>
      <c r="C809" s="18"/>
      <c r="D809" s="18"/>
      <c r="E809" s="18"/>
      <c r="F809" s="18"/>
      <c r="G809" s="14"/>
      <c r="H809" s="14"/>
      <c r="I809" s="14"/>
      <c r="J809" s="14"/>
      <c r="K809" s="14"/>
      <c r="L809" s="14"/>
      <c r="M809" s="18"/>
      <c r="N809" s="14"/>
      <c r="O809" s="14"/>
      <c r="P809" s="14"/>
      <c r="Q809" s="14"/>
      <c r="R809" s="14"/>
      <c r="S809" s="14"/>
      <c r="T809" s="14"/>
      <c r="U809" s="18"/>
      <c r="V809" s="18"/>
      <c r="W809" s="18"/>
      <c r="X809" s="18"/>
      <c r="Y809" s="18"/>
      <c r="Z809" s="18"/>
      <c r="AA809" s="18"/>
      <c r="AB809" s="18"/>
      <c r="AC809" s="18"/>
      <c r="AD809" s="18"/>
    </row>
    <row r="810" ht="24.75" customHeight="1">
      <c r="A810" s="19"/>
      <c r="B810" s="18"/>
      <c r="C810" s="18"/>
      <c r="D810" s="18"/>
      <c r="E810" s="18"/>
      <c r="F810" s="18"/>
      <c r="G810" s="14"/>
      <c r="H810" s="14"/>
      <c r="I810" s="14"/>
      <c r="J810" s="14"/>
      <c r="K810" s="14"/>
      <c r="L810" s="14"/>
      <c r="M810" s="18"/>
      <c r="N810" s="14"/>
      <c r="O810" s="14"/>
      <c r="P810" s="14"/>
      <c r="Q810" s="14"/>
      <c r="R810" s="14"/>
      <c r="S810" s="14"/>
      <c r="T810" s="14"/>
      <c r="U810" s="18"/>
      <c r="V810" s="18"/>
      <c r="W810" s="18"/>
      <c r="X810" s="18"/>
      <c r="Y810" s="18"/>
      <c r="Z810" s="18"/>
      <c r="AA810" s="18"/>
      <c r="AB810" s="18"/>
      <c r="AC810" s="18"/>
      <c r="AD810" s="18"/>
    </row>
    <row r="811" ht="24.75" customHeight="1">
      <c r="A811" s="19"/>
      <c r="B811" s="18"/>
      <c r="C811" s="18"/>
      <c r="D811" s="18"/>
      <c r="E811" s="18"/>
      <c r="F811" s="18"/>
      <c r="G811" s="14"/>
      <c r="H811" s="14"/>
      <c r="I811" s="14"/>
      <c r="J811" s="14"/>
      <c r="K811" s="14"/>
      <c r="L811" s="14"/>
      <c r="M811" s="18"/>
      <c r="N811" s="14"/>
      <c r="O811" s="14"/>
      <c r="P811" s="14"/>
      <c r="Q811" s="14"/>
      <c r="R811" s="14"/>
      <c r="S811" s="14"/>
      <c r="T811" s="14"/>
      <c r="U811" s="18"/>
      <c r="V811" s="18"/>
      <c r="W811" s="18"/>
      <c r="X811" s="18"/>
      <c r="Y811" s="18"/>
      <c r="Z811" s="18"/>
      <c r="AA811" s="18"/>
      <c r="AB811" s="18"/>
      <c r="AC811" s="18"/>
      <c r="AD811" s="18"/>
    </row>
    <row r="812" ht="24.75" customHeight="1">
      <c r="A812" s="19"/>
      <c r="B812" s="18"/>
      <c r="C812" s="18"/>
      <c r="D812" s="18"/>
      <c r="E812" s="18"/>
      <c r="F812" s="18"/>
      <c r="G812" s="14"/>
      <c r="H812" s="14"/>
      <c r="I812" s="14"/>
      <c r="J812" s="14"/>
      <c r="K812" s="14"/>
      <c r="L812" s="14"/>
      <c r="M812" s="18"/>
      <c r="N812" s="14"/>
      <c r="O812" s="14"/>
      <c r="P812" s="14"/>
      <c r="Q812" s="14"/>
      <c r="R812" s="14"/>
      <c r="S812" s="14"/>
      <c r="T812" s="14"/>
      <c r="U812" s="18"/>
      <c r="V812" s="18"/>
      <c r="W812" s="18"/>
      <c r="X812" s="18"/>
      <c r="Y812" s="18"/>
      <c r="Z812" s="18"/>
      <c r="AA812" s="18"/>
      <c r="AB812" s="18"/>
      <c r="AC812" s="18"/>
      <c r="AD812" s="18"/>
    </row>
    <row r="813" ht="24.75" customHeight="1">
      <c r="A813" s="19"/>
      <c r="B813" s="18"/>
      <c r="C813" s="18"/>
      <c r="D813" s="18"/>
      <c r="E813" s="18"/>
      <c r="F813" s="18"/>
      <c r="G813" s="14"/>
      <c r="H813" s="14"/>
      <c r="I813" s="14"/>
      <c r="J813" s="14"/>
      <c r="K813" s="14"/>
      <c r="L813" s="14"/>
      <c r="M813" s="18"/>
      <c r="N813" s="14"/>
      <c r="O813" s="14"/>
      <c r="P813" s="14"/>
      <c r="Q813" s="14"/>
      <c r="R813" s="14"/>
      <c r="S813" s="14"/>
      <c r="T813" s="14"/>
      <c r="U813" s="18"/>
      <c r="V813" s="18"/>
      <c r="W813" s="18"/>
      <c r="X813" s="18"/>
      <c r="Y813" s="18"/>
      <c r="Z813" s="18"/>
      <c r="AA813" s="18"/>
      <c r="AB813" s="18"/>
      <c r="AC813" s="18"/>
      <c r="AD813" s="18"/>
    </row>
    <row r="814" ht="24.75" customHeight="1">
      <c r="A814" s="19"/>
      <c r="B814" s="18"/>
      <c r="C814" s="18"/>
      <c r="D814" s="18"/>
      <c r="E814" s="18"/>
      <c r="F814" s="18"/>
      <c r="G814" s="14"/>
      <c r="H814" s="14"/>
      <c r="I814" s="14"/>
      <c r="J814" s="14"/>
      <c r="K814" s="14"/>
      <c r="L814" s="14"/>
      <c r="M814" s="18"/>
      <c r="N814" s="14"/>
      <c r="O814" s="14"/>
      <c r="P814" s="14"/>
      <c r="Q814" s="14"/>
      <c r="R814" s="14"/>
      <c r="S814" s="14"/>
      <c r="T814" s="14"/>
      <c r="U814" s="18"/>
      <c r="V814" s="18"/>
      <c r="W814" s="18"/>
      <c r="X814" s="18"/>
      <c r="Y814" s="18"/>
      <c r="Z814" s="18"/>
      <c r="AA814" s="18"/>
      <c r="AB814" s="18"/>
      <c r="AC814" s="18"/>
      <c r="AD814" s="18"/>
    </row>
    <row r="815" ht="24.75" customHeight="1">
      <c r="A815" s="19"/>
      <c r="B815" s="18"/>
      <c r="C815" s="18"/>
      <c r="D815" s="18"/>
      <c r="E815" s="18"/>
      <c r="F815" s="18"/>
      <c r="G815" s="14"/>
      <c r="H815" s="14"/>
      <c r="I815" s="14"/>
      <c r="J815" s="14"/>
      <c r="K815" s="14"/>
      <c r="L815" s="14"/>
      <c r="M815" s="18"/>
      <c r="N815" s="14"/>
      <c r="O815" s="14"/>
      <c r="P815" s="14"/>
      <c r="Q815" s="14"/>
      <c r="R815" s="14"/>
      <c r="S815" s="14"/>
      <c r="T815" s="14"/>
      <c r="U815" s="18"/>
      <c r="V815" s="18"/>
      <c r="W815" s="18"/>
      <c r="X815" s="18"/>
      <c r="Y815" s="18"/>
      <c r="Z815" s="18"/>
      <c r="AA815" s="18"/>
      <c r="AB815" s="18"/>
      <c r="AC815" s="18"/>
      <c r="AD815" s="18"/>
    </row>
    <row r="816" ht="24.75" customHeight="1">
      <c r="A816" s="19"/>
      <c r="B816" s="18"/>
      <c r="C816" s="18"/>
      <c r="D816" s="18"/>
      <c r="E816" s="18"/>
      <c r="F816" s="18"/>
      <c r="G816" s="14"/>
      <c r="H816" s="14"/>
      <c r="I816" s="14"/>
      <c r="J816" s="14"/>
      <c r="K816" s="14"/>
      <c r="L816" s="14"/>
      <c r="M816" s="18"/>
      <c r="N816" s="14"/>
      <c r="O816" s="14"/>
      <c r="P816" s="14"/>
      <c r="Q816" s="14"/>
      <c r="R816" s="14"/>
      <c r="S816" s="14"/>
      <c r="T816" s="14"/>
      <c r="U816" s="18"/>
      <c r="V816" s="18"/>
      <c r="W816" s="18"/>
      <c r="X816" s="18"/>
      <c r="Y816" s="18"/>
      <c r="Z816" s="18"/>
      <c r="AA816" s="18"/>
      <c r="AB816" s="18"/>
      <c r="AC816" s="18"/>
      <c r="AD816" s="18"/>
    </row>
    <row r="817" ht="24.75" customHeight="1">
      <c r="A817" s="19"/>
      <c r="B817" s="18"/>
      <c r="C817" s="18"/>
      <c r="D817" s="18"/>
      <c r="E817" s="18"/>
      <c r="F817" s="18"/>
      <c r="G817" s="14"/>
      <c r="H817" s="14"/>
      <c r="I817" s="14"/>
      <c r="J817" s="14"/>
      <c r="K817" s="14"/>
      <c r="L817" s="14"/>
      <c r="M817" s="18"/>
      <c r="N817" s="14"/>
      <c r="O817" s="14"/>
      <c r="P817" s="14"/>
      <c r="Q817" s="14"/>
      <c r="R817" s="14"/>
      <c r="S817" s="14"/>
      <c r="T817" s="14"/>
      <c r="U817" s="18"/>
      <c r="V817" s="18"/>
      <c r="W817" s="18"/>
      <c r="X817" s="18"/>
      <c r="Y817" s="18"/>
      <c r="Z817" s="18"/>
      <c r="AA817" s="18"/>
      <c r="AB817" s="18"/>
      <c r="AC817" s="18"/>
      <c r="AD817" s="18"/>
    </row>
    <row r="818" ht="24.75" customHeight="1">
      <c r="A818" s="19"/>
      <c r="B818" s="18"/>
      <c r="C818" s="18"/>
      <c r="D818" s="18"/>
      <c r="E818" s="18"/>
      <c r="F818" s="18"/>
      <c r="G818" s="14"/>
      <c r="H818" s="14"/>
      <c r="I818" s="14"/>
      <c r="J818" s="14"/>
      <c r="K818" s="14"/>
      <c r="L818" s="14"/>
      <c r="M818" s="18"/>
      <c r="N818" s="14"/>
      <c r="O818" s="14"/>
      <c r="P818" s="14"/>
      <c r="Q818" s="14"/>
      <c r="R818" s="14"/>
      <c r="S818" s="14"/>
      <c r="T818" s="14"/>
      <c r="U818" s="18"/>
      <c r="V818" s="18"/>
      <c r="W818" s="18"/>
      <c r="X818" s="18"/>
      <c r="Y818" s="18"/>
      <c r="Z818" s="18"/>
      <c r="AA818" s="18"/>
      <c r="AB818" s="18"/>
      <c r="AC818" s="18"/>
      <c r="AD818" s="18"/>
    </row>
    <row r="819" ht="24.75" customHeight="1">
      <c r="A819" s="19"/>
      <c r="B819" s="18"/>
      <c r="C819" s="18"/>
      <c r="D819" s="18"/>
      <c r="E819" s="18"/>
      <c r="F819" s="18"/>
      <c r="G819" s="14"/>
      <c r="H819" s="14"/>
      <c r="I819" s="14"/>
      <c r="J819" s="14"/>
      <c r="K819" s="14"/>
      <c r="L819" s="14"/>
      <c r="M819" s="18"/>
      <c r="N819" s="14"/>
      <c r="O819" s="14"/>
      <c r="P819" s="14"/>
      <c r="Q819" s="14"/>
      <c r="R819" s="14"/>
      <c r="S819" s="14"/>
      <c r="T819" s="14"/>
      <c r="U819" s="18"/>
      <c r="V819" s="18"/>
      <c r="W819" s="18"/>
      <c r="X819" s="18"/>
      <c r="Y819" s="18"/>
      <c r="Z819" s="18"/>
      <c r="AA819" s="18"/>
      <c r="AB819" s="18"/>
      <c r="AC819" s="18"/>
      <c r="AD819" s="18"/>
    </row>
    <row r="820" ht="24.75" customHeight="1">
      <c r="A820" s="19"/>
      <c r="B820" s="18"/>
      <c r="C820" s="18"/>
      <c r="D820" s="18"/>
      <c r="E820" s="18"/>
      <c r="F820" s="18"/>
      <c r="G820" s="14"/>
      <c r="H820" s="14"/>
      <c r="I820" s="14"/>
      <c r="J820" s="14"/>
      <c r="K820" s="14"/>
      <c r="L820" s="14"/>
      <c r="M820" s="18"/>
      <c r="N820" s="14"/>
      <c r="O820" s="14"/>
      <c r="P820" s="14"/>
      <c r="Q820" s="14"/>
      <c r="R820" s="14"/>
      <c r="S820" s="14"/>
      <c r="T820" s="14"/>
      <c r="U820" s="18"/>
      <c r="V820" s="18"/>
      <c r="W820" s="18"/>
      <c r="X820" s="18"/>
      <c r="Y820" s="18"/>
      <c r="Z820" s="18"/>
      <c r="AA820" s="18"/>
      <c r="AB820" s="18"/>
      <c r="AC820" s="18"/>
      <c r="AD820" s="18"/>
    </row>
    <row r="821" ht="24.75" customHeight="1">
      <c r="A821" s="19"/>
      <c r="B821" s="18"/>
      <c r="C821" s="18"/>
      <c r="D821" s="18"/>
      <c r="E821" s="18"/>
      <c r="F821" s="18"/>
      <c r="G821" s="14"/>
      <c r="H821" s="14"/>
      <c r="I821" s="14"/>
      <c r="J821" s="14"/>
      <c r="K821" s="14"/>
      <c r="L821" s="14"/>
      <c r="M821" s="18"/>
      <c r="N821" s="14"/>
      <c r="O821" s="14"/>
      <c r="P821" s="14"/>
      <c r="Q821" s="14"/>
      <c r="R821" s="14"/>
      <c r="S821" s="14"/>
      <c r="T821" s="14"/>
      <c r="U821" s="18"/>
      <c r="V821" s="18"/>
      <c r="W821" s="18"/>
      <c r="X821" s="18"/>
      <c r="Y821" s="18"/>
      <c r="Z821" s="18"/>
      <c r="AA821" s="18"/>
      <c r="AB821" s="18"/>
      <c r="AC821" s="18"/>
      <c r="AD821" s="18"/>
    </row>
    <row r="822" ht="24.75" customHeight="1">
      <c r="A822" s="19"/>
      <c r="B822" s="18"/>
      <c r="C822" s="18"/>
      <c r="D822" s="18"/>
      <c r="E822" s="18"/>
      <c r="F822" s="18"/>
      <c r="G822" s="14"/>
      <c r="H822" s="14"/>
      <c r="I822" s="14"/>
      <c r="J822" s="14"/>
      <c r="K822" s="14"/>
      <c r="L822" s="14"/>
      <c r="M822" s="18"/>
      <c r="N822" s="14"/>
      <c r="O822" s="14"/>
      <c r="P822" s="14"/>
      <c r="Q822" s="14"/>
      <c r="R822" s="14"/>
      <c r="S822" s="14"/>
      <c r="T822" s="14"/>
      <c r="U822" s="18"/>
      <c r="V822" s="18"/>
      <c r="W822" s="18"/>
      <c r="X822" s="18"/>
      <c r="Y822" s="18"/>
      <c r="Z822" s="18"/>
      <c r="AA822" s="18"/>
      <c r="AB822" s="18"/>
      <c r="AC822" s="18"/>
      <c r="AD822" s="18"/>
    </row>
    <row r="823" ht="24.75" customHeight="1">
      <c r="A823" s="19"/>
      <c r="B823" s="18"/>
      <c r="C823" s="18"/>
      <c r="D823" s="18"/>
      <c r="E823" s="18"/>
      <c r="F823" s="18"/>
      <c r="G823" s="14"/>
      <c r="H823" s="14"/>
      <c r="I823" s="14"/>
      <c r="J823" s="14"/>
      <c r="K823" s="14"/>
      <c r="L823" s="14"/>
      <c r="M823" s="18"/>
      <c r="N823" s="14"/>
      <c r="O823" s="14"/>
      <c r="P823" s="14"/>
      <c r="Q823" s="14"/>
      <c r="R823" s="14"/>
      <c r="S823" s="14"/>
      <c r="T823" s="14"/>
      <c r="U823" s="18"/>
      <c r="V823" s="18"/>
      <c r="W823" s="18"/>
      <c r="X823" s="18"/>
      <c r="Y823" s="18"/>
      <c r="Z823" s="18"/>
      <c r="AA823" s="18"/>
      <c r="AB823" s="18"/>
      <c r="AC823" s="18"/>
      <c r="AD823" s="18"/>
    </row>
    <row r="824" ht="24.75" customHeight="1">
      <c r="A824" s="19"/>
      <c r="B824" s="18"/>
      <c r="C824" s="18"/>
      <c r="D824" s="18"/>
      <c r="E824" s="18"/>
      <c r="F824" s="18"/>
      <c r="G824" s="14"/>
      <c r="H824" s="14"/>
      <c r="I824" s="14"/>
      <c r="J824" s="14"/>
      <c r="K824" s="14"/>
      <c r="L824" s="14"/>
      <c r="M824" s="18"/>
      <c r="N824" s="14"/>
      <c r="O824" s="14"/>
      <c r="P824" s="14"/>
      <c r="Q824" s="14"/>
      <c r="R824" s="14"/>
      <c r="S824" s="14"/>
      <c r="T824" s="14"/>
      <c r="U824" s="18"/>
      <c r="V824" s="18"/>
      <c r="W824" s="18"/>
      <c r="X824" s="18"/>
      <c r="Y824" s="18"/>
      <c r="Z824" s="18"/>
      <c r="AA824" s="18"/>
      <c r="AB824" s="18"/>
      <c r="AC824" s="18"/>
      <c r="AD824" s="18"/>
    </row>
    <row r="825" ht="24.75" customHeight="1">
      <c r="A825" s="19"/>
      <c r="B825" s="18"/>
      <c r="C825" s="18"/>
      <c r="D825" s="18"/>
      <c r="E825" s="18"/>
      <c r="F825" s="18"/>
      <c r="G825" s="14"/>
      <c r="H825" s="14"/>
      <c r="I825" s="14"/>
      <c r="J825" s="14"/>
      <c r="K825" s="14"/>
      <c r="L825" s="14"/>
      <c r="M825" s="18"/>
      <c r="N825" s="14"/>
      <c r="O825" s="14"/>
      <c r="P825" s="14"/>
      <c r="Q825" s="14"/>
      <c r="R825" s="14"/>
      <c r="S825" s="14"/>
      <c r="T825" s="14"/>
      <c r="U825" s="18"/>
      <c r="V825" s="18"/>
      <c r="W825" s="18"/>
      <c r="X825" s="18"/>
      <c r="Y825" s="18"/>
      <c r="Z825" s="18"/>
      <c r="AA825" s="18"/>
      <c r="AB825" s="18"/>
      <c r="AC825" s="18"/>
      <c r="AD825" s="18"/>
    </row>
    <row r="826" ht="24.75" customHeight="1">
      <c r="A826" s="19"/>
      <c r="B826" s="18"/>
      <c r="C826" s="18"/>
      <c r="D826" s="18"/>
      <c r="E826" s="18"/>
      <c r="F826" s="18"/>
      <c r="G826" s="14"/>
      <c r="H826" s="14"/>
      <c r="I826" s="14"/>
      <c r="J826" s="14"/>
      <c r="K826" s="14"/>
      <c r="L826" s="14"/>
      <c r="M826" s="18"/>
      <c r="N826" s="14"/>
      <c r="O826" s="14"/>
      <c r="P826" s="14"/>
      <c r="Q826" s="14"/>
      <c r="R826" s="14"/>
      <c r="S826" s="14"/>
      <c r="T826" s="14"/>
      <c r="U826" s="18"/>
      <c r="V826" s="18"/>
      <c r="W826" s="18"/>
      <c r="X826" s="18"/>
      <c r="Y826" s="18"/>
      <c r="Z826" s="18"/>
      <c r="AA826" s="18"/>
      <c r="AB826" s="18"/>
      <c r="AC826" s="18"/>
      <c r="AD826" s="18"/>
    </row>
    <row r="827" ht="24.75" customHeight="1">
      <c r="A827" s="19"/>
      <c r="B827" s="18"/>
      <c r="C827" s="18"/>
      <c r="D827" s="18"/>
      <c r="E827" s="18"/>
      <c r="F827" s="18"/>
      <c r="G827" s="14"/>
      <c r="H827" s="14"/>
      <c r="I827" s="14"/>
      <c r="J827" s="14"/>
      <c r="K827" s="14"/>
      <c r="L827" s="14"/>
      <c r="M827" s="18"/>
      <c r="N827" s="14"/>
      <c r="O827" s="14"/>
      <c r="P827" s="14"/>
      <c r="Q827" s="14"/>
      <c r="R827" s="14"/>
      <c r="S827" s="14"/>
      <c r="T827" s="14"/>
      <c r="U827" s="18"/>
      <c r="V827" s="18"/>
      <c r="W827" s="18"/>
      <c r="X827" s="18"/>
      <c r="Y827" s="18"/>
      <c r="Z827" s="18"/>
      <c r="AA827" s="18"/>
      <c r="AB827" s="18"/>
      <c r="AC827" s="18"/>
      <c r="AD827" s="18"/>
    </row>
    <row r="828" ht="24.75" customHeight="1">
      <c r="A828" s="19"/>
      <c r="B828" s="18"/>
      <c r="C828" s="18"/>
      <c r="D828" s="18"/>
      <c r="E828" s="18"/>
      <c r="F828" s="18"/>
      <c r="G828" s="14"/>
      <c r="H828" s="14"/>
      <c r="I828" s="14"/>
      <c r="J828" s="14"/>
      <c r="K828" s="14"/>
      <c r="L828" s="14"/>
      <c r="M828" s="18"/>
      <c r="N828" s="14"/>
      <c r="O828" s="14"/>
      <c r="P828" s="14"/>
      <c r="Q828" s="14"/>
      <c r="R828" s="14"/>
      <c r="S828" s="14"/>
      <c r="T828" s="14"/>
      <c r="U828" s="18"/>
      <c r="V828" s="18"/>
      <c r="W828" s="18"/>
      <c r="X828" s="18"/>
      <c r="Y828" s="18"/>
      <c r="Z828" s="18"/>
      <c r="AA828" s="18"/>
      <c r="AB828" s="18"/>
      <c r="AC828" s="18"/>
      <c r="AD828" s="18"/>
    </row>
    <row r="829" ht="24.75" customHeight="1">
      <c r="A829" s="19"/>
      <c r="B829" s="18"/>
      <c r="C829" s="18"/>
      <c r="D829" s="18"/>
      <c r="E829" s="18"/>
      <c r="F829" s="18"/>
      <c r="G829" s="14"/>
      <c r="H829" s="14"/>
      <c r="I829" s="14"/>
      <c r="J829" s="14"/>
      <c r="K829" s="14"/>
      <c r="L829" s="14"/>
      <c r="M829" s="18"/>
      <c r="N829" s="14"/>
      <c r="O829" s="14"/>
      <c r="P829" s="14"/>
      <c r="Q829" s="14"/>
      <c r="R829" s="14"/>
      <c r="S829" s="14"/>
      <c r="T829" s="14"/>
      <c r="U829" s="18"/>
      <c r="V829" s="18"/>
      <c r="W829" s="18"/>
      <c r="X829" s="18"/>
      <c r="Y829" s="18"/>
      <c r="Z829" s="18"/>
      <c r="AA829" s="18"/>
      <c r="AB829" s="18"/>
      <c r="AC829" s="18"/>
      <c r="AD829" s="18"/>
    </row>
    <row r="830" ht="24.75" customHeight="1">
      <c r="A830" s="19"/>
      <c r="B830" s="18"/>
      <c r="C830" s="18"/>
      <c r="D830" s="18"/>
      <c r="E830" s="18"/>
      <c r="F830" s="18"/>
      <c r="G830" s="14"/>
      <c r="H830" s="14"/>
      <c r="I830" s="14"/>
      <c r="J830" s="14"/>
      <c r="K830" s="14"/>
      <c r="L830" s="14"/>
      <c r="M830" s="18"/>
      <c r="N830" s="14"/>
      <c r="O830" s="14"/>
      <c r="P830" s="14"/>
      <c r="Q830" s="14"/>
      <c r="R830" s="14"/>
      <c r="S830" s="14"/>
      <c r="T830" s="14"/>
      <c r="U830" s="18"/>
      <c r="V830" s="18"/>
      <c r="W830" s="18"/>
      <c r="X830" s="18"/>
      <c r="Y830" s="18"/>
      <c r="Z830" s="18"/>
      <c r="AA830" s="18"/>
      <c r="AB830" s="18"/>
      <c r="AC830" s="18"/>
      <c r="AD830" s="18"/>
    </row>
    <row r="831" ht="24.75" customHeight="1">
      <c r="A831" s="19"/>
      <c r="B831" s="18"/>
      <c r="C831" s="18"/>
      <c r="D831" s="18"/>
      <c r="E831" s="18"/>
      <c r="F831" s="18"/>
      <c r="G831" s="14"/>
      <c r="H831" s="14"/>
      <c r="I831" s="14"/>
      <c r="J831" s="14"/>
      <c r="K831" s="14"/>
      <c r="L831" s="14"/>
      <c r="M831" s="18"/>
      <c r="N831" s="14"/>
      <c r="O831" s="14"/>
      <c r="P831" s="14"/>
      <c r="Q831" s="14"/>
      <c r="R831" s="14"/>
      <c r="S831" s="14"/>
      <c r="T831" s="14"/>
      <c r="U831" s="18"/>
      <c r="V831" s="18"/>
      <c r="W831" s="18"/>
      <c r="X831" s="18"/>
      <c r="Y831" s="18"/>
      <c r="Z831" s="18"/>
      <c r="AA831" s="18"/>
      <c r="AB831" s="18"/>
      <c r="AC831" s="18"/>
      <c r="AD831" s="18"/>
    </row>
    <row r="832" ht="24.75" customHeight="1">
      <c r="A832" s="19"/>
      <c r="B832" s="18"/>
      <c r="C832" s="18"/>
      <c r="D832" s="18"/>
      <c r="E832" s="18"/>
      <c r="F832" s="18"/>
      <c r="G832" s="14"/>
      <c r="H832" s="14"/>
      <c r="I832" s="14"/>
      <c r="J832" s="14"/>
      <c r="K832" s="14"/>
      <c r="L832" s="14"/>
      <c r="M832" s="18"/>
      <c r="N832" s="14"/>
      <c r="O832" s="14"/>
      <c r="P832" s="14"/>
      <c r="Q832" s="14"/>
      <c r="R832" s="14"/>
      <c r="S832" s="14"/>
      <c r="T832" s="14"/>
      <c r="U832" s="18"/>
      <c r="V832" s="18"/>
      <c r="W832" s="18"/>
      <c r="X832" s="18"/>
      <c r="Y832" s="18"/>
      <c r="Z832" s="18"/>
      <c r="AA832" s="18"/>
      <c r="AB832" s="18"/>
      <c r="AC832" s="18"/>
      <c r="AD832" s="18"/>
    </row>
    <row r="833" ht="24.75" customHeight="1">
      <c r="A833" s="19"/>
      <c r="B833" s="18"/>
      <c r="C833" s="18"/>
      <c r="D833" s="18"/>
      <c r="E833" s="18"/>
      <c r="F833" s="18"/>
      <c r="G833" s="14"/>
      <c r="H833" s="14"/>
      <c r="I833" s="14"/>
      <c r="J833" s="14"/>
      <c r="K833" s="14"/>
      <c r="L833" s="14"/>
      <c r="M833" s="18"/>
      <c r="N833" s="14"/>
      <c r="O833" s="14"/>
      <c r="P833" s="14"/>
      <c r="Q833" s="14"/>
      <c r="R833" s="14"/>
      <c r="S833" s="14"/>
      <c r="T833" s="14"/>
      <c r="U833" s="18"/>
      <c r="V833" s="18"/>
      <c r="W833" s="18"/>
      <c r="X833" s="18"/>
      <c r="Y833" s="18"/>
      <c r="Z833" s="18"/>
      <c r="AA833" s="18"/>
      <c r="AB833" s="18"/>
      <c r="AC833" s="18"/>
      <c r="AD833" s="18"/>
    </row>
    <row r="834" ht="24.75" customHeight="1">
      <c r="A834" s="19"/>
      <c r="B834" s="18"/>
      <c r="C834" s="18"/>
      <c r="D834" s="18"/>
      <c r="E834" s="18"/>
      <c r="F834" s="18"/>
      <c r="G834" s="14"/>
      <c r="H834" s="14"/>
      <c r="I834" s="14"/>
      <c r="J834" s="14"/>
      <c r="K834" s="14"/>
      <c r="L834" s="14"/>
      <c r="M834" s="18"/>
      <c r="N834" s="14"/>
      <c r="O834" s="14"/>
      <c r="P834" s="14"/>
      <c r="Q834" s="14"/>
      <c r="R834" s="14"/>
      <c r="S834" s="14"/>
      <c r="T834" s="14"/>
      <c r="U834" s="18"/>
      <c r="V834" s="18"/>
      <c r="W834" s="18"/>
      <c r="X834" s="18"/>
      <c r="Y834" s="18"/>
      <c r="Z834" s="18"/>
      <c r="AA834" s="18"/>
      <c r="AB834" s="18"/>
      <c r="AC834" s="18"/>
      <c r="AD834" s="18"/>
    </row>
    <row r="835" ht="24.75" customHeight="1">
      <c r="A835" s="19"/>
      <c r="B835" s="18"/>
      <c r="C835" s="18"/>
      <c r="D835" s="18"/>
      <c r="E835" s="18"/>
      <c r="F835" s="18"/>
      <c r="G835" s="14"/>
      <c r="H835" s="14"/>
      <c r="I835" s="14"/>
      <c r="J835" s="14"/>
      <c r="K835" s="14"/>
      <c r="L835" s="14"/>
      <c r="M835" s="18"/>
      <c r="N835" s="14"/>
      <c r="O835" s="14"/>
      <c r="P835" s="14"/>
      <c r="Q835" s="14"/>
      <c r="R835" s="14"/>
      <c r="S835" s="14"/>
      <c r="T835" s="14"/>
      <c r="U835" s="18"/>
      <c r="V835" s="18"/>
      <c r="W835" s="18"/>
      <c r="X835" s="18"/>
      <c r="Y835" s="18"/>
      <c r="Z835" s="18"/>
      <c r="AA835" s="18"/>
      <c r="AB835" s="18"/>
      <c r="AC835" s="18"/>
      <c r="AD835" s="18"/>
    </row>
    <row r="836" ht="24.75" customHeight="1">
      <c r="A836" s="19"/>
      <c r="B836" s="18"/>
      <c r="C836" s="18"/>
      <c r="D836" s="18"/>
      <c r="E836" s="18"/>
      <c r="F836" s="18"/>
      <c r="G836" s="14"/>
      <c r="H836" s="14"/>
      <c r="I836" s="14"/>
      <c r="J836" s="14"/>
      <c r="K836" s="14"/>
      <c r="L836" s="14"/>
      <c r="M836" s="18"/>
      <c r="N836" s="14"/>
      <c r="O836" s="14"/>
      <c r="P836" s="14"/>
      <c r="Q836" s="14"/>
      <c r="R836" s="14"/>
      <c r="S836" s="14"/>
      <c r="T836" s="14"/>
      <c r="U836" s="18"/>
      <c r="V836" s="18"/>
      <c r="W836" s="18"/>
      <c r="X836" s="18"/>
      <c r="Y836" s="18"/>
      <c r="Z836" s="18"/>
      <c r="AA836" s="18"/>
      <c r="AB836" s="18"/>
      <c r="AC836" s="18"/>
      <c r="AD836" s="18"/>
    </row>
    <row r="837" ht="24.75" customHeight="1">
      <c r="A837" s="19"/>
      <c r="B837" s="18"/>
      <c r="C837" s="18"/>
      <c r="D837" s="18"/>
      <c r="E837" s="18"/>
      <c r="F837" s="18"/>
      <c r="G837" s="14"/>
      <c r="H837" s="14"/>
      <c r="I837" s="14"/>
      <c r="J837" s="14"/>
      <c r="K837" s="14"/>
      <c r="L837" s="14"/>
      <c r="M837" s="18"/>
      <c r="N837" s="14"/>
      <c r="O837" s="14"/>
      <c r="P837" s="14"/>
      <c r="Q837" s="14"/>
      <c r="R837" s="14"/>
      <c r="S837" s="14"/>
      <c r="T837" s="14"/>
      <c r="U837" s="18"/>
      <c r="V837" s="18"/>
      <c r="W837" s="18"/>
      <c r="X837" s="18"/>
      <c r="Y837" s="18"/>
      <c r="Z837" s="18"/>
      <c r="AA837" s="18"/>
      <c r="AB837" s="18"/>
      <c r="AC837" s="18"/>
      <c r="AD837" s="18"/>
    </row>
    <row r="838" ht="24.75" customHeight="1">
      <c r="A838" s="19"/>
      <c r="B838" s="18"/>
      <c r="C838" s="18"/>
      <c r="D838" s="18"/>
      <c r="E838" s="18"/>
      <c r="F838" s="18"/>
      <c r="G838" s="14"/>
      <c r="H838" s="14"/>
      <c r="I838" s="14"/>
      <c r="J838" s="14"/>
      <c r="K838" s="14"/>
      <c r="L838" s="14"/>
      <c r="M838" s="18"/>
      <c r="N838" s="14"/>
      <c r="O838" s="14"/>
      <c r="P838" s="14"/>
      <c r="Q838" s="14"/>
      <c r="R838" s="14"/>
      <c r="S838" s="14"/>
      <c r="T838" s="14"/>
      <c r="U838" s="18"/>
      <c r="V838" s="18"/>
      <c r="W838" s="18"/>
      <c r="X838" s="18"/>
      <c r="Y838" s="18"/>
      <c r="Z838" s="18"/>
      <c r="AA838" s="18"/>
      <c r="AB838" s="18"/>
      <c r="AC838" s="18"/>
      <c r="AD838" s="18"/>
    </row>
    <row r="839" ht="24.75" customHeight="1">
      <c r="A839" s="19"/>
      <c r="B839" s="18"/>
      <c r="C839" s="18"/>
      <c r="D839" s="18"/>
      <c r="E839" s="18"/>
      <c r="F839" s="18"/>
      <c r="G839" s="14"/>
      <c r="H839" s="14"/>
      <c r="I839" s="14"/>
      <c r="J839" s="14"/>
      <c r="K839" s="14"/>
      <c r="L839" s="14"/>
      <c r="M839" s="18"/>
      <c r="N839" s="14"/>
      <c r="O839" s="14"/>
      <c r="P839" s="14"/>
      <c r="Q839" s="14"/>
      <c r="R839" s="14"/>
      <c r="S839" s="14"/>
      <c r="T839" s="14"/>
      <c r="U839" s="18"/>
      <c r="V839" s="18"/>
      <c r="W839" s="18"/>
      <c r="X839" s="18"/>
      <c r="Y839" s="18"/>
      <c r="Z839" s="18"/>
      <c r="AA839" s="18"/>
      <c r="AB839" s="18"/>
      <c r="AC839" s="18"/>
      <c r="AD839" s="18"/>
    </row>
    <row r="840" ht="24.75" customHeight="1">
      <c r="A840" s="19"/>
      <c r="B840" s="18"/>
      <c r="C840" s="18"/>
      <c r="D840" s="18"/>
      <c r="E840" s="18"/>
      <c r="F840" s="18"/>
      <c r="G840" s="14"/>
      <c r="H840" s="14"/>
      <c r="I840" s="14"/>
      <c r="J840" s="14"/>
      <c r="K840" s="14"/>
      <c r="L840" s="14"/>
      <c r="M840" s="18"/>
      <c r="N840" s="14"/>
      <c r="O840" s="14"/>
      <c r="P840" s="14"/>
      <c r="Q840" s="14"/>
      <c r="R840" s="14"/>
      <c r="S840" s="14"/>
      <c r="T840" s="14"/>
      <c r="U840" s="18"/>
      <c r="V840" s="18"/>
      <c r="W840" s="18"/>
      <c r="X840" s="18"/>
      <c r="Y840" s="18"/>
      <c r="Z840" s="18"/>
      <c r="AA840" s="18"/>
      <c r="AB840" s="18"/>
      <c r="AC840" s="18"/>
      <c r="AD840" s="18"/>
    </row>
    <row r="841" ht="24.75" customHeight="1">
      <c r="A841" s="19"/>
      <c r="B841" s="18"/>
      <c r="C841" s="18"/>
      <c r="D841" s="18"/>
      <c r="E841" s="18"/>
      <c r="F841" s="18"/>
      <c r="G841" s="14"/>
      <c r="H841" s="14"/>
      <c r="I841" s="14"/>
      <c r="J841" s="14"/>
      <c r="K841" s="14"/>
      <c r="L841" s="14"/>
      <c r="M841" s="18"/>
      <c r="N841" s="14"/>
      <c r="O841" s="14"/>
      <c r="P841" s="14"/>
      <c r="Q841" s="14"/>
      <c r="R841" s="14"/>
      <c r="S841" s="14"/>
      <c r="T841" s="14"/>
      <c r="U841" s="18"/>
      <c r="V841" s="18"/>
      <c r="W841" s="18"/>
      <c r="X841" s="18"/>
      <c r="Y841" s="18"/>
      <c r="Z841" s="18"/>
      <c r="AA841" s="18"/>
      <c r="AB841" s="18"/>
      <c r="AC841" s="18"/>
      <c r="AD841" s="18"/>
    </row>
    <row r="842" ht="24.75" customHeight="1">
      <c r="A842" s="19"/>
      <c r="B842" s="18"/>
      <c r="C842" s="18"/>
      <c r="D842" s="18"/>
      <c r="E842" s="18"/>
      <c r="F842" s="18"/>
      <c r="G842" s="14"/>
      <c r="H842" s="14"/>
      <c r="I842" s="14"/>
      <c r="J842" s="14"/>
      <c r="K842" s="14"/>
      <c r="L842" s="14"/>
      <c r="M842" s="18"/>
      <c r="N842" s="14"/>
      <c r="O842" s="14"/>
      <c r="P842" s="14"/>
      <c r="Q842" s="14"/>
      <c r="R842" s="14"/>
      <c r="S842" s="14"/>
      <c r="T842" s="14"/>
      <c r="U842" s="18"/>
      <c r="V842" s="18"/>
      <c r="W842" s="18"/>
      <c r="X842" s="18"/>
      <c r="Y842" s="18"/>
      <c r="Z842" s="18"/>
      <c r="AA842" s="18"/>
      <c r="AB842" s="18"/>
      <c r="AC842" s="18"/>
      <c r="AD842" s="18"/>
    </row>
    <row r="843" ht="24.75" customHeight="1">
      <c r="A843" s="19"/>
      <c r="B843" s="18"/>
      <c r="C843" s="18"/>
      <c r="D843" s="18"/>
      <c r="E843" s="18"/>
      <c r="F843" s="18"/>
      <c r="G843" s="14"/>
      <c r="H843" s="14"/>
      <c r="I843" s="14"/>
      <c r="J843" s="14"/>
      <c r="K843" s="14"/>
      <c r="L843" s="14"/>
      <c r="M843" s="18"/>
      <c r="N843" s="14"/>
      <c r="O843" s="14"/>
      <c r="P843" s="14"/>
      <c r="Q843" s="14"/>
      <c r="R843" s="14"/>
      <c r="S843" s="14"/>
      <c r="T843" s="14"/>
      <c r="U843" s="18"/>
      <c r="V843" s="18"/>
      <c r="W843" s="18"/>
      <c r="X843" s="18"/>
      <c r="Y843" s="18"/>
      <c r="Z843" s="18"/>
      <c r="AA843" s="18"/>
      <c r="AB843" s="18"/>
      <c r="AC843" s="18"/>
      <c r="AD843" s="18"/>
    </row>
    <row r="844" ht="24.75" customHeight="1">
      <c r="A844" s="19"/>
      <c r="B844" s="18"/>
      <c r="C844" s="18"/>
      <c r="D844" s="18"/>
      <c r="E844" s="18"/>
      <c r="F844" s="18"/>
      <c r="G844" s="14"/>
      <c r="H844" s="14"/>
      <c r="I844" s="14"/>
      <c r="J844" s="14"/>
      <c r="K844" s="14"/>
      <c r="L844" s="14"/>
      <c r="M844" s="18"/>
      <c r="N844" s="14"/>
      <c r="O844" s="14"/>
      <c r="P844" s="14"/>
      <c r="Q844" s="14"/>
      <c r="R844" s="14"/>
      <c r="S844" s="14"/>
      <c r="T844" s="14"/>
      <c r="U844" s="18"/>
      <c r="V844" s="18"/>
      <c r="W844" s="18"/>
      <c r="X844" s="18"/>
      <c r="Y844" s="18"/>
      <c r="Z844" s="18"/>
      <c r="AA844" s="18"/>
      <c r="AB844" s="18"/>
      <c r="AC844" s="18"/>
      <c r="AD844" s="18"/>
    </row>
    <row r="845" ht="24.75" customHeight="1">
      <c r="A845" s="19"/>
      <c r="B845" s="18"/>
      <c r="C845" s="18"/>
      <c r="D845" s="18"/>
      <c r="E845" s="18"/>
      <c r="F845" s="18"/>
      <c r="G845" s="14"/>
      <c r="H845" s="14"/>
      <c r="I845" s="14"/>
      <c r="J845" s="14"/>
      <c r="K845" s="14"/>
      <c r="L845" s="14"/>
      <c r="M845" s="18"/>
      <c r="N845" s="14"/>
      <c r="O845" s="14"/>
      <c r="P845" s="14"/>
      <c r="Q845" s="14"/>
      <c r="R845" s="14"/>
      <c r="S845" s="14"/>
      <c r="T845" s="14"/>
      <c r="U845" s="18"/>
      <c r="V845" s="18"/>
      <c r="W845" s="18"/>
      <c r="X845" s="18"/>
      <c r="Y845" s="18"/>
      <c r="Z845" s="18"/>
      <c r="AA845" s="18"/>
      <c r="AB845" s="18"/>
      <c r="AC845" s="18"/>
      <c r="AD845" s="18"/>
    </row>
    <row r="846" ht="24.75" customHeight="1">
      <c r="A846" s="19"/>
      <c r="B846" s="18"/>
      <c r="C846" s="18"/>
      <c r="D846" s="18"/>
      <c r="E846" s="18"/>
      <c r="F846" s="18"/>
      <c r="G846" s="14"/>
      <c r="H846" s="14"/>
      <c r="I846" s="14"/>
      <c r="J846" s="14"/>
      <c r="K846" s="14"/>
      <c r="L846" s="14"/>
      <c r="M846" s="18"/>
      <c r="N846" s="14"/>
      <c r="O846" s="14"/>
      <c r="P846" s="14"/>
      <c r="Q846" s="14"/>
      <c r="R846" s="14"/>
      <c r="S846" s="14"/>
      <c r="T846" s="14"/>
      <c r="U846" s="18"/>
      <c r="V846" s="18"/>
      <c r="W846" s="18"/>
      <c r="X846" s="18"/>
      <c r="Y846" s="18"/>
      <c r="Z846" s="18"/>
      <c r="AA846" s="18"/>
      <c r="AB846" s="18"/>
      <c r="AC846" s="18"/>
      <c r="AD846" s="18"/>
    </row>
    <row r="847" ht="24.75" customHeight="1">
      <c r="A847" s="19"/>
      <c r="B847" s="18"/>
      <c r="C847" s="18"/>
      <c r="D847" s="18"/>
      <c r="E847" s="18"/>
      <c r="F847" s="18"/>
      <c r="G847" s="14"/>
      <c r="H847" s="14"/>
      <c r="I847" s="14"/>
      <c r="J847" s="14"/>
      <c r="K847" s="14"/>
      <c r="L847" s="14"/>
      <c r="M847" s="18"/>
      <c r="N847" s="14"/>
      <c r="O847" s="14"/>
      <c r="P847" s="14"/>
      <c r="Q847" s="14"/>
      <c r="R847" s="14"/>
      <c r="S847" s="14"/>
      <c r="T847" s="14"/>
      <c r="U847" s="18"/>
      <c r="V847" s="18"/>
      <c r="W847" s="18"/>
      <c r="X847" s="18"/>
      <c r="Y847" s="18"/>
      <c r="Z847" s="18"/>
      <c r="AA847" s="18"/>
      <c r="AB847" s="18"/>
      <c r="AC847" s="18"/>
      <c r="AD847" s="18"/>
    </row>
    <row r="848" ht="24.75" customHeight="1">
      <c r="A848" s="19"/>
      <c r="B848" s="18"/>
      <c r="C848" s="18"/>
      <c r="D848" s="18"/>
      <c r="E848" s="18"/>
      <c r="F848" s="18"/>
      <c r="G848" s="14"/>
      <c r="H848" s="14"/>
      <c r="I848" s="14"/>
      <c r="J848" s="14"/>
      <c r="K848" s="14"/>
      <c r="L848" s="14"/>
      <c r="M848" s="18"/>
      <c r="N848" s="14"/>
      <c r="O848" s="14"/>
      <c r="P848" s="14"/>
      <c r="Q848" s="14"/>
      <c r="R848" s="14"/>
      <c r="S848" s="14"/>
      <c r="T848" s="14"/>
      <c r="U848" s="18"/>
      <c r="V848" s="18"/>
      <c r="W848" s="18"/>
      <c r="X848" s="18"/>
      <c r="Y848" s="18"/>
      <c r="Z848" s="18"/>
      <c r="AA848" s="18"/>
      <c r="AB848" s="18"/>
      <c r="AC848" s="18"/>
      <c r="AD848" s="18"/>
    </row>
    <row r="849" ht="24.75" customHeight="1">
      <c r="A849" s="19"/>
      <c r="B849" s="18"/>
      <c r="C849" s="18"/>
      <c r="D849" s="18"/>
      <c r="E849" s="18"/>
      <c r="F849" s="18"/>
      <c r="G849" s="14"/>
      <c r="H849" s="14"/>
      <c r="I849" s="14"/>
      <c r="J849" s="14"/>
      <c r="K849" s="14"/>
      <c r="L849" s="14"/>
      <c r="M849" s="18"/>
      <c r="N849" s="14"/>
      <c r="O849" s="14"/>
      <c r="P849" s="14"/>
      <c r="Q849" s="14"/>
      <c r="R849" s="14"/>
      <c r="S849" s="14"/>
      <c r="T849" s="14"/>
      <c r="U849" s="18"/>
      <c r="V849" s="18"/>
      <c r="W849" s="18"/>
      <c r="X849" s="18"/>
      <c r="Y849" s="18"/>
      <c r="Z849" s="18"/>
      <c r="AA849" s="18"/>
      <c r="AB849" s="18"/>
      <c r="AC849" s="18"/>
      <c r="AD849" s="18"/>
    </row>
    <row r="850" ht="24.75" customHeight="1">
      <c r="A850" s="19"/>
      <c r="B850" s="18"/>
      <c r="C850" s="18"/>
      <c r="D850" s="18"/>
      <c r="E850" s="18"/>
      <c r="F850" s="18"/>
      <c r="G850" s="14"/>
      <c r="H850" s="14"/>
      <c r="I850" s="14"/>
      <c r="J850" s="14"/>
      <c r="K850" s="14"/>
      <c r="L850" s="14"/>
      <c r="M850" s="18"/>
      <c r="N850" s="14"/>
      <c r="O850" s="14"/>
      <c r="P850" s="14"/>
      <c r="Q850" s="14"/>
      <c r="R850" s="14"/>
      <c r="S850" s="14"/>
      <c r="T850" s="14"/>
      <c r="U850" s="18"/>
      <c r="V850" s="18"/>
      <c r="W850" s="18"/>
      <c r="X850" s="18"/>
      <c r="Y850" s="18"/>
      <c r="Z850" s="18"/>
      <c r="AA850" s="18"/>
      <c r="AB850" s="18"/>
      <c r="AC850" s="18"/>
      <c r="AD850" s="18"/>
    </row>
    <row r="851" ht="24.75" customHeight="1">
      <c r="A851" s="19"/>
      <c r="B851" s="18"/>
      <c r="C851" s="18"/>
      <c r="D851" s="18"/>
      <c r="E851" s="18"/>
      <c r="F851" s="18"/>
      <c r="G851" s="14"/>
      <c r="H851" s="14"/>
      <c r="I851" s="14"/>
      <c r="J851" s="14"/>
      <c r="K851" s="14"/>
      <c r="L851" s="14"/>
      <c r="M851" s="18"/>
      <c r="N851" s="14"/>
      <c r="O851" s="14"/>
      <c r="P851" s="14"/>
      <c r="Q851" s="14"/>
      <c r="R851" s="14"/>
      <c r="S851" s="14"/>
      <c r="T851" s="14"/>
      <c r="U851" s="18"/>
      <c r="V851" s="18"/>
      <c r="W851" s="18"/>
      <c r="X851" s="18"/>
      <c r="Y851" s="18"/>
      <c r="Z851" s="18"/>
      <c r="AA851" s="18"/>
      <c r="AB851" s="18"/>
      <c r="AC851" s="18"/>
      <c r="AD851" s="18"/>
    </row>
    <row r="852" ht="24.75" customHeight="1">
      <c r="A852" s="19"/>
      <c r="B852" s="18"/>
      <c r="C852" s="18"/>
      <c r="D852" s="18"/>
      <c r="E852" s="18"/>
      <c r="F852" s="18"/>
      <c r="G852" s="14"/>
      <c r="H852" s="14"/>
      <c r="I852" s="14"/>
      <c r="J852" s="14"/>
      <c r="K852" s="14"/>
      <c r="L852" s="14"/>
      <c r="M852" s="18"/>
      <c r="N852" s="14"/>
      <c r="O852" s="14"/>
      <c r="P852" s="14"/>
      <c r="Q852" s="14"/>
      <c r="R852" s="14"/>
      <c r="S852" s="14"/>
      <c r="T852" s="14"/>
      <c r="U852" s="18"/>
      <c r="V852" s="18"/>
      <c r="W852" s="18"/>
      <c r="X852" s="18"/>
      <c r="Y852" s="18"/>
      <c r="Z852" s="18"/>
      <c r="AA852" s="18"/>
      <c r="AB852" s="18"/>
      <c r="AC852" s="18"/>
      <c r="AD852" s="18"/>
    </row>
    <row r="853" ht="24.75" customHeight="1">
      <c r="A853" s="19"/>
      <c r="B853" s="18"/>
      <c r="C853" s="18"/>
      <c r="D853" s="18"/>
      <c r="E853" s="18"/>
      <c r="F853" s="18"/>
      <c r="G853" s="14"/>
      <c r="H853" s="14"/>
      <c r="I853" s="14"/>
      <c r="J853" s="14"/>
      <c r="K853" s="14"/>
      <c r="L853" s="14"/>
      <c r="M853" s="18"/>
      <c r="N853" s="14"/>
      <c r="O853" s="14"/>
      <c r="P853" s="14"/>
      <c r="Q853" s="14"/>
      <c r="R853" s="14"/>
      <c r="S853" s="14"/>
      <c r="T853" s="14"/>
      <c r="U853" s="18"/>
      <c r="V853" s="18"/>
      <c r="W853" s="18"/>
      <c r="X853" s="18"/>
      <c r="Y853" s="18"/>
      <c r="Z853" s="18"/>
      <c r="AA853" s="18"/>
      <c r="AB853" s="18"/>
      <c r="AC853" s="18"/>
      <c r="AD853" s="18"/>
    </row>
    <row r="854" ht="24.75" customHeight="1">
      <c r="A854" s="19"/>
      <c r="B854" s="18"/>
      <c r="C854" s="18"/>
      <c r="D854" s="18"/>
      <c r="E854" s="18"/>
      <c r="F854" s="18"/>
      <c r="G854" s="14"/>
      <c r="H854" s="14"/>
      <c r="I854" s="14"/>
      <c r="J854" s="14"/>
      <c r="K854" s="14"/>
      <c r="L854" s="14"/>
      <c r="M854" s="18"/>
      <c r="N854" s="14"/>
      <c r="O854" s="14"/>
      <c r="P854" s="14"/>
      <c r="Q854" s="14"/>
      <c r="R854" s="14"/>
      <c r="S854" s="14"/>
      <c r="T854" s="14"/>
      <c r="U854" s="18"/>
      <c r="V854" s="18"/>
      <c r="W854" s="18"/>
      <c r="X854" s="18"/>
      <c r="Y854" s="18"/>
      <c r="Z854" s="18"/>
      <c r="AA854" s="18"/>
      <c r="AB854" s="18"/>
      <c r="AC854" s="18"/>
      <c r="AD854" s="18"/>
    </row>
    <row r="855" ht="24.75" customHeight="1">
      <c r="A855" s="19"/>
      <c r="B855" s="18"/>
      <c r="C855" s="18"/>
      <c r="D855" s="18"/>
      <c r="E855" s="18"/>
      <c r="F855" s="18"/>
      <c r="G855" s="14"/>
      <c r="H855" s="14"/>
      <c r="I855" s="14"/>
      <c r="J855" s="14"/>
      <c r="K855" s="14"/>
      <c r="L855" s="14"/>
      <c r="M855" s="18"/>
      <c r="N855" s="14"/>
      <c r="O855" s="14"/>
      <c r="P855" s="14"/>
      <c r="Q855" s="14"/>
      <c r="R855" s="14"/>
      <c r="S855" s="14"/>
      <c r="T855" s="14"/>
      <c r="U855" s="18"/>
      <c r="V855" s="18"/>
      <c r="W855" s="18"/>
      <c r="X855" s="18"/>
      <c r="Y855" s="18"/>
      <c r="Z855" s="18"/>
      <c r="AA855" s="18"/>
      <c r="AB855" s="18"/>
      <c r="AC855" s="18"/>
      <c r="AD855" s="18"/>
    </row>
    <row r="856" ht="24.75" customHeight="1">
      <c r="A856" s="19"/>
      <c r="B856" s="18"/>
      <c r="C856" s="18"/>
      <c r="D856" s="18"/>
      <c r="E856" s="18"/>
      <c r="F856" s="18"/>
      <c r="G856" s="14"/>
      <c r="H856" s="14"/>
      <c r="I856" s="14"/>
      <c r="J856" s="14"/>
      <c r="K856" s="14"/>
      <c r="L856" s="14"/>
      <c r="M856" s="18"/>
      <c r="N856" s="14"/>
      <c r="O856" s="14"/>
      <c r="P856" s="14"/>
      <c r="Q856" s="14"/>
      <c r="R856" s="14"/>
      <c r="S856" s="14"/>
      <c r="T856" s="14"/>
      <c r="U856" s="18"/>
      <c r="V856" s="18"/>
      <c r="W856" s="18"/>
      <c r="X856" s="18"/>
      <c r="Y856" s="18"/>
      <c r="Z856" s="18"/>
      <c r="AA856" s="18"/>
      <c r="AB856" s="18"/>
      <c r="AC856" s="18"/>
      <c r="AD856" s="18"/>
    </row>
    <row r="857" ht="24.75" customHeight="1">
      <c r="A857" s="19"/>
      <c r="B857" s="18"/>
      <c r="C857" s="18"/>
      <c r="D857" s="18"/>
      <c r="E857" s="18"/>
      <c r="F857" s="18"/>
      <c r="G857" s="14"/>
      <c r="H857" s="14"/>
      <c r="I857" s="14"/>
      <c r="J857" s="14"/>
      <c r="K857" s="14"/>
      <c r="L857" s="14"/>
      <c r="M857" s="18"/>
      <c r="N857" s="14"/>
      <c r="O857" s="14"/>
      <c r="P857" s="14"/>
      <c r="Q857" s="14"/>
      <c r="R857" s="14"/>
      <c r="S857" s="14"/>
      <c r="T857" s="14"/>
      <c r="U857" s="18"/>
      <c r="V857" s="18"/>
      <c r="W857" s="18"/>
      <c r="X857" s="18"/>
      <c r="Y857" s="18"/>
      <c r="Z857" s="18"/>
      <c r="AA857" s="18"/>
      <c r="AB857" s="18"/>
      <c r="AC857" s="18"/>
      <c r="AD857" s="18"/>
    </row>
    <row r="858" ht="24.75" customHeight="1">
      <c r="A858" s="19"/>
      <c r="B858" s="18"/>
      <c r="C858" s="18"/>
      <c r="D858" s="18"/>
      <c r="E858" s="18"/>
      <c r="F858" s="18"/>
      <c r="G858" s="14"/>
      <c r="H858" s="14"/>
      <c r="I858" s="14"/>
      <c r="J858" s="14"/>
      <c r="K858" s="14"/>
      <c r="L858" s="14"/>
      <c r="M858" s="18"/>
      <c r="N858" s="14"/>
      <c r="O858" s="14"/>
      <c r="P858" s="14"/>
      <c r="Q858" s="14"/>
      <c r="R858" s="14"/>
      <c r="S858" s="14"/>
      <c r="T858" s="14"/>
      <c r="U858" s="18"/>
      <c r="V858" s="18"/>
      <c r="W858" s="18"/>
      <c r="X858" s="18"/>
      <c r="Y858" s="18"/>
      <c r="Z858" s="18"/>
      <c r="AA858" s="18"/>
      <c r="AB858" s="18"/>
      <c r="AC858" s="18"/>
      <c r="AD858" s="18"/>
    </row>
    <row r="859" ht="24.75" customHeight="1">
      <c r="A859" s="19"/>
      <c r="B859" s="18"/>
      <c r="C859" s="18"/>
      <c r="D859" s="18"/>
      <c r="E859" s="18"/>
      <c r="F859" s="18"/>
      <c r="G859" s="14"/>
      <c r="H859" s="14"/>
      <c r="I859" s="14"/>
      <c r="J859" s="14"/>
      <c r="K859" s="14"/>
      <c r="L859" s="14"/>
      <c r="M859" s="18"/>
      <c r="N859" s="14"/>
      <c r="O859" s="14"/>
      <c r="P859" s="14"/>
      <c r="Q859" s="14"/>
      <c r="R859" s="14"/>
      <c r="S859" s="14"/>
      <c r="T859" s="14"/>
      <c r="U859" s="18"/>
      <c r="V859" s="18"/>
      <c r="W859" s="18"/>
      <c r="X859" s="18"/>
      <c r="Y859" s="18"/>
      <c r="Z859" s="18"/>
      <c r="AA859" s="18"/>
      <c r="AB859" s="18"/>
      <c r="AC859" s="18"/>
      <c r="AD859" s="18"/>
    </row>
    <row r="860" ht="24.75" customHeight="1">
      <c r="A860" s="19"/>
      <c r="B860" s="18"/>
      <c r="C860" s="18"/>
      <c r="D860" s="18"/>
      <c r="E860" s="18"/>
      <c r="F860" s="18"/>
      <c r="G860" s="14"/>
      <c r="H860" s="14"/>
      <c r="I860" s="14"/>
      <c r="J860" s="14"/>
      <c r="K860" s="14"/>
      <c r="L860" s="14"/>
      <c r="M860" s="18"/>
      <c r="N860" s="14"/>
      <c r="O860" s="14"/>
      <c r="P860" s="14"/>
      <c r="Q860" s="14"/>
      <c r="R860" s="14"/>
      <c r="S860" s="14"/>
      <c r="T860" s="14"/>
      <c r="U860" s="18"/>
      <c r="V860" s="18"/>
      <c r="W860" s="18"/>
      <c r="X860" s="18"/>
      <c r="Y860" s="18"/>
      <c r="Z860" s="18"/>
      <c r="AA860" s="18"/>
      <c r="AB860" s="18"/>
      <c r="AC860" s="18"/>
      <c r="AD860" s="18"/>
    </row>
    <row r="861" ht="24.75" customHeight="1">
      <c r="A861" s="19"/>
      <c r="B861" s="18"/>
      <c r="C861" s="18"/>
      <c r="D861" s="18"/>
      <c r="E861" s="18"/>
      <c r="F861" s="18"/>
      <c r="G861" s="14"/>
      <c r="H861" s="14"/>
      <c r="I861" s="14"/>
      <c r="J861" s="14"/>
      <c r="K861" s="14"/>
      <c r="L861" s="14"/>
      <c r="M861" s="18"/>
      <c r="N861" s="14"/>
      <c r="O861" s="14"/>
      <c r="P861" s="14"/>
      <c r="Q861" s="14"/>
      <c r="R861" s="14"/>
      <c r="S861" s="14"/>
      <c r="T861" s="14"/>
      <c r="U861" s="18"/>
      <c r="V861" s="18"/>
      <c r="W861" s="18"/>
      <c r="X861" s="18"/>
      <c r="Y861" s="18"/>
      <c r="Z861" s="18"/>
      <c r="AA861" s="18"/>
      <c r="AB861" s="18"/>
      <c r="AC861" s="18"/>
      <c r="AD861" s="18"/>
    </row>
    <row r="862" ht="24.75" customHeight="1">
      <c r="A862" s="19"/>
      <c r="B862" s="18"/>
      <c r="C862" s="18"/>
      <c r="D862" s="18"/>
      <c r="E862" s="18"/>
      <c r="F862" s="18"/>
      <c r="G862" s="14"/>
      <c r="H862" s="14"/>
      <c r="I862" s="14"/>
      <c r="J862" s="14"/>
      <c r="K862" s="14"/>
      <c r="L862" s="14"/>
      <c r="M862" s="18"/>
      <c r="N862" s="14"/>
      <c r="O862" s="14"/>
      <c r="P862" s="14"/>
      <c r="Q862" s="14"/>
      <c r="R862" s="14"/>
      <c r="S862" s="14"/>
      <c r="T862" s="14"/>
      <c r="U862" s="18"/>
      <c r="V862" s="18"/>
      <c r="W862" s="18"/>
      <c r="X862" s="18"/>
      <c r="Y862" s="18"/>
      <c r="Z862" s="18"/>
      <c r="AA862" s="18"/>
      <c r="AB862" s="18"/>
      <c r="AC862" s="18"/>
      <c r="AD862" s="18"/>
    </row>
    <row r="863" ht="24.75" customHeight="1">
      <c r="A863" s="19"/>
      <c r="B863" s="18"/>
      <c r="C863" s="18"/>
      <c r="D863" s="18"/>
      <c r="E863" s="18"/>
      <c r="F863" s="18"/>
      <c r="G863" s="14"/>
      <c r="H863" s="14"/>
      <c r="I863" s="14"/>
      <c r="J863" s="14"/>
      <c r="K863" s="14"/>
      <c r="L863" s="14"/>
      <c r="M863" s="18"/>
      <c r="N863" s="14"/>
      <c r="O863" s="14"/>
      <c r="P863" s="14"/>
      <c r="Q863" s="14"/>
      <c r="R863" s="14"/>
      <c r="S863" s="14"/>
      <c r="T863" s="14"/>
      <c r="U863" s="18"/>
      <c r="V863" s="18"/>
      <c r="W863" s="18"/>
      <c r="X863" s="18"/>
      <c r="Y863" s="18"/>
      <c r="Z863" s="18"/>
      <c r="AA863" s="18"/>
      <c r="AB863" s="18"/>
      <c r="AC863" s="18"/>
      <c r="AD863" s="18"/>
    </row>
    <row r="864" ht="24.75" customHeight="1">
      <c r="A864" s="19"/>
      <c r="B864" s="18"/>
      <c r="C864" s="18"/>
      <c r="D864" s="18"/>
      <c r="E864" s="18"/>
      <c r="F864" s="18"/>
      <c r="G864" s="14"/>
      <c r="H864" s="14"/>
      <c r="I864" s="14"/>
      <c r="J864" s="14"/>
      <c r="K864" s="14"/>
      <c r="L864" s="14"/>
      <c r="M864" s="18"/>
      <c r="N864" s="14"/>
      <c r="O864" s="14"/>
      <c r="P864" s="14"/>
      <c r="Q864" s="14"/>
      <c r="R864" s="14"/>
      <c r="S864" s="14"/>
      <c r="T864" s="14"/>
      <c r="U864" s="18"/>
      <c r="V864" s="18"/>
      <c r="W864" s="18"/>
      <c r="X864" s="18"/>
      <c r="Y864" s="18"/>
      <c r="Z864" s="18"/>
      <c r="AA864" s="18"/>
      <c r="AB864" s="18"/>
      <c r="AC864" s="18"/>
      <c r="AD864" s="18"/>
    </row>
    <row r="865" ht="24.75" customHeight="1">
      <c r="A865" s="19"/>
      <c r="B865" s="18"/>
      <c r="C865" s="18"/>
      <c r="D865" s="18"/>
      <c r="E865" s="18"/>
      <c r="F865" s="18"/>
      <c r="G865" s="14"/>
      <c r="H865" s="14"/>
      <c r="I865" s="14"/>
      <c r="J865" s="14"/>
      <c r="K865" s="14"/>
      <c r="L865" s="14"/>
      <c r="M865" s="18"/>
      <c r="N865" s="14"/>
      <c r="O865" s="14"/>
      <c r="P865" s="14"/>
      <c r="Q865" s="14"/>
      <c r="R865" s="14"/>
      <c r="S865" s="14"/>
      <c r="T865" s="14"/>
      <c r="U865" s="18"/>
      <c r="V865" s="18"/>
      <c r="W865" s="18"/>
      <c r="X865" s="18"/>
      <c r="Y865" s="18"/>
      <c r="Z865" s="18"/>
      <c r="AA865" s="18"/>
      <c r="AB865" s="18"/>
      <c r="AC865" s="18"/>
      <c r="AD865" s="18"/>
    </row>
    <row r="866" ht="24.75" customHeight="1">
      <c r="A866" s="19"/>
      <c r="B866" s="18"/>
      <c r="C866" s="18"/>
      <c r="D866" s="18"/>
      <c r="E866" s="18"/>
      <c r="F866" s="18"/>
      <c r="G866" s="14"/>
      <c r="H866" s="14"/>
      <c r="I866" s="14"/>
      <c r="J866" s="14"/>
      <c r="K866" s="14"/>
      <c r="L866" s="14"/>
      <c r="M866" s="18"/>
      <c r="N866" s="14"/>
      <c r="O866" s="14"/>
      <c r="P866" s="14"/>
      <c r="Q866" s="14"/>
      <c r="R866" s="14"/>
      <c r="S866" s="14"/>
      <c r="T866" s="14"/>
      <c r="U866" s="18"/>
      <c r="V866" s="18"/>
      <c r="W866" s="18"/>
      <c r="X866" s="18"/>
      <c r="Y866" s="18"/>
      <c r="Z866" s="18"/>
      <c r="AA866" s="18"/>
      <c r="AB866" s="18"/>
      <c r="AC866" s="18"/>
      <c r="AD866" s="18"/>
    </row>
    <row r="867" ht="24.75" customHeight="1">
      <c r="A867" s="19"/>
      <c r="B867" s="18"/>
      <c r="C867" s="18"/>
      <c r="D867" s="18"/>
      <c r="E867" s="18"/>
      <c r="F867" s="18"/>
      <c r="G867" s="14"/>
      <c r="H867" s="14"/>
      <c r="I867" s="14"/>
      <c r="J867" s="14"/>
      <c r="K867" s="14"/>
      <c r="L867" s="14"/>
      <c r="M867" s="18"/>
      <c r="N867" s="14"/>
      <c r="O867" s="14"/>
      <c r="P867" s="14"/>
      <c r="Q867" s="14"/>
      <c r="R867" s="14"/>
      <c r="S867" s="14"/>
      <c r="T867" s="14"/>
      <c r="U867" s="18"/>
      <c r="V867" s="18"/>
      <c r="W867" s="18"/>
      <c r="X867" s="18"/>
      <c r="Y867" s="18"/>
      <c r="Z867" s="18"/>
      <c r="AA867" s="18"/>
      <c r="AB867" s="18"/>
      <c r="AC867" s="18"/>
      <c r="AD867" s="18"/>
    </row>
    <row r="868" ht="24.75" customHeight="1">
      <c r="A868" s="19"/>
      <c r="B868" s="18"/>
      <c r="C868" s="18"/>
      <c r="D868" s="18"/>
      <c r="E868" s="18"/>
      <c r="F868" s="18"/>
      <c r="G868" s="14"/>
      <c r="H868" s="14"/>
      <c r="I868" s="14"/>
      <c r="J868" s="14"/>
      <c r="K868" s="14"/>
      <c r="L868" s="14"/>
      <c r="M868" s="18"/>
      <c r="N868" s="14"/>
      <c r="O868" s="14"/>
      <c r="P868" s="14"/>
      <c r="Q868" s="14"/>
      <c r="R868" s="14"/>
      <c r="S868" s="14"/>
      <c r="T868" s="14"/>
      <c r="U868" s="18"/>
      <c r="V868" s="18"/>
      <c r="W868" s="18"/>
      <c r="X868" s="18"/>
      <c r="Y868" s="18"/>
      <c r="Z868" s="18"/>
      <c r="AA868" s="18"/>
      <c r="AB868" s="18"/>
      <c r="AC868" s="18"/>
      <c r="AD868" s="18"/>
    </row>
    <row r="869" ht="24.75" customHeight="1">
      <c r="A869" s="19"/>
      <c r="B869" s="18"/>
      <c r="C869" s="18"/>
      <c r="D869" s="18"/>
      <c r="E869" s="18"/>
      <c r="F869" s="18"/>
      <c r="G869" s="14"/>
      <c r="H869" s="14"/>
      <c r="I869" s="14"/>
      <c r="J869" s="14"/>
      <c r="K869" s="14"/>
      <c r="L869" s="14"/>
      <c r="M869" s="18"/>
      <c r="N869" s="14"/>
      <c r="O869" s="14"/>
      <c r="P869" s="14"/>
      <c r="Q869" s="14"/>
      <c r="R869" s="14"/>
      <c r="S869" s="14"/>
      <c r="T869" s="14"/>
      <c r="U869" s="18"/>
      <c r="V869" s="18"/>
      <c r="W869" s="18"/>
      <c r="X869" s="18"/>
      <c r="Y869" s="18"/>
      <c r="Z869" s="18"/>
      <c r="AA869" s="18"/>
      <c r="AB869" s="18"/>
      <c r="AC869" s="18"/>
      <c r="AD869" s="18"/>
    </row>
    <row r="870" ht="24.75" customHeight="1">
      <c r="A870" s="19"/>
      <c r="B870" s="18"/>
      <c r="C870" s="18"/>
      <c r="D870" s="18"/>
      <c r="E870" s="18"/>
      <c r="F870" s="18"/>
      <c r="G870" s="14"/>
      <c r="H870" s="14"/>
      <c r="I870" s="14"/>
      <c r="J870" s="14"/>
      <c r="K870" s="14"/>
      <c r="L870" s="14"/>
      <c r="M870" s="18"/>
      <c r="N870" s="14"/>
      <c r="O870" s="14"/>
      <c r="P870" s="14"/>
      <c r="Q870" s="14"/>
      <c r="R870" s="14"/>
      <c r="S870" s="14"/>
      <c r="T870" s="14"/>
      <c r="U870" s="18"/>
      <c r="V870" s="18"/>
      <c r="W870" s="18"/>
      <c r="X870" s="18"/>
      <c r="Y870" s="18"/>
      <c r="Z870" s="18"/>
      <c r="AA870" s="18"/>
      <c r="AB870" s="18"/>
      <c r="AC870" s="18"/>
      <c r="AD870" s="18"/>
    </row>
    <row r="871" ht="24.75" customHeight="1">
      <c r="A871" s="19"/>
      <c r="B871" s="18"/>
      <c r="C871" s="18"/>
      <c r="D871" s="18"/>
      <c r="E871" s="18"/>
      <c r="F871" s="18"/>
      <c r="G871" s="14"/>
      <c r="H871" s="14"/>
      <c r="I871" s="14"/>
      <c r="J871" s="14"/>
      <c r="K871" s="14"/>
      <c r="L871" s="14"/>
      <c r="M871" s="18"/>
      <c r="N871" s="14"/>
      <c r="O871" s="14"/>
      <c r="P871" s="14"/>
      <c r="Q871" s="14"/>
      <c r="R871" s="14"/>
      <c r="S871" s="14"/>
      <c r="T871" s="14"/>
      <c r="U871" s="18"/>
      <c r="V871" s="18"/>
      <c r="W871" s="18"/>
      <c r="X871" s="18"/>
      <c r="Y871" s="18"/>
      <c r="Z871" s="18"/>
      <c r="AA871" s="18"/>
      <c r="AB871" s="18"/>
      <c r="AC871" s="18"/>
      <c r="AD871" s="18"/>
    </row>
    <row r="872" ht="24.75" customHeight="1">
      <c r="A872" s="19"/>
      <c r="B872" s="18"/>
      <c r="C872" s="18"/>
      <c r="D872" s="18"/>
      <c r="E872" s="18"/>
      <c r="F872" s="18"/>
      <c r="G872" s="14"/>
      <c r="H872" s="14"/>
      <c r="I872" s="14"/>
      <c r="J872" s="14"/>
      <c r="K872" s="14"/>
      <c r="L872" s="14"/>
      <c r="M872" s="18"/>
      <c r="N872" s="14"/>
      <c r="O872" s="14"/>
      <c r="P872" s="14"/>
      <c r="Q872" s="14"/>
      <c r="R872" s="14"/>
      <c r="S872" s="14"/>
      <c r="T872" s="14"/>
      <c r="U872" s="18"/>
      <c r="V872" s="18"/>
      <c r="W872" s="18"/>
      <c r="X872" s="18"/>
      <c r="Y872" s="18"/>
      <c r="Z872" s="18"/>
      <c r="AA872" s="18"/>
      <c r="AB872" s="18"/>
      <c r="AC872" s="18"/>
      <c r="AD872" s="18"/>
    </row>
    <row r="873" ht="24.75" customHeight="1">
      <c r="A873" s="19"/>
      <c r="B873" s="18"/>
      <c r="C873" s="18"/>
      <c r="D873" s="18"/>
      <c r="E873" s="18"/>
      <c r="F873" s="18"/>
      <c r="G873" s="14"/>
      <c r="H873" s="14"/>
      <c r="I873" s="14"/>
      <c r="J873" s="14"/>
      <c r="K873" s="14"/>
      <c r="L873" s="14"/>
      <c r="M873" s="18"/>
      <c r="N873" s="14"/>
      <c r="O873" s="14"/>
      <c r="P873" s="14"/>
      <c r="Q873" s="14"/>
      <c r="R873" s="14"/>
      <c r="S873" s="14"/>
      <c r="T873" s="14"/>
      <c r="U873" s="18"/>
      <c r="V873" s="18"/>
      <c r="W873" s="18"/>
      <c r="X873" s="18"/>
      <c r="Y873" s="18"/>
      <c r="Z873" s="18"/>
      <c r="AA873" s="18"/>
      <c r="AB873" s="18"/>
      <c r="AC873" s="18"/>
      <c r="AD873" s="18"/>
    </row>
    <row r="874" ht="24.75" customHeight="1">
      <c r="A874" s="19"/>
      <c r="B874" s="18"/>
      <c r="C874" s="18"/>
      <c r="D874" s="18"/>
      <c r="E874" s="18"/>
      <c r="F874" s="18"/>
      <c r="G874" s="14"/>
      <c r="H874" s="14"/>
      <c r="I874" s="14"/>
      <c r="J874" s="14"/>
      <c r="K874" s="14"/>
      <c r="L874" s="14"/>
      <c r="M874" s="18"/>
      <c r="N874" s="14"/>
      <c r="O874" s="14"/>
      <c r="P874" s="14"/>
      <c r="Q874" s="14"/>
      <c r="R874" s="14"/>
      <c r="S874" s="14"/>
      <c r="T874" s="14"/>
      <c r="U874" s="18"/>
      <c r="V874" s="18"/>
      <c r="W874" s="18"/>
      <c r="X874" s="18"/>
      <c r="Y874" s="18"/>
      <c r="Z874" s="18"/>
      <c r="AA874" s="18"/>
      <c r="AB874" s="18"/>
      <c r="AC874" s="18"/>
      <c r="AD874" s="18"/>
    </row>
    <row r="875" ht="24.75" customHeight="1">
      <c r="A875" s="19"/>
      <c r="B875" s="18"/>
      <c r="C875" s="18"/>
      <c r="D875" s="18"/>
      <c r="E875" s="18"/>
      <c r="F875" s="18"/>
      <c r="G875" s="14"/>
      <c r="H875" s="14"/>
      <c r="I875" s="14"/>
      <c r="J875" s="14"/>
      <c r="K875" s="14"/>
      <c r="L875" s="14"/>
      <c r="M875" s="18"/>
      <c r="N875" s="14"/>
      <c r="O875" s="14"/>
      <c r="P875" s="14"/>
      <c r="Q875" s="14"/>
      <c r="R875" s="14"/>
      <c r="S875" s="14"/>
      <c r="T875" s="14"/>
      <c r="U875" s="18"/>
      <c r="V875" s="18"/>
      <c r="W875" s="18"/>
      <c r="X875" s="18"/>
      <c r="Y875" s="18"/>
      <c r="Z875" s="18"/>
      <c r="AA875" s="18"/>
      <c r="AB875" s="18"/>
      <c r="AC875" s="18"/>
      <c r="AD875" s="18"/>
    </row>
    <row r="876" ht="24.75" customHeight="1">
      <c r="A876" s="19"/>
      <c r="B876" s="18"/>
      <c r="C876" s="18"/>
      <c r="D876" s="18"/>
      <c r="E876" s="18"/>
      <c r="F876" s="18"/>
      <c r="G876" s="14"/>
      <c r="H876" s="14"/>
      <c r="I876" s="14"/>
      <c r="J876" s="14"/>
      <c r="K876" s="14"/>
      <c r="L876" s="14"/>
      <c r="M876" s="18"/>
      <c r="N876" s="14"/>
      <c r="O876" s="14"/>
      <c r="P876" s="14"/>
      <c r="Q876" s="14"/>
      <c r="R876" s="14"/>
      <c r="S876" s="14"/>
      <c r="T876" s="14"/>
      <c r="U876" s="18"/>
      <c r="V876" s="18"/>
      <c r="W876" s="18"/>
      <c r="X876" s="18"/>
      <c r="Y876" s="18"/>
      <c r="Z876" s="18"/>
      <c r="AA876" s="18"/>
      <c r="AB876" s="18"/>
      <c r="AC876" s="18"/>
      <c r="AD876" s="18"/>
    </row>
    <row r="877" ht="24.75" customHeight="1">
      <c r="A877" s="19"/>
      <c r="B877" s="18"/>
      <c r="C877" s="18"/>
      <c r="D877" s="18"/>
      <c r="E877" s="18"/>
      <c r="F877" s="18"/>
      <c r="G877" s="14"/>
      <c r="H877" s="14"/>
      <c r="I877" s="14"/>
      <c r="J877" s="14"/>
      <c r="K877" s="14"/>
      <c r="L877" s="14"/>
      <c r="M877" s="18"/>
      <c r="N877" s="14"/>
      <c r="O877" s="14"/>
      <c r="P877" s="14"/>
      <c r="Q877" s="14"/>
      <c r="R877" s="14"/>
      <c r="S877" s="14"/>
      <c r="T877" s="14"/>
      <c r="U877" s="18"/>
      <c r="V877" s="18"/>
      <c r="W877" s="18"/>
      <c r="X877" s="18"/>
      <c r="Y877" s="18"/>
      <c r="Z877" s="18"/>
      <c r="AA877" s="18"/>
      <c r="AB877" s="18"/>
      <c r="AC877" s="18"/>
      <c r="AD877" s="18"/>
    </row>
    <row r="878" ht="24.75" customHeight="1">
      <c r="A878" s="19"/>
      <c r="B878" s="18"/>
      <c r="C878" s="18"/>
      <c r="D878" s="18"/>
      <c r="E878" s="18"/>
      <c r="F878" s="18"/>
      <c r="G878" s="14"/>
      <c r="H878" s="14"/>
      <c r="I878" s="14"/>
      <c r="J878" s="14"/>
      <c r="K878" s="14"/>
      <c r="L878" s="14"/>
      <c r="M878" s="18"/>
      <c r="N878" s="14"/>
      <c r="O878" s="14"/>
      <c r="P878" s="14"/>
      <c r="Q878" s="14"/>
      <c r="R878" s="14"/>
      <c r="S878" s="14"/>
      <c r="T878" s="14"/>
      <c r="U878" s="18"/>
      <c r="V878" s="18"/>
      <c r="W878" s="18"/>
      <c r="X878" s="18"/>
      <c r="Y878" s="18"/>
      <c r="Z878" s="18"/>
      <c r="AA878" s="18"/>
      <c r="AB878" s="18"/>
      <c r="AC878" s="18"/>
      <c r="AD878" s="18"/>
    </row>
    <row r="879" ht="24.75" customHeight="1">
      <c r="A879" s="19"/>
      <c r="B879" s="18"/>
      <c r="C879" s="18"/>
      <c r="D879" s="18"/>
      <c r="E879" s="18"/>
      <c r="F879" s="18"/>
      <c r="G879" s="14"/>
      <c r="H879" s="14"/>
      <c r="I879" s="14"/>
      <c r="J879" s="14"/>
      <c r="K879" s="14"/>
      <c r="L879" s="14"/>
      <c r="M879" s="18"/>
      <c r="N879" s="14"/>
      <c r="O879" s="14"/>
      <c r="P879" s="14"/>
      <c r="Q879" s="14"/>
      <c r="R879" s="14"/>
      <c r="S879" s="14"/>
      <c r="T879" s="14"/>
      <c r="U879" s="18"/>
      <c r="V879" s="18"/>
      <c r="W879" s="18"/>
      <c r="X879" s="18"/>
      <c r="Y879" s="18"/>
      <c r="Z879" s="18"/>
      <c r="AA879" s="18"/>
      <c r="AB879" s="18"/>
      <c r="AC879" s="18"/>
      <c r="AD879" s="18"/>
    </row>
    <row r="880" ht="24.75" customHeight="1">
      <c r="A880" s="19"/>
      <c r="B880" s="18"/>
      <c r="C880" s="18"/>
      <c r="D880" s="18"/>
      <c r="E880" s="18"/>
      <c r="F880" s="18"/>
      <c r="G880" s="14"/>
      <c r="H880" s="14"/>
      <c r="I880" s="14"/>
      <c r="J880" s="14"/>
      <c r="K880" s="14"/>
      <c r="L880" s="14"/>
      <c r="M880" s="18"/>
      <c r="N880" s="14"/>
      <c r="O880" s="14"/>
      <c r="P880" s="14"/>
      <c r="Q880" s="14"/>
      <c r="R880" s="14"/>
      <c r="S880" s="14"/>
      <c r="T880" s="14"/>
      <c r="U880" s="18"/>
      <c r="V880" s="18"/>
      <c r="W880" s="18"/>
      <c r="X880" s="18"/>
      <c r="Y880" s="18"/>
      <c r="Z880" s="18"/>
      <c r="AA880" s="18"/>
      <c r="AB880" s="18"/>
      <c r="AC880" s="18"/>
      <c r="AD880" s="18"/>
    </row>
    <row r="881" ht="24.75" customHeight="1">
      <c r="A881" s="19"/>
      <c r="B881" s="18"/>
      <c r="C881" s="18"/>
      <c r="D881" s="18"/>
      <c r="E881" s="18"/>
      <c r="F881" s="18"/>
      <c r="G881" s="14"/>
      <c r="H881" s="14"/>
      <c r="I881" s="14"/>
      <c r="J881" s="14"/>
      <c r="K881" s="14"/>
      <c r="L881" s="14"/>
      <c r="M881" s="18"/>
      <c r="N881" s="14"/>
      <c r="O881" s="14"/>
      <c r="P881" s="14"/>
      <c r="Q881" s="14"/>
      <c r="R881" s="14"/>
      <c r="S881" s="14"/>
      <c r="T881" s="14"/>
      <c r="U881" s="18"/>
      <c r="V881" s="18"/>
      <c r="W881" s="18"/>
      <c r="X881" s="18"/>
      <c r="Y881" s="18"/>
      <c r="Z881" s="18"/>
      <c r="AA881" s="18"/>
      <c r="AB881" s="18"/>
      <c r="AC881" s="18"/>
      <c r="AD881" s="18"/>
    </row>
    <row r="882" ht="24.75" customHeight="1">
      <c r="A882" s="19"/>
      <c r="B882" s="18"/>
      <c r="C882" s="18"/>
      <c r="D882" s="18"/>
      <c r="E882" s="18"/>
      <c r="F882" s="18"/>
      <c r="G882" s="14"/>
      <c r="H882" s="14"/>
      <c r="I882" s="14"/>
      <c r="J882" s="14"/>
      <c r="K882" s="14"/>
      <c r="L882" s="14"/>
      <c r="M882" s="18"/>
      <c r="N882" s="14"/>
      <c r="O882" s="14"/>
      <c r="P882" s="14"/>
      <c r="Q882" s="14"/>
      <c r="R882" s="14"/>
      <c r="S882" s="14"/>
      <c r="T882" s="14"/>
      <c r="U882" s="18"/>
      <c r="V882" s="18"/>
      <c r="W882" s="18"/>
      <c r="X882" s="18"/>
      <c r="Y882" s="18"/>
      <c r="Z882" s="18"/>
      <c r="AA882" s="18"/>
      <c r="AB882" s="18"/>
      <c r="AC882" s="18"/>
      <c r="AD882" s="18"/>
    </row>
    <row r="883" ht="24.75" customHeight="1">
      <c r="A883" s="19"/>
      <c r="B883" s="18"/>
      <c r="C883" s="18"/>
      <c r="D883" s="18"/>
      <c r="E883" s="18"/>
      <c r="F883" s="18"/>
      <c r="G883" s="14"/>
      <c r="H883" s="14"/>
      <c r="I883" s="14"/>
      <c r="J883" s="14"/>
      <c r="K883" s="14"/>
      <c r="L883" s="14"/>
      <c r="M883" s="18"/>
      <c r="N883" s="14"/>
      <c r="O883" s="14"/>
      <c r="P883" s="14"/>
      <c r="Q883" s="14"/>
      <c r="R883" s="14"/>
      <c r="S883" s="14"/>
      <c r="T883" s="14"/>
      <c r="U883" s="18"/>
      <c r="V883" s="18"/>
      <c r="W883" s="18"/>
      <c r="X883" s="18"/>
      <c r="Y883" s="18"/>
      <c r="Z883" s="18"/>
      <c r="AA883" s="18"/>
      <c r="AB883" s="18"/>
      <c r="AC883" s="18"/>
      <c r="AD883" s="18"/>
    </row>
    <row r="884" ht="24.75" customHeight="1">
      <c r="A884" s="19"/>
      <c r="B884" s="18"/>
      <c r="C884" s="18"/>
      <c r="D884" s="18"/>
      <c r="E884" s="18"/>
      <c r="F884" s="18"/>
      <c r="G884" s="14"/>
      <c r="H884" s="14"/>
      <c r="I884" s="14"/>
      <c r="J884" s="14"/>
      <c r="K884" s="14"/>
      <c r="L884" s="14"/>
      <c r="M884" s="18"/>
      <c r="N884" s="14"/>
      <c r="O884" s="14"/>
      <c r="P884" s="14"/>
      <c r="Q884" s="14"/>
      <c r="R884" s="14"/>
      <c r="S884" s="14"/>
      <c r="T884" s="14"/>
      <c r="U884" s="18"/>
      <c r="V884" s="18"/>
      <c r="W884" s="18"/>
      <c r="X884" s="18"/>
      <c r="Y884" s="18"/>
      <c r="Z884" s="18"/>
      <c r="AA884" s="18"/>
      <c r="AB884" s="18"/>
      <c r="AC884" s="18"/>
      <c r="AD884" s="18"/>
    </row>
    <row r="885" ht="24.75" customHeight="1">
      <c r="A885" s="19"/>
      <c r="B885" s="18"/>
      <c r="C885" s="18"/>
      <c r="D885" s="18"/>
      <c r="E885" s="18"/>
      <c r="F885" s="18"/>
      <c r="G885" s="14"/>
      <c r="H885" s="14"/>
      <c r="I885" s="14"/>
      <c r="J885" s="14"/>
      <c r="K885" s="14"/>
      <c r="L885" s="14"/>
      <c r="M885" s="18"/>
      <c r="N885" s="14"/>
      <c r="O885" s="14"/>
      <c r="P885" s="14"/>
      <c r="Q885" s="14"/>
      <c r="R885" s="14"/>
      <c r="S885" s="14"/>
      <c r="T885" s="14"/>
      <c r="U885" s="18"/>
      <c r="V885" s="18"/>
      <c r="W885" s="18"/>
      <c r="X885" s="18"/>
      <c r="Y885" s="18"/>
      <c r="Z885" s="18"/>
      <c r="AA885" s="18"/>
      <c r="AB885" s="18"/>
      <c r="AC885" s="18"/>
      <c r="AD885" s="18"/>
    </row>
    <row r="886" ht="24.75" customHeight="1">
      <c r="A886" s="19"/>
      <c r="B886" s="18"/>
      <c r="C886" s="18"/>
      <c r="D886" s="18"/>
      <c r="E886" s="18"/>
      <c r="F886" s="18"/>
      <c r="G886" s="14"/>
      <c r="H886" s="14"/>
      <c r="I886" s="14"/>
      <c r="J886" s="14"/>
      <c r="K886" s="14"/>
      <c r="L886" s="14"/>
      <c r="M886" s="18"/>
      <c r="N886" s="14"/>
      <c r="O886" s="14"/>
      <c r="P886" s="14"/>
      <c r="Q886" s="14"/>
      <c r="R886" s="14"/>
      <c r="S886" s="14"/>
      <c r="T886" s="14"/>
      <c r="U886" s="18"/>
      <c r="V886" s="18"/>
      <c r="W886" s="18"/>
      <c r="X886" s="18"/>
      <c r="Y886" s="18"/>
      <c r="Z886" s="18"/>
      <c r="AA886" s="18"/>
      <c r="AB886" s="18"/>
      <c r="AC886" s="18"/>
      <c r="AD886" s="18"/>
    </row>
    <row r="887" ht="24.75" customHeight="1">
      <c r="A887" s="19"/>
      <c r="B887" s="18"/>
      <c r="C887" s="18"/>
      <c r="D887" s="18"/>
      <c r="E887" s="18"/>
      <c r="F887" s="18"/>
      <c r="G887" s="14"/>
      <c r="H887" s="14"/>
      <c r="I887" s="14"/>
      <c r="J887" s="14"/>
      <c r="K887" s="14"/>
      <c r="L887" s="14"/>
      <c r="M887" s="18"/>
      <c r="N887" s="14"/>
      <c r="O887" s="14"/>
      <c r="P887" s="14"/>
      <c r="Q887" s="14"/>
      <c r="R887" s="14"/>
      <c r="S887" s="14"/>
      <c r="T887" s="14"/>
      <c r="U887" s="18"/>
      <c r="V887" s="18"/>
      <c r="W887" s="18"/>
      <c r="X887" s="18"/>
      <c r="Y887" s="18"/>
      <c r="Z887" s="18"/>
      <c r="AA887" s="18"/>
      <c r="AB887" s="18"/>
      <c r="AC887" s="18"/>
      <c r="AD887" s="18"/>
    </row>
    <row r="888" ht="24.75" customHeight="1">
      <c r="A888" s="19"/>
      <c r="B888" s="18"/>
      <c r="C888" s="18"/>
      <c r="D888" s="18"/>
      <c r="E888" s="18"/>
      <c r="F888" s="18"/>
      <c r="G888" s="14"/>
      <c r="H888" s="14"/>
      <c r="I888" s="14"/>
      <c r="J888" s="14"/>
      <c r="K888" s="14"/>
      <c r="L888" s="14"/>
      <c r="M888" s="18"/>
      <c r="N888" s="14"/>
      <c r="O888" s="14"/>
      <c r="P888" s="14"/>
      <c r="Q888" s="14"/>
      <c r="R888" s="14"/>
      <c r="S888" s="14"/>
      <c r="T888" s="14"/>
      <c r="U888" s="18"/>
      <c r="V888" s="18"/>
      <c r="W888" s="18"/>
      <c r="X888" s="18"/>
      <c r="Y888" s="18"/>
      <c r="Z888" s="18"/>
      <c r="AA888" s="18"/>
      <c r="AB888" s="18"/>
      <c r="AC888" s="18"/>
      <c r="AD888" s="18"/>
    </row>
    <row r="889" ht="24.75" customHeight="1">
      <c r="A889" s="19"/>
      <c r="B889" s="18"/>
      <c r="C889" s="18"/>
      <c r="D889" s="18"/>
      <c r="E889" s="18"/>
      <c r="F889" s="18"/>
      <c r="G889" s="14"/>
      <c r="H889" s="14"/>
      <c r="I889" s="14"/>
      <c r="J889" s="14"/>
      <c r="K889" s="14"/>
      <c r="L889" s="14"/>
      <c r="M889" s="18"/>
      <c r="N889" s="14"/>
      <c r="O889" s="14"/>
      <c r="P889" s="14"/>
      <c r="Q889" s="14"/>
      <c r="R889" s="14"/>
      <c r="S889" s="14"/>
      <c r="T889" s="14"/>
      <c r="U889" s="18"/>
      <c r="V889" s="18"/>
      <c r="W889" s="18"/>
      <c r="X889" s="18"/>
      <c r="Y889" s="18"/>
      <c r="Z889" s="18"/>
      <c r="AA889" s="18"/>
      <c r="AB889" s="18"/>
      <c r="AC889" s="18"/>
      <c r="AD889" s="18"/>
    </row>
    <row r="890" ht="24.75" customHeight="1">
      <c r="A890" s="19"/>
      <c r="B890" s="18"/>
      <c r="C890" s="18"/>
      <c r="D890" s="18"/>
      <c r="E890" s="18"/>
      <c r="F890" s="18"/>
      <c r="G890" s="14"/>
      <c r="H890" s="14"/>
      <c r="I890" s="14"/>
      <c r="J890" s="14"/>
      <c r="K890" s="14"/>
      <c r="L890" s="14"/>
      <c r="M890" s="18"/>
      <c r="N890" s="14"/>
      <c r="O890" s="14"/>
      <c r="P890" s="14"/>
      <c r="Q890" s="14"/>
      <c r="R890" s="14"/>
      <c r="S890" s="14"/>
      <c r="T890" s="14"/>
      <c r="U890" s="18"/>
      <c r="V890" s="18"/>
      <c r="W890" s="18"/>
      <c r="X890" s="18"/>
      <c r="Y890" s="18"/>
      <c r="Z890" s="18"/>
      <c r="AA890" s="18"/>
      <c r="AB890" s="18"/>
      <c r="AC890" s="18"/>
      <c r="AD890" s="18"/>
    </row>
    <row r="891" ht="24.75" customHeight="1">
      <c r="A891" s="19"/>
      <c r="B891" s="18"/>
      <c r="C891" s="18"/>
      <c r="D891" s="18"/>
      <c r="E891" s="18"/>
      <c r="F891" s="18"/>
      <c r="G891" s="14"/>
      <c r="H891" s="14"/>
      <c r="I891" s="14"/>
      <c r="J891" s="14"/>
      <c r="K891" s="14"/>
      <c r="L891" s="14"/>
      <c r="M891" s="18"/>
      <c r="N891" s="14"/>
      <c r="O891" s="14"/>
      <c r="P891" s="14"/>
      <c r="Q891" s="14"/>
      <c r="R891" s="14"/>
      <c r="S891" s="14"/>
      <c r="T891" s="14"/>
      <c r="U891" s="18"/>
      <c r="V891" s="18"/>
      <c r="W891" s="18"/>
      <c r="X891" s="18"/>
      <c r="Y891" s="18"/>
      <c r="Z891" s="18"/>
      <c r="AA891" s="18"/>
      <c r="AB891" s="18"/>
      <c r="AC891" s="18"/>
      <c r="AD891" s="18"/>
    </row>
    <row r="892" ht="24.75" customHeight="1">
      <c r="A892" s="19"/>
      <c r="B892" s="18"/>
      <c r="C892" s="18"/>
      <c r="D892" s="18"/>
      <c r="E892" s="18"/>
      <c r="F892" s="18"/>
      <c r="G892" s="14"/>
      <c r="H892" s="14"/>
      <c r="I892" s="14"/>
      <c r="J892" s="14"/>
      <c r="K892" s="14"/>
      <c r="L892" s="14"/>
      <c r="M892" s="18"/>
      <c r="N892" s="14"/>
      <c r="O892" s="14"/>
      <c r="P892" s="14"/>
      <c r="Q892" s="14"/>
      <c r="R892" s="14"/>
      <c r="S892" s="14"/>
      <c r="T892" s="14"/>
      <c r="U892" s="18"/>
      <c r="V892" s="18"/>
      <c r="W892" s="18"/>
      <c r="X892" s="18"/>
      <c r="Y892" s="18"/>
      <c r="Z892" s="18"/>
      <c r="AA892" s="18"/>
      <c r="AB892" s="18"/>
      <c r="AC892" s="18"/>
      <c r="AD892" s="18"/>
    </row>
    <row r="893" ht="24.75" customHeight="1">
      <c r="A893" s="19"/>
      <c r="B893" s="18"/>
      <c r="C893" s="18"/>
      <c r="D893" s="18"/>
      <c r="E893" s="18"/>
      <c r="F893" s="18"/>
      <c r="G893" s="14"/>
      <c r="H893" s="14"/>
      <c r="I893" s="14"/>
      <c r="J893" s="14"/>
      <c r="K893" s="14"/>
      <c r="L893" s="14"/>
      <c r="M893" s="18"/>
      <c r="N893" s="14"/>
      <c r="O893" s="14"/>
      <c r="P893" s="14"/>
      <c r="Q893" s="14"/>
      <c r="R893" s="14"/>
      <c r="S893" s="14"/>
      <c r="T893" s="14"/>
      <c r="U893" s="18"/>
      <c r="V893" s="18"/>
      <c r="W893" s="18"/>
      <c r="X893" s="18"/>
      <c r="Y893" s="18"/>
      <c r="Z893" s="18"/>
      <c r="AA893" s="18"/>
      <c r="AB893" s="18"/>
      <c r="AC893" s="18"/>
      <c r="AD893" s="18"/>
    </row>
    <row r="894" ht="24.75" customHeight="1">
      <c r="A894" s="19"/>
      <c r="B894" s="18"/>
      <c r="C894" s="18"/>
      <c r="D894" s="18"/>
      <c r="E894" s="18"/>
      <c r="F894" s="18"/>
      <c r="G894" s="14"/>
      <c r="H894" s="14"/>
      <c r="I894" s="14"/>
      <c r="J894" s="14"/>
      <c r="K894" s="14"/>
      <c r="L894" s="14"/>
      <c r="M894" s="18"/>
      <c r="N894" s="14"/>
      <c r="O894" s="14"/>
      <c r="P894" s="14"/>
      <c r="Q894" s="14"/>
      <c r="R894" s="14"/>
      <c r="S894" s="14"/>
      <c r="T894" s="14"/>
      <c r="U894" s="18"/>
      <c r="V894" s="18"/>
      <c r="W894" s="18"/>
      <c r="X894" s="18"/>
      <c r="Y894" s="18"/>
      <c r="Z894" s="18"/>
      <c r="AA894" s="18"/>
      <c r="AB894" s="18"/>
      <c r="AC894" s="18"/>
      <c r="AD894" s="18"/>
    </row>
    <row r="895" ht="24.75" customHeight="1">
      <c r="A895" s="19"/>
      <c r="B895" s="18"/>
      <c r="C895" s="18"/>
      <c r="D895" s="18"/>
      <c r="E895" s="18"/>
      <c r="F895" s="18"/>
      <c r="G895" s="14"/>
      <c r="H895" s="14"/>
      <c r="I895" s="14"/>
      <c r="J895" s="14"/>
      <c r="K895" s="14"/>
      <c r="L895" s="14"/>
      <c r="M895" s="18"/>
      <c r="N895" s="14"/>
      <c r="O895" s="14"/>
      <c r="P895" s="14"/>
      <c r="Q895" s="14"/>
      <c r="R895" s="14"/>
      <c r="S895" s="14"/>
      <c r="T895" s="14"/>
      <c r="U895" s="18"/>
      <c r="V895" s="18"/>
      <c r="W895" s="18"/>
      <c r="X895" s="18"/>
      <c r="Y895" s="18"/>
      <c r="Z895" s="18"/>
      <c r="AA895" s="18"/>
      <c r="AB895" s="18"/>
      <c r="AC895" s="18"/>
      <c r="AD895" s="18"/>
    </row>
    <row r="896" ht="24.75" customHeight="1">
      <c r="A896" s="19"/>
      <c r="B896" s="18"/>
      <c r="C896" s="18"/>
      <c r="D896" s="18"/>
      <c r="E896" s="18"/>
      <c r="F896" s="18"/>
      <c r="G896" s="14"/>
      <c r="H896" s="14"/>
      <c r="I896" s="14"/>
      <c r="J896" s="14"/>
      <c r="K896" s="14"/>
      <c r="L896" s="14"/>
      <c r="M896" s="18"/>
      <c r="N896" s="14"/>
      <c r="O896" s="14"/>
      <c r="P896" s="14"/>
      <c r="Q896" s="14"/>
      <c r="R896" s="14"/>
      <c r="S896" s="14"/>
      <c r="T896" s="14"/>
      <c r="U896" s="18"/>
      <c r="V896" s="18"/>
      <c r="W896" s="18"/>
      <c r="X896" s="18"/>
      <c r="Y896" s="18"/>
      <c r="Z896" s="18"/>
      <c r="AA896" s="18"/>
      <c r="AB896" s="18"/>
      <c r="AC896" s="18"/>
      <c r="AD896" s="18"/>
    </row>
    <row r="897" ht="24.75" customHeight="1">
      <c r="A897" s="19"/>
      <c r="B897" s="18"/>
      <c r="C897" s="18"/>
      <c r="D897" s="18"/>
      <c r="E897" s="18"/>
      <c r="F897" s="18"/>
      <c r="G897" s="14"/>
      <c r="H897" s="14"/>
      <c r="I897" s="14"/>
      <c r="J897" s="14"/>
      <c r="K897" s="14"/>
      <c r="L897" s="14"/>
      <c r="M897" s="18"/>
      <c r="N897" s="14"/>
      <c r="O897" s="14"/>
      <c r="P897" s="14"/>
      <c r="Q897" s="14"/>
      <c r="R897" s="14"/>
      <c r="S897" s="14"/>
      <c r="T897" s="14"/>
      <c r="U897" s="18"/>
      <c r="V897" s="18"/>
      <c r="W897" s="18"/>
      <c r="X897" s="18"/>
      <c r="Y897" s="18"/>
      <c r="Z897" s="18"/>
      <c r="AA897" s="18"/>
      <c r="AB897" s="18"/>
      <c r="AC897" s="18"/>
      <c r="AD897" s="18"/>
    </row>
    <row r="898" ht="24.75" customHeight="1">
      <c r="A898" s="19"/>
      <c r="B898" s="18"/>
      <c r="C898" s="18"/>
      <c r="D898" s="18"/>
      <c r="E898" s="18"/>
      <c r="F898" s="18"/>
      <c r="G898" s="14"/>
      <c r="H898" s="14"/>
      <c r="I898" s="14"/>
      <c r="J898" s="14"/>
      <c r="K898" s="14"/>
      <c r="L898" s="14"/>
      <c r="M898" s="18"/>
      <c r="N898" s="14"/>
      <c r="O898" s="14"/>
      <c r="P898" s="14"/>
      <c r="Q898" s="14"/>
      <c r="R898" s="14"/>
      <c r="S898" s="14"/>
      <c r="T898" s="14"/>
      <c r="U898" s="18"/>
      <c r="V898" s="18"/>
      <c r="W898" s="18"/>
      <c r="X898" s="18"/>
      <c r="Y898" s="18"/>
      <c r="Z898" s="18"/>
      <c r="AA898" s="18"/>
      <c r="AB898" s="18"/>
      <c r="AC898" s="18"/>
      <c r="AD898" s="18"/>
    </row>
    <row r="899" ht="24.75" customHeight="1">
      <c r="A899" s="19"/>
      <c r="B899" s="18"/>
      <c r="C899" s="18"/>
      <c r="D899" s="18"/>
      <c r="E899" s="18"/>
      <c r="F899" s="18"/>
      <c r="G899" s="14"/>
      <c r="H899" s="14"/>
      <c r="I899" s="14"/>
      <c r="J899" s="14"/>
      <c r="K899" s="14"/>
      <c r="L899" s="14"/>
      <c r="M899" s="18"/>
      <c r="N899" s="14"/>
      <c r="O899" s="14"/>
      <c r="P899" s="14"/>
      <c r="Q899" s="14"/>
      <c r="R899" s="14"/>
      <c r="S899" s="14"/>
      <c r="T899" s="14"/>
      <c r="U899" s="18"/>
      <c r="V899" s="18"/>
      <c r="W899" s="18"/>
      <c r="X899" s="18"/>
      <c r="Y899" s="18"/>
      <c r="Z899" s="18"/>
      <c r="AA899" s="18"/>
      <c r="AB899" s="18"/>
      <c r="AC899" s="18"/>
      <c r="AD899" s="18"/>
    </row>
    <row r="900" ht="24.75" customHeight="1">
      <c r="A900" s="19"/>
      <c r="B900" s="18"/>
      <c r="C900" s="18"/>
      <c r="D900" s="18"/>
      <c r="E900" s="18"/>
      <c r="F900" s="18"/>
      <c r="G900" s="14"/>
      <c r="H900" s="14"/>
      <c r="I900" s="14"/>
      <c r="J900" s="14"/>
      <c r="K900" s="14"/>
      <c r="L900" s="14"/>
      <c r="M900" s="18"/>
      <c r="N900" s="14"/>
      <c r="O900" s="14"/>
      <c r="P900" s="14"/>
      <c r="Q900" s="14"/>
      <c r="R900" s="14"/>
      <c r="S900" s="14"/>
      <c r="T900" s="14"/>
      <c r="U900" s="18"/>
      <c r="V900" s="18"/>
      <c r="W900" s="18"/>
      <c r="X900" s="18"/>
      <c r="Y900" s="18"/>
      <c r="Z900" s="18"/>
      <c r="AA900" s="18"/>
      <c r="AB900" s="18"/>
      <c r="AC900" s="18"/>
      <c r="AD900" s="18"/>
    </row>
    <row r="901" ht="24.75" customHeight="1">
      <c r="A901" s="19"/>
      <c r="B901" s="18"/>
      <c r="C901" s="18"/>
      <c r="D901" s="18"/>
      <c r="E901" s="18"/>
      <c r="F901" s="18"/>
      <c r="G901" s="14"/>
      <c r="H901" s="14"/>
      <c r="I901" s="14"/>
      <c r="J901" s="14"/>
      <c r="K901" s="14"/>
      <c r="L901" s="14"/>
      <c r="M901" s="18"/>
      <c r="N901" s="14"/>
      <c r="O901" s="14"/>
      <c r="P901" s="14"/>
      <c r="Q901" s="14"/>
      <c r="R901" s="14"/>
      <c r="S901" s="14"/>
      <c r="T901" s="14"/>
      <c r="U901" s="18"/>
      <c r="V901" s="18"/>
      <c r="W901" s="18"/>
      <c r="X901" s="18"/>
      <c r="Y901" s="18"/>
      <c r="Z901" s="18"/>
      <c r="AA901" s="18"/>
      <c r="AB901" s="18"/>
      <c r="AC901" s="18"/>
      <c r="AD901" s="18"/>
    </row>
    <row r="902" ht="24.75" customHeight="1">
      <c r="A902" s="19"/>
      <c r="B902" s="18"/>
      <c r="C902" s="18"/>
      <c r="D902" s="18"/>
      <c r="E902" s="18"/>
      <c r="F902" s="18"/>
      <c r="G902" s="14"/>
      <c r="H902" s="14"/>
      <c r="I902" s="14"/>
      <c r="J902" s="14"/>
      <c r="K902" s="14"/>
      <c r="L902" s="14"/>
      <c r="M902" s="18"/>
      <c r="N902" s="14"/>
      <c r="O902" s="14"/>
      <c r="P902" s="14"/>
      <c r="Q902" s="14"/>
      <c r="R902" s="14"/>
      <c r="S902" s="14"/>
      <c r="T902" s="14"/>
      <c r="U902" s="18"/>
      <c r="V902" s="18"/>
      <c r="W902" s="18"/>
      <c r="X902" s="18"/>
      <c r="Y902" s="18"/>
      <c r="Z902" s="18"/>
      <c r="AA902" s="18"/>
      <c r="AB902" s="18"/>
      <c r="AC902" s="18"/>
      <c r="AD902" s="18"/>
    </row>
    <row r="903" ht="24.75" customHeight="1">
      <c r="A903" s="19"/>
      <c r="B903" s="18"/>
      <c r="C903" s="18"/>
      <c r="D903" s="18"/>
      <c r="E903" s="18"/>
      <c r="F903" s="18"/>
      <c r="G903" s="14"/>
      <c r="H903" s="14"/>
      <c r="I903" s="14"/>
      <c r="J903" s="14"/>
      <c r="K903" s="14"/>
      <c r="L903" s="14"/>
      <c r="M903" s="18"/>
      <c r="N903" s="14"/>
      <c r="O903" s="14"/>
      <c r="P903" s="14"/>
      <c r="Q903" s="14"/>
      <c r="R903" s="14"/>
      <c r="S903" s="14"/>
      <c r="T903" s="14"/>
      <c r="U903" s="18"/>
      <c r="V903" s="18"/>
      <c r="W903" s="18"/>
      <c r="X903" s="18"/>
      <c r="Y903" s="18"/>
      <c r="Z903" s="18"/>
      <c r="AA903" s="18"/>
      <c r="AB903" s="18"/>
      <c r="AC903" s="18"/>
      <c r="AD903" s="18"/>
    </row>
    <row r="904" ht="24.75" customHeight="1">
      <c r="A904" s="19"/>
      <c r="B904" s="18"/>
      <c r="C904" s="18"/>
      <c r="D904" s="18"/>
      <c r="E904" s="18"/>
      <c r="F904" s="18"/>
      <c r="G904" s="14"/>
      <c r="H904" s="14"/>
      <c r="I904" s="14"/>
      <c r="J904" s="14"/>
      <c r="K904" s="14"/>
      <c r="L904" s="14"/>
      <c r="M904" s="18"/>
      <c r="N904" s="14"/>
      <c r="O904" s="14"/>
      <c r="P904" s="14"/>
      <c r="Q904" s="14"/>
      <c r="R904" s="14"/>
      <c r="S904" s="14"/>
      <c r="T904" s="14"/>
      <c r="U904" s="18"/>
      <c r="V904" s="18"/>
      <c r="W904" s="18"/>
      <c r="X904" s="18"/>
      <c r="Y904" s="18"/>
      <c r="Z904" s="18"/>
      <c r="AA904" s="18"/>
      <c r="AB904" s="18"/>
      <c r="AC904" s="18"/>
      <c r="AD904" s="18"/>
    </row>
    <row r="905" ht="24.75" customHeight="1">
      <c r="A905" s="19"/>
      <c r="B905" s="18"/>
      <c r="C905" s="18"/>
      <c r="D905" s="18"/>
      <c r="E905" s="18"/>
      <c r="F905" s="18"/>
      <c r="G905" s="14"/>
      <c r="H905" s="14"/>
      <c r="I905" s="14"/>
      <c r="J905" s="14"/>
      <c r="K905" s="14"/>
      <c r="L905" s="14"/>
      <c r="M905" s="18"/>
      <c r="N905" s="14"/>
      <c r="O905" s="14"/>
      <c r="P905" s="14"/>
      <c r="Q905" s="14"/>
      <c r="R905" s="14"/>
      <c r="S905" s="14"/>
      <c r="T905" s="14"/>
      <c r="U905" s="18"/>
      <c r="V905" s="18"/>
      <c r="W905" s="18"/>
      <c r="X905" s="18"/>
      <c r="Y905" s="18"/>
      <c r="Z905" s="18"/>
      <c r="AA905" s="18"/>
      <c r="AB905" s="18"/>
      <c r="AC905" s="18"/>
      <c r="AD905" s="18"/>
    </row>
    <row r="906" ht="24.75" customHeight="1">
      <c r="A906" s="19"/>
      <c r="B906" s="18"/>
      <c r="C906" s="18"/>
      <c r="D906" s="18"/>
      <c r="E906" s="18"/>
      <c r="F906" s="18"/>
      <c r="G906" s="14"/>
      <c r="H906" s="14"/>
      <c r="I906" s="14"/>
      <c r="J906" s="14"/>
      <c r="K906" s="14"/>
      <c r="L906" s="14"/>
      <c r="M906" s="18"/>
      <c r="N906" s="14"/>
      <c r="O906" s="14"/>
      <c r="P906" s="14"/>
      <c r="Q906" s="14"/>
      <c r="R906" s="14"/>
      <c r="S906" s="14"/>
      <c r="T906" s="14"/>
      <c r="U906" s="18"/>
      <c r="V906" s="18"/>
      <c r="W906" s="18"/>
      <c r="X906" s="18"/>
      <c r="Y906" s="18"/>
      <c r="Z906" s="18"/>
      <c r="AA906" s="18"/>
      <c r="AB906" s="18"/>
      <c r="AC906" s="18"/>
      <c r="AD906" s="18"/>
    </row>
    <row r="907" ht="24.75" customHeight="1">
      <c r="A907" s="19"/>
      <c r="B907" s="18"/>
      <c r="C907" s="18"/>
      <c r="D907" s="18"/>
      <c r="E907" s="18"/>
      <c r="F907" s="18"/>
      <c r="G907" s="14"/>
      <c r="H907" s="14"/>
      <c r="I907" s="14"/>
      <c r="J907" s="14"/>
      <c r="K907" s="14"/>
      <c r="L907" s="14"/>
      <c r="M907" s="18"/>
      <c r="N907" s="14"/>
      <c r="O907" s="14"/>
      <c r="P907" s="14"/>
      <c r="Q907" s="14"/>
      <c r="R907" s="14"/>
      <c r="S907" s="14"/>
      <c r="T907" s="14"/>
      <c r="U907" s="18"/>
      <c r="V907" s="18"/>
      <c r="W907" s="18"/>
      <c r="X907" s="18"/>
      <c r="Y907" s="18"/>
      <c r="Z907" s="18"/>
      <c r="AA907" s="18"/>
      <c r="AB907" s="18"/>
      <c r="AC907" s="18"/>
      <c r="AD907" s="18"/>
    </row>
    <row r="908" ht="24.75" customHeight="1">
      <c r="A908" s="19"/>
      <c r="B908" s="18"/>
      <c r="C908" s="18"/>
      <c r="D908" s="18"/>
      <c r="E908" s="18"/>
      <c r="F908" s="18"/>
      <c r="G908" s="14"/>
      <c r="H908" s="14"/>
      <c r="I908" s="14"/>
      <c r="J908" s="14"/>
      <c r="K908" s="14"/>
      <c r="L908" s="14"/>
      <c r="M908" s="18"/>
      <c r="N908" s="14"/>
      <c r="O908" s="14"/>
      <c r="P908" s="14"/>
      <c r="Q908" s="14"/>
      <c r="R908" s="14"/>
      <c r="S908" s="14"/>
      <c r="T908" s="14"/>
      <c r="U908" s="18"/>
      <c r="V908" s="18"/>
      <c r="W908" s="18"/>
      <c r="X908" s="18"/>
      <c r="Y908" s="18"/>
      <c r="Z908" s="18"/>
      <c r="AA908" s="18"/>
      <c r="AB908" s="18"/>
      <c r="AC908" s="18"/>
      <c r="AD908" s="18"/>
    </row>
    <row r="909" ht="24.75" customHeight="1">
      <c r="A909" s="19"/>
      <c r="B909" s="18"/>
      <c r="C909" s="18"/>
      <c r="D909" s="18"/>
      <c r="E909" s="18"/>
      <c r="F909" s="18"/>
      <c r="G909" s="14"/>
      <c r="H909" s="14"/>
      <c r="I909" s="14"/>
      <c r="J909" s="14"/>
      <c r="K909" s="14"/>
      <c r="L909" s="14"/>
      <c r="M909" s="18"/>
      <c r="N909" s="14"/>
      <c r="O909" s="14"/>
      <c r="P909" s="14"/>
      <c r="Q909" s="14"/>
      <c r="R909" s="14"/>
      <c r="S909" s="14"/>
      <c r="T909" s="14"/>
      <c r="U909" s="18"/>
      <c r="V909" s="18"/>
      <c r="W909" s="18"/>
      <c r="X909" s="18"/>
      <c r="Y909" s="18"/>
      <c r="Z909" s="18"/>
      <c r="AA909" s="18"/>
      <c r="AB909" s="18"/>
      <c r="AC909" s="18"/>
      <c r="AD909" s="18"/>
    </row>
    <row r="910" ht="24.75" customHeight="1">
      <c r="A910" s="19"/>
      <c r="B910" s="18"/>
      <c r="C910" s="18"/>
      <c r="D910" s="18"/>
      <c r="E910" s="18"/>
      <c r="F910" s="18"/>
      <c r="G910" s="14"/>
      <c r="H910" s="14"/>
      <c r="I910" s="14"/>
      <c r="J910" s="14"/>
      <c r="K910" s="14"/>
      <c r="L910" s="14"/>
      <c r="M910" s="18"/>
      <c r="N910" s="14"/>
      <c r="O910" s="14"/>
      <c r="P910" s="14"/>
      <c r="Q910" s="14"/>
      <c r="R910" s="14"/>
      <c r="S910" s="14"/>
      <c r="T910" s="14"/>
      <c r="U910" s="18"/>
      <c r="V910" s="18"/>
      <c r="W910" s="18"/>
      <c r="X910" s="18"/>
      <c r="Y910" s="18"/>
      <c r="Z910" s="18"/>
      <c r="AA910" s="18"/>
      <c r="AB910" s="18"/>
      <c r="AC910" s="18"/>
      <c r="AD910" s="18"/>
    </row>
    <row r="911" ht="24.75" customHeight="1">
      <c r="A911" s="19"/>
      <c r="B911" s="18"/>
      <c r="C911" s="18"/>
      <c r="D911" s="18"/>
      <c r="E911" s="18"/>
      <c r="F911" s="18"/>
      <c r="G911" s="14"/>
      <c r="H911" s="14"/>
      <c r="I911" s="14"/>
      <c r="J911" s="14"/>
      <c r="K911" s="14"/>
      <c r="L911" s="14"/>
      <c r="M911" s="18"/>
      <c r="N911" s="14"/>
      <c r="O911" s="14"/>
      <c r="P911" s="14"/>
      <c r="Q911" s="14"/>
      <c r="R911" s="14"/>
      <c r="S911" s="14"/>
      <c r="T911" s="14"/>
      <c r="U911" s="18"/>
      <c r="V911" s="18"/>
      <c r="W911" s="18"/>
      <c r="X911" s="18"/>
      <c r="Y911" s="18"/>
      <c r="Z911" s="18"/>
      <c r="AA911" s="18"/>
      <c r="AB911" s="18"/>
      <c r="AC911" s="18"/>
      <c r="AD911" s="18"/>
    </row>
    <row r="912" ht="24.75" customHeight="1">
      <c r="A912" s="19"/>
      <c r="B912" s="18"/>
      <c r="C912" s="18"/>
      <c r="D912" s="18"/>
      <c r="E912" s="18"/>
      <c r="F912" s="18"/>
      <c r="G912" s="14"/>
      <c r="H912" s="14"/>
      <c r="I912" s="14"/>
      <c r="J912" s="14"/>
      <c r="K912" s="14"/>
      <c r="L912" s="14"/>
      <c r="M912" s="18"/>
      <c r="N912" s="14"/>
      <c r="O912" s="14"/>
      <c r="P912" s="14"/>
      <c r="Q912" s="14"/>
      <c r="R912" s="14"/>
      <c r="S912" s="14"/>
      <c r="T912" s="14"/>
      <c r="U912" s="18"/>
      <c r="V912" s="18"/>
      <c r="W912" s="18"/>
      <c r="X912" s="18"/>
      <c r="Y912" s="18"/>
      <c r="Z912" s="18"/>
      <c r="AA912" s="18"/>
      <c r="AB912" s="18"/>
      <c r="AC912" s="18"/>
      <c r="AD912" s="18"/>
    </row>
    <row r="913" ht="24.75" customHeight="1">
      <c r="A913" s="19"/>
      <c r="B913" s="18"/>
      <c r="C913" s="18"/>
      <c r="D913" s="18"/>
      <c r="E913" s="18"/>
      <c r="F913" s="18"/>
      <c r="G913" s="14"/>
      <c r="H913" s="14"/>
      <c r="I913" s="14"/>
      <c r="J913" s="14"/>
      <c r="K913" s="14"/>
      <c r="L913" s="14"/>
      <c r="M913" s="18"/>
      <c r="N913" s="14"/>
      <c r="O913" s="14"/>
      <c r="P913" s="14"/>
      <c r="Q913" s="14"/>
      <c r="R913" s="14"/>
      <c r="S913" s="14"/>
      <c r="T913" s="14"/>
      <c r="U913" s="18"/>
      <c r="V913" s="18"/>
      <c r="W913" s="18"/>
      <c r="X913" s="18"/>
      <c r="Y913" s="18"/>
      <c r="Z913" s="18"/>
      <c r="AA913" s="18"/>
      <c r="AB913" s="18"/>
      <c r="AC913" s="18"/>
      <c r="AD913" s="18"/>
    </row>
    <row r="914" ht="24.75" customHeight="1">
      <c r="A914" s="19"/>
      <c r="B914" s="18"/>
      <c r="C914" s="18"/>
      <c r="D914" s="18"/>
      <c r="E914" s="18"/>
      <c r="F914" s="18"/>
      <c r="G914" s="14"/>
      <c r="H914" s="14"/>
      <c r="I914" s="14"/>
      <c r="J914" s="14"/>
      <c r="K914" s="14"/>
      <c r="L914" s="14"/>
      <c r="M914" s="18"/>
      <c r="N914" s="14"/>
      <c r="O914" s="14"/>
      <c r="P914" s="14"/>
      <c r="Q914" s="14"/>
      <c r="R914" s="14"/>
      <c r="S914" s="14"/>
      <c r="T914" s="14"/>
      <c r="U914" s="18"/>
      <c r="V914" s="18"/>
      <c r="W914" s="18"/>
      <c r="X914" s="18"/>
      <c r="Y914" s="18"/>
      <c r="Z914" s="18"/>
      <c r="AA914" s="18"/>
      <c r="AB914" s="18"/>
      <c r="AC914" s="18"/>
      <c r="AD914" s="18"/>
    </row>
    <row r="915" ht="24.75" customHeight="1">
      <c r="A915" s="19"/>
      <c r="B915" s="18"/>
      <c r="C915" s="18"/>
      <c r="D915" s="18"/>
      <c r="E915" s="18"/>
      <c r="F915" s="18"/>
      <c r="G915" s="14"/>
      <c r="H915" s="14"/>
      <c r="I915" s="14"/>
      <c r="J915" s="14"/>
      <c r="K915" s="14"/>
      <c r="L915" s="14"/>
      <c r="M915" s="18"/>
      <c r="N915" s="14"/>
      <c r="O915" s="14"/>
      <c r="P915" s="14"/>
      <c r="Q915" s="14"/>
      <c r="R915" s="14"/>
      <c r="S915" s="14"/>
      <c r="T915" s="14"/>
      <c r="U915" s="18"/>
      <c r="V915" s="18"/>
      <c r="W915" s="18"/>
      <c r="X915" s="18"/>
      <c r="Y915" s="18"/>
      <c r="Z915" s="18"/>
      <c r="AA915" s="18"/>
      <c r="AB915" s="18"/>
      <c r="AC915" s="18"/>
      <c r="AD915" s="18"/>
    </row>
    <row r="916" ht="24.75" customHeight="1">
      <c r="A916" s="19"/>
      <c r="B916" s="18"/>
      <c r="C916" s="18"/>
      <c r="D916" s="18"/>
      <c r="E916" s="18"/>
      <c r="F916" s="18"/>
      <c r="G916" s="14"/>
      <c r="H916" s="14"/>
      <c r="I916" s="14"/>
      <c r="J916" s="14"/>
      <c r="K916" s="14"/>
      <c r="L916" s="14"/>
      <c r="M916" s="18"/>
      <c r="N916" s="14"/>
      <c r="O916" s="14"/>
      <c r="P916" s="14"/>
      <c r="Q916" s="14"/>
      <c r="R916" s="14"/>
      <c r="S916" s="14"/>
      <c r="T916" s="14"/>
      <c r="U916" s="18"/>
      <c r="V916" s="18"/>
      <c r="W916" s="18"/>
      <c r="X916" s="18"/>
      <c r="Y916" s="18"/>
      <c r="Z916" s="18"/>
      <c r="AA916" s="18"/>
      <c r="AB916" s="18"/>
      <c r="AC916" s="18"/>
      <c r="AD916" s="18"/>
    </row>
    <row r="917" ht="24.75" customHeight="1">
      <c r="A917" s="19"/>
      <c r="B917" s="18"/>
      <c r="C917" s="18"/>
      <c r="D917" s="18"/>
      <c r="E917" s="18"/>
      <c r="F917" s="18"/>
      <c r="G917" s="14"/>
      <c r="H917" s="14"/>
      <c r="I917" s="14"/>
      <c r="J917" s="14"/>
      <c r="K917" s="14"/>
      <c r="L917" s="14"/>
      <c r="M917" s="18"/>
      <c r="N917" s="14"/>
      <c r="O917" s="14"/>
      <c r="P917" s="14"/>
      <c r="Q917" s="14"/>
      <c r="R917" s="14"/>
      <c r="S917" s="14"/>
      <c r="T917" s="14"/>
      <c r="U917" s="18"/>
      <c r="V917" s="18"/>
      <c r="W917" s="18"/>
      <c r="X917" s="18"/>
      <c r="Y917" s="18"/>
      <c r="Z917" s="18"/>
      <c r="AA917" s="18"/>
      <c r="AB917" s="18"/>
      <c r="AC917" s="18"/>
      <c r="AD917" s="18"/>
    </row>
    <row r="918" ht="24.75" customHeight="1">
      <c r="A918" s="19"/>
      <c r="B918" s="18"/>
      <c r="C918" s="18"/>
      <c r="D918" s="18"/>
      <c r="E918" s="18"/>
      <c r="F918" s="18"/>
      <c r="G918" s="14"/>
      <c r="H918" s="14"/>
      <c r="I918" s="14"/>
      <c r="J918" s="14"/>
      <c r="K918" s="14"/>
      <c r="L918" s="14"/>
      <c r="M918" s="18"/>
      <c r="N918" s="14"/>
      <c r="O918" s="14"/>
      <c r="P918" s="14"/>
      <c r="Q918" s="14"/>
      <c r="R918" s="14"/>
      <c r="S918" s="14"/>
      <c r="T918" s="14"/>
      <c r="U918" s="18"/>
      <c r="V918" s="18"/>
      <c r="W918" s="18"/>
      <c r="X918" s="18"/>
      <c r="Y918" s="18"/>
      <c r="Z918" s="18"/>
      <c r="AA918" s="18"/>
      <c r="AB918" s="18"/>
      <c r="AC918" s="18"/>
      <c r="AD918" s="18"/>
    </row>
    <row r="919" ht="24.75" customHeight="1">
      <c r="A919" s="19"/>
      <c r="B919" s="18"/>
      <c r="C919" s="18"/>
      <c r="D919" s="18"/>
      <c r="E919" s="18"/>
      <c r="F919" s="18"/>
      <c r="G919" s="14"/>
      <c r="H919" s="14"/>
      <c r="I919" s="14"/>
      <c r="J919" s="14"/>
      <c r="K919" s="14"/>
      <c r="L919" s="14"/>
      <c r="M919" s="18"/>
      <c r="N919" s="14"/>
      <c r="O919" s="14"/>
      <c r="P919" s="14"/>
      <c r="Q919" s="14"/>
      <c r="R919" s="14"/>
      <c r="S919" s="14"/>
      <c r="T919" s="14"/>
      <c r="U919" s="18"/>
      <c r="V919" s="18"/>
      <c r="W919" s="18"/>
      <c r="X919" s="18"/>
      <c r="Y919" s="18"/>
      <c r="Z919" s="18"/>
      <c r="AA919" s="18"/>
      <c r="AB919" s="18"/>
      <c r="AC919" s="18"/>
      <c r="AD919" s="18"/>
    </row>
    <row r="920" ht="24.75" customHeight="1">
      <c r="A920" s="19"/>
      <c r="B920" s="18"/>
      <c r="C920" s="18"/>
      <c r="D920" s="18"/>
      <c r="E920" s="18"/>
      <c r="F920" s="18"/>
      <c r="G920" s="14"/>
      <c r="H920" s="14"/>
      <c r="I920" s="14"/>
      <c r="J920" s="14"/>
      <c r="K920" s="14"/>
      <c r="L920" s="14"/>
      <c r="M920" s="18"/>
      <c r="N920" s="14"/>
      <c r="O920" s="14"/>
      <c r="P920" s="14"/>
      <c r="Q920" s="14"/>
      <c r="R920" s="14"/>
      <c r="S920" s="14"/>
      <c r="T920" s="14"/>
      <c r="U920" s="18"/>
      <c r="V920" s="18"/>
      <c r="W920" s="18"/>
      <c r="X920" s="18"/>
      <c r="Y920" s="18"/>
      <c r="Z920" s="18"/>
      <c r="AA920" s="18"/>
      <c r="AB920" s="18"/>
      <c r="AC920" s="18"/>
      <c r="AD920" s="18"/>
    </row>
    <row r="921" ht="24.75" customHeight="1">
      <c r="A921" s="19"/>
      <c r="B921" s="18"/>
      <c r="C921" s="18"/>
      <c r="D921" s="18"/>
      <c r="E921" s="18"/>
      <c r="F921" s="18"/>
      <c r="G921" s="14"/>
      <c r="H921" s="14"/>
      <c r="I921" s="14"/>
      <c r="J921" s="14"/>
      <c r="K921" s="14"/>
      <c r="L921" s="14"/>
      <c r="M921" s="18"/>
      <c r="N921" s="14"/>
      <c r="O921" s="14"/>
      <c r="P921" s="14"/>
      <c r="Q921" s="14"/>
      <c r="R921" s="14"/>
      <c r="S921" s="14"/>
      <c r="T921" s="14"/>
      <c r="U921" s="18"/>
      <c r="V921" s="18"/>
      <c r="W921" s="18"/>
      <c r="X921" s="18"/>
      <c r="Y921" s="18"/>
      <c r="Z921" s="18"/>
      <c r="AA921" s="18"/>
      <c r="AB921" s="18"/>
      <c r="AC921" s="18"/>
      <c r="AD921" s="18"/>
    </row>
    <row r="922" ht="24.75" customHeight="1">
      <c r="A922" s="19"/>
      <c r="B922" s="18"/>
      <c r="C922" s="18"/>
      <c r="D922" s="18"/>
      <c r="E922" s="18"/>
      <c r="F922" s="18"/>
      <c r="G922" s="14"/>
      <c r="H922" s="14"/>
      <c r="I922" s="14"/>
      <c r="J922" s="14"/>
      <c r="K922" s="14"/>
      <c r="L922" s="14"/>
      <c r="M922" s="18"/>
      <c r="N922" s="14"/>
      <c r="O922" s="14"/>
      <c r="P922" s="14"/>
      <c r="Q922" s="14"/>
      <c r="R922" s="14"/>
      <c r="S922" s="14"/>
      <c r="T922" s="14"/>
      <c r="U922" s="18"/>
      <c r="V922" s="18"/>
      <c r="W922" s="18"/>
      <c r="X922" s="18"/>
      <c r="Y922" s="18"/>
      <c r="Z922" s="18"/>
      <c r="AA922" s="18"/>
      <c r="AB922" s="18"/>
      <c r="AC922" s="18"/>
      <c r="AD922" s="18"/>
    </row>
    <row r="923" ht="24.75" customHeight="1">
      <c r="A923" s="19"/>
      <c r="B923" s="18"/>
      <c r="C923" s="18"/>
      <c r="D923" s="18"/>
      <c r="E923" s="18"/>
      <c r="F923" s="18"/>
      <c r="G923" s="14"/>
      <c r="H923" s="14"/>
      <c r="I923" s="14"/>
      <c r="J923" s="14"/>
      <c r="K923" s="14"/>
      <c r="L923" s="14"/>
      <c r="M923" s="18"/>
      <c r="N923" s="14"/>
      <c r="O923" s="14"/>
      <c r="P923" s="14"/>
      <c r="Q923" s="14"/>
      <c r="R923" s="14"/>
      <c r="S923" s="14"/>
      <c r="T923" s="14"/>
      <c r="U923" s="18"/>
      <c r="V923" s="18"/>
      <c r="W923" s="18"/>
      <c r="X923" s="18"/>
      <c r="Y923" s="18"/>
      <c r="Z923" s="18"/>
      <c r="AA923" s="18"/>
      <c r="AB923" s="18"/>
      <c r="AC923" s="18"/>
      <c r="AD923" s="18"/>
    </row>
    <row r="924" ht="24.75" customHeight="1">
      <c r="A924" s="19"/>
      <c r="B924" s="18"/>
      <c r="C924" s="18"/>
      <c r="D924" s="18"/>
      <c r="E924" s="18"/>
      <c r="F924" s="18"/>
      <c r="G924" s="14"/>
      <c r="H924" s="14"/>
      <c r="I924" s="14"/>
      <c r="J924" s="14"/>
      <c r="K924" s="14"/>
      <c r="L924" s="14"/>
      <c r="M924" s="18"/>
      <c r="N924" s="14"/>
      <c r="O924" s="14"/>
      <c r="P924" s="14"/>
      <c r="Q924" s="14"/>
      <c r="R924" s="14"/>
      <c r="S924" s="14"/>
      <c r="T924" s="14"/>
      <c r="U924" s="18"/>
      <c r="V924" s="18"/>
      <c r="W924" s="18"/>
      <c r="X924" s="18"/>
      <c r="Y924" s="18"/>
      <c r="Z924" s="18"/>
      <c r="AA924" s="18"/>
      <c r="AB924" s="18"/>
      <c r="AC924" s="18"/>
      <c r="AD924" s="18"/>
    </row>
    <row r="925" ht="24.75" customHeight="1">
      <c r="A925" s="19"/>
      <c r="B925" s="18"/>
      <c r="C925" s="18"/>
      <c r="D925" s="18"/>
      <c r="E925" s="18"/>
      <c r="F925" s="18"/>
      <c r="G925" s="14"/>
      <c r="H925" s="14"/>
      <c r="I925" s="14"/>
      <c r="J925" s="14"/>
      <c r="K925" s="14"/>
      <c r="L925" s="14"/>
      <c r="M925" s="18"/>
      <c r="N925" s="14"/>
      <c r="O925" s="14"/>
      <c r="P925" s="14"/>
      <c r="Q925" s="14"/>
      <c r="R925" s="14"/>
      <c r="S925" s="14"/>
      <c r="T925" s="14"/>
      <c r="U925" s="18"/>
      <c r="V925" s="18"/>
      <c r="W925" s="18"/>
      <c r="X925" s="18"/>
      <c r="Y925" s="18"/>
      <c r="Z925" s="18"/>
      <c r="AA925" s="18"/>
      <c r="AB925" s="18"/>
      <c r="AC925" s="18"/>
      <c r="AD925" s="18"/>
    </row>
    <row r="926" ht="24.75" customHeight="1">
      <c r="A926" s="19"/>
      <c r="B926" s="18"/>
      <c r="C926" s="18"/>
      <c r="D926" s="18"/>
      <c r="E926" s="18"/>
      <c r="F926" s="18"/>
      <c r="G926" s="14"/>
      <c r="H926" s="14"/>
      <c r="I926" s="14"/>
      <c r="J926" s="14"/>
      <c r="K926" s="14"/>
      <c r="L926" s="14"/>
      <c r="M926" s="18"/>
      <c r="N926" s="14"/>
      <c r="O926" s="14"/>
      <c r="P926" s="14"/>
      <c r="Q926" s="14"/>
      <c r="R926" s="14"/>
      <c r="S926" s="14"/>
      <c r="T926" s="14"/>
      <c r="U926" s="18"/>
      <c r="V926" s="18"/>
      <c r="W926" s="18"/>
      <c r="X926" s="18"/>
      <c r="Y926" s="18"/>
      <c r="Z926" s="18"/>
      <c r="AA926" s="18"/>
      <c r="AB926" s="18"/>
      <c r="AC926" s="18"/>
      <c r="AD926" s="18"/>
    </row>
    <row r="927" ht="24.75" customHeight="1">
      <c r="A927" s="19"/>
      <c r="B927" s="18"/>
      <c r="C927" s="18"/>
      <c r="D927" s="18"/>
      <c r="E927" s="18"/>
      <c r="F927" s="18"/>
      <c r="G927" s="14"/>
      <c r="H927" s="14"/>
      <c r="I927" s="14"/>
      <c r="J927" s="14"/>
      <c r="K927" s="14"/>
      <c r="L927" s="14"/>
      <c r="M927" s="18"/>
      <c r="N927" s="14"/>
      <c r="O927" s="14"/>
      <c r="P927" s="14"/>
      <c r="Q927" s="14"/>
      <c r="R927" s="14"/>
      <c r="S927" s="14"/>
      <c r="T927" s="14"/>
      <c r="U927" s="18"/>
      <c r="V927" s="18"/>
      <c r="W927" s="18"/>
      <c r="X927" s="18"/>
      <c r="Y927" s="18"/>
      <c r="Z927" s="18"/>
      <c r="AA927" s="18"/>
      <c r="AB927" s="18"/>
      <c r="AC927" s="18"/>
      <c r="AD927" s="18"/>
    </row>
    <row r="928" ht="24.75" customHeight="1">
      <c r="A928" s="19"/>
      <c r="B928" s="18"/>
      <c r="C928" s="18"/>
      <c r="D928" s="18"/>
      <c r="E928" s="18"/>
      <c r="F928" s="18"/>
      <c r="G928" s="14"/>
      <c r="H928" s="14"/>
      <c r="I928" s="14"/>
      <c r="J928" s="14"/>
      <c r="K928" s="14"/>
      <c r="L928" s="14"/>
      <c r="M928" s="18"/>
      <c r="N928" s="14"/>
      <c r="O928" s="14"/>
      <c r="P928" s="14"/>
      <c r="Q928" s="14"/>
      <c r="R928" s="14"/>
      <c r="S928" s="14"/>
      <c r="T928" s="14"/>
      <c r="U928" s="18"/>
      <c r="V928" s="18"/>
      <c r="W928" s="18"/>
      <c r="X928" s="18"/>
      <c r="Y928" s="18"/>
      <c r="Z928" s="18"/>
      <c r="AA928" s="18"/>
      <c r="AB928" s="18"/>
      <c r="AC928" s="18"/>
      <c r="AD928" s="18"/>
    </row>
    <row r="929" ht="24.75" customHeight="1">
      <c r="A929" s="19"/>
      <c r="B929" s="18"/>
      <c r="C929" s="18"/>
      <c r="D929" s="18"/>
      <c r="E929" s="18"/>
      <c r="F929" s="18"/>
      <c r="G929" s="14"/>
      <c r="H929" s="14"/>
      <c r="I929" s="14"/>
      <c r="J929" s="14"/>
      <c r="K929" s="14"/>
      <c r="L929" s="14"/>
      <c r="M929" s="18"/>
      <c r="N929" s="14"/>
      <c r="O929" s="14"/>
      <c r="P929" s="14"/>
      <c r="Q929" s="14"/>
      <c r="R929" s="14"/>
      <c r="S929" s="14"/>
      <c r="T929" s="14"/>
      <c r="U929" s="18"/>
      <c r="V929" s="18"/>
      <c r="W929" s="18"/>
      <c r="X929" s="18"/>
      <c r="Y929" s="18"/>
      <c r="Z929" s="18"/>
      <c r="AA929" s="18"/>
      <c r="AB929" s="18"/>
      <c r="AC929" s="18"/>
      <c r="AD929" s="18"/>
    </row>
    <row r="930" ht="24.75" customHeight="1">
      <c r="A930" s="19"/>
      <c r="B930" s="18"/>
      <c r="C930" s="18"/>
      <c r="D930" s="18"/>
      <c r="E930" s="18"/>
      <c r="F930" s="18"/>
      <c r="G930" s="14"/>
      <c r="H930" s="14"/>
      <c r="I930" s="14"/>
      <c r="J930" s="14"/>
      <c r="K930" s="14"/>
      <c r="L930" s="14"/>
      <c r="M930" s="18"/>
      <c r="N930" s="14"/>
      <c r="O930" s="14"/>
      <c r="P930" s="14"/>
      <c r="Q930" s="14"/>
      <c r="R930" s="14"/>
      <c r="S930" s="14"/>
      <c r="T930" s="14"/>
      <c r="U930" s="18"/>
      <c r="V930" s="18"/>
      <c r="W930" s="18"/>
      <c r="X930" s="18"/>
      <c r="Y930" s="18"/>
      <c r="Z930" s="18"/>
      <c r="AA930" s="18"/>
      <c r="AB930" s="18"/>
      <c r="AC930" s="18"/>
      <c r="AD930" s="18"/>
    </row>
    <row r="931" ht="24.75" customHeight="1">
      <c r="A931" s="19"/>
      <c r="B931" s="18"/>
      <c r="C931" s="18"/>
      <c r="D931" s="18"/>
      <c r="E931" s="18"/>
      <c r="F931" s="18"/>
      <c r="G931" s="14"/>
      <c r="H931" s="14"/>
      <c r="I931" s="14"/>
      <c r="J931" s="14"/>
      <c r="K931" s="14"/>
      <c r="L931" s="14"/>
      <c r="M931" s="18"/>
      <c r="N931" s="14"/>
      <c r="O931" s="14"/>
      <c r="P931" s="14"/>
      <c r="Q931" s="14"/>
      <c r="R931" s="14"/>
      <c r="S931" s="14"/>
      <c r="T931" s="14"/>
      <c r="U931" s="18"/>
      <c r="V931" s="18"/>
      <c r="W931" s="18"/>
      <c r="X931" s="18"/>
      <c r="Y931" s="18"/>
      <c r="Z931" s="18"/>
      <c r="AA931" s="18"/>
      <c r="AB931" s="18"/>
      <c r="AC931" s="18"/>
      <c r="AD931" s="18"/>
    </row>
    <row r="932" ht="24.75" customHeight="1">
      <c r="A932" s="19"/>
      <c r="B932" s="18"/>
      <c r="C932" s="18"/>
      <c r="D932" s="18"/>
      <c r="E932" s="18"/>
      <c r="F932" s="18"/>
      <c r="G932" s="14"/>
      <c r="H932" s="14"/>
      <c r="I932" s="14"/>
      <c r="J932" s="14"/>
      <c r="K932" s="14"/>
      <c r="L932" s="14"/>
      <c r="M932" s="18"/>
      <c r="N932" s="14"/>
      <c r="O932" s="14"/>
      <c r="P932" s="14"/>
      <c r="Q932" s="14"/>
      <c r="R932" s="14"/>
      <c r="S932" s="14"/>
      <c r="T932" s="14"/>
      <c r="U932" s="18"/>
      <c r="V932" s="18"/>
      <c r="W932" s="18"/>
      <c r="X932" s="18"/>
      <c r="Y932" s="18"/>
      <c r="Z932" s="18"/>
      <c r="AA932" s="18"/>
      <c r="AB932" s="18"/>
      <c r="AC932" s="18"/>
      <c r="AD932" s="18"/>
    </row>
    <row r="933" ht="24.75" customHeight="1">
      <c r="A933" s="19"/>
      <c r="B933" s="18"/>
      <c r="C933" s="18"/>
      <c r="D933" s="18"/>
      <c r="E933" s="18"/>
      <c r="F933" s="18"/>
      <c r="G933" s="14"/>
      <c r="H933" s="14"/>
      <c r="I933" s="14"/>
      <c r="J933" s="14"/>
      <c r="K933" s="14"/>
      <c r="L933" s="14"/>
      <c r="M933" s="18"/>
      <c r="N933" s="14"/>
      <c r="O933" s="14"/>
      <c r="P933" s="14"/>
      <c r="Q933" s="14"/>
      <c r="R933" s="14"/>
      <c r="S933" s="14"/>
      <c r="T933" s="14"/>
      <c r="U933" s="18"/>
      <c r="V933" s="18"/>
      <c r="W933" s="18"/>
      <c r="X933" s="18"/>
      <c r="Y933" s="18"/>
      <c r="Z933" s="18"/>
      <c r="AA933" s="18"/>
      <c r="AB933" s="18"/>
      <c r="AC933" s="18"/>
      <c r="AD933" s="18"/>
    </row>
    <row r="934" ht="24.75" customHeight="1">
      <c r="A934" s="19"/>
      <c r="B934" s="18"/>
      <c r="C934" s="18"/>
      <c r="D934" s="18"/>
      <c r="E934" s="18"/>
      <c r="F934" s="18"/>
      <c r="G934" s="14"/>
      <c r="H934" s="14"/>
      <c r="I934" s="14"/>
      <c r="J934" s="14"/>
      <c r="K934" s="14"/>
      <c r="L934" s="14"/>
      <c r="M934" s="18"/>
      <c r="N934" s="14"/>
      <c r="O934" s="14"/>
      <c r="P934" s="14"/>
      <c r="Q934" s="14"/>
      <c r="R934" s="14"/>
      <c r="S934" s="14"/>
      <c r="T934" s="14"/>
      <c r="U934" s="18"/>
      <c r="V934" s="18"/>
      <c r="W934" s="18"/>
      <c r="X934" s="18"/>
      <c r="Y934" s="18"/>
      <c r="Z934" s="18"/>
      <c r="AA934" s="18"/>
      <c r="AB934" s="18"/>
      <c r="AC934" s="18"/>
      <c r="AD934" s="18"/>
    </row>
    <row r="935" ht="24.75" customHeight="1">
      <c r="A935" s="19"/>
      <c r="B935" s="18"/>
      <c r="C935" s="18"/>
      <c r="D935" s="18"/>
      <c r="E935" s="18"/>
      <c r="F935" s="18"/>
      <c r="G935" s="14"/>
      <c r="H935" s="14"/>
      <c r="I935" s="14"/>
      <c r="J935" s="14"/>
      <c r="K935" s="14"/>
      <c r="L935" s="14"/>
      <c r="M935" s="18"/>
      <c r="N935" s="14"/>
      <c r="O935" s="14"/>
      <c r="P935" s="14"/>
      <c r="Q935" s="14"/>
      <c r="R935" s="14"/>
      <c r="S935" s="14"/>
      <c r="T935" s="14"/>
      <c r="U935" s="18"/>
      <c r="V935" s="18"/>
      <c r="W935" s="18"/>
      <c r="X935" s="18"/>
      <c r="Y935" s="18"/>
      <c r="Z935" s="18"/>
      <c r="AA935" s="18"/>
      <c r="AB935" s="18"/>
      <c r="AC935" s="18"/>
      <c r="AD935" s="18"/>
    </row>
    <row r="936" ht="24.75" customHeight="1">
      <c r="A936" s="19"/>
      <c r="B936" s="18"/>
      <c r="C936" s="18"/>
      <c r="D936" s="18"/>
      <c r="E936" s="18"/>
      <c r="F936" s="18"/>
      <c r="G936" s="14"/>
      <c r="H936" s="14"/>
      <c r="I936" s="14"/>
      <c r="J936" s="14"/>
      <c r="K936" s="14"/>
      <c r="L936" s="14"/>
      <c r="M936" s="18"/>
      <c r="N936" s="14"/>
      <c r="O936" s="14"/>
      <c r="P936" s="14"/>
      <c r="Q936" s="14"/>
      <c r="R936" s="14"/>
      <c r="S936" s="14"/>
      <c r="T936" s="14"/>
      <c r="U936" s="18"/>
      <c r="V936" s="18"/>
      <c r="W936" s="18"/>
      <c r="X936" s="18"/>
      <c r="Y936" s="18"/>
      <c r="Z936" s="18"/>
      <c r="AA936" s="18"/>
      <c r="AB936" s="18"/>
      <c r="AC936" s="18"/>
      <c r="AD936" s="18"/>
    </row>
    <row r="937" ht="24.75" customHeight="1">
      <c r="A937" s="19"/>
      <c r="B937" s="18"/>
      <c r="C937" s="18"/>
      <c r="D937" s="18"/>
      <c r="E937" s="18"/>
      <c r="F937" s="18"/>
      <c r="G937" s="14"/>
      <c r="H937" s="14"/>
      <c r="I937" s="14"/>
      <c r="J937" s="14"/>
      <c r="K937" s="14"/>
      <c r="L937" s="14"/>
      <c r="M937" s="18"/>
      <c r="N937" s="14"/>
      <c r="O937" s="14"/>
      <c r="P937" s="14"/>
      <c r="Q937" s="14"/>
      <c r="R937" s="14"/>
      <c r="S937" s="14"/>
      <c r="T937" s="14"/>
      <c r="U937" s="18"/>
      <c r="V937" s="18"/>
      <c r="W937" s="18"/>
      <c r="X937" s="18"/>
      <c r="Y937" s="18"/>
      <c r="Z937" s="18"/>
      <c r="AA937" s="18"/>
      <c r="AB937" s="18"/>
      <c r="AC937" s="18"/>
      <c r="AD937" s="18"/>
    </row>
    <row r="938" ht="24.75" customHeight="1">
      <c r="A938" s="19"/>
      <c r="B938" s="18"/>
      <c r="C938" s="18"/>
      <c r="D938" s="18"/>
      <c r="E938" s="18"/>
      <c r="F938" s="18"/>
      <c r="G938" s="14"/>
      <c r="H938" s="14"/>
      <c r="I938" s="14"/>
      <c r="J938" s="14"/>
      <c r="K938" s="14"/>
      <c r="L938" s="14"/>
      <c r="M938" s="18"/>
      <c r="N938" s="14"/>
      <c r="O938" s="14"/>
      <c r="P938" s="14"/>
      <c r="Q938" s="14"/>
      <c r="R938" s="14"/>
      <c r="S938" s="14"/>
      <c r="T938" s="14"/>
      <c r="U938" s="18"/>
      <c r="V938" s="18"/>
      <c r="W938" s="18"/>
      <c r="X938" s="18"/>
      <c r="Y938" s="18"/>
      <c r="Z938" s="18"/>
      <c r="AA938" s="18"/>
      <c r="AB938" s="18"/>
      <c r="AC938" s="18"/>
      <c r="AD938" s="18"/>
    </row>
    <row r="939" ht="24.75" customHeight="1">
      <c r="A939" s="19"/>
      <c r="B939" s="18"/>
      <c r="C939" s="18"/>
      <c r="D939" s="18"/>
      <c r="E939" s="18"/>
      <c r="F939" s="18"/>
      <c r="G939" s="14"/>
      <c r="H939" s="14"/>
      <c r="I939" s="14"/>
      <c r="J939" s="14"/>
      <c r="K939" s="14"/>
      <c r="L939" s="14"/>
      <c r="M939" s="18"/>
      <c r="N939" s="14"/>
      <c r="O939" s="14"/>
      <c r="P939" s="14"/>
      <c r="Q939" s="14"/>
      <c r="R939" s="14"/>
      <c r="S939" s="14"/>
      <c r="T939" s="14"/>
      <c r="U939" s="18"/>
      <c r="V939" s="18"/>
      <c r="W939" s="18"/>
      <c r="X939" s="18"/>
      <c r="Y939" s="18"/>
      <c r="Z939" s="18"/>
      <c r="AA939" s="18"/>
      <c r="AB939" s="18"/>
      <c r="AC939" s="18"/>
      <c r="AD939" s="18"/>
    </row>
    <row r="940" ht="24.75" customHeight="1">
      <c r="A940" s="19"/>
      <c r="B940" s="18"/>
      <c r="C940" s="18"/>
      <c r="D940" s="18"/>
      <c r="E940" s="18"/>
      <c r="F940" s="18"/>
      <c r="G940" s="14"/>
      <c r="H940" s="14"/>
      <c r="I940" s="14"/>
      <c r="J940" s="14"/>
      <c r="K940" s="14"/>
      <c r="L940" s="14"/>
      <c r="M940" s="18"/>
      <c r="N940" s="14"/>
      <c r="O940" s="14"/>
      <c r="P940" s="14"/>
      <c r="Q940" s="14"/>
      <c r="R940" s="14"/>
      <c r="S940" s="14"/>
      <c r="T940" s="14"/>
      <c r="U940" s="18"/>
      <c r="V940" s="18"/>
      <c r="W940" s="18"/>
      <c r="X940" s="18"/>
      <c r="Y940" s="18"/>
      <c r="Z940" s="18"/>
      <c r="AA940" s="18"/>
      <c r="AB940" s="18"/>
      <c r="AC940" s="18"/>
      <c r="AD940" s="18"/>
    </row>
    <row r="941" ht="24.75" customHeight="1">
      <c r="A941" s="19"/>
      <c r="B941" s="18"/>
      <c r="C941" s="18"/>
      <c r="D941" s="18"/>
      <c r="E941" s="18"/>
      <c r="F941" s="18"/>
      <c r="G941" s="14"/>
      <c r="H941" s="14"/>
      <c r="I941" s="14"/>
      <c r="J941" s="14"/>
      <c r="K941" s="14"/>
      <c r="L941" s="14"/>
      <c r="M941" s="18"/>
      <c r="N941" s="14"/>
      <c r="O941" s="14"/>
      <c r="P941" s="14"/>
      <c r="Q941" s="14"/>
      <c r="R941" s="14"/>
      <c r="S941" s="14"/>
      <c r="T941" s="14"/>
      <c r="U941" s="18"/>
      <c r="V941" s="18"/>
      <c r="W941" s="18"/>
      <c r="X941" s="18"/>
      <c r="Y941" s="18"/>
      <c r="Z941" s="18"/>
      <c r="AA941" s="18"/>
      <c r="AB941" s="18"/>
      <c r="AC941" s="18"/>
      <c r="AD941" s="18"/>
    </row>
    <row r="942" ht="24.75" customHeight="1">
      <c r="A942" s="19"/>
      <c r="B942" s="18"/>
      <c r="C942" s="18"/>
      <c r="D942" s="18"/>
      <c r="E942" s="18"/>
      <c r="F942" s="18"/>
      <c r="G942" s="14"/>
      <c r="H942" s="14"/>
      <c r="I942" s="14"/>
      <c r="J942" s="14"/>
      <c r="K942" s="14"/>
      <c r="L942" s="14"/>
      <c r="M942" s="18"/>
      <c r="N942" s="14"/>
      <c r="O942" s="14"/>
      <c r="P942" s="14"/>
      <c r="Q942" s="14"/>
      <c r="R942" s="14"/>
      <c r="S942" s="14"/>
      <c r="T942" s="14"/>
      <c r="U942" s="18"/>
      <c r="V942" s="18"/>
      <c r="W942" s="18"/>
      <c r="X942" s="18"/>
      <c r="Y942" s="18"/>
      <c r="Z942" s="18"/>
      <c r="AA942" s="18"/>
      <c r="AB942" s="18"/>
      <c r="AC942" s="18"/>
      <c r="AD942" s="18"/>
    </row>
    <row r="943" ht="24.75" customHeight="1">
      <c r="A943" s="19"/>
      <c r="B943" s="18"/>
      <c r="C943" s="18"/>
      <c r="D943" s="18"/>
      <c r="E943" s="18"/>
      <c r="F943" s="18"/>
      <c r="G943" s="14"/>
      <c r="H943" s="14"/>
      <c r="I943" s="14"/>
      <c r="J943" s="14"/>
      <c r="K943" s="14"/>
      <c r="L943" s="14"/>
      <c r="M943" s="18"/>
      <c r="N943" s="14"/>
      <c r="O943" s="14"/>
      <c r="P943" s="14"/>
      <c r="Q943" s="14"/>
      <c r="R943" s="14"/>
      <c r="S943" s="14"/>
      <c r="T943" s="14"/>
      <c r="U943" s="18"/>
      <c r="V943" s="18"/>
      <c r="W943" s="18"/>
      <c r="X943" s="18"/>
      <c r="Y943" s="18"/>
      <c r="Z943" s="18"/>
      <c r="AA943" s="18"/>
      <c r="AB943" s="18"/>
      <c r="AC943" s="18"/>
      <c r="AD943" s="18"/>
    </row>
    <row r="944" ht="24.75" customHeight="1">
      <c r="A944" s="19"/>
      <c r="B944" s="18"/>
      <c r="C944" s="18"/>
      <c r="D944" s="18"/>
      <c r="E944" s="18"/>
      <c r="F944" s="18"/>
      <c r="G944" s="14"/>
      <c r="H944" s="14"/>
      <c r="I944" s="14"/>
      <c r="J944" s="14"/>
      <c r="K944" s="14"/>
      <c r="L944" s="14"/>
      <c r="M944" s="18"/>
      <c r="N944" s="14"/>
      <c r="O944" s="14"/>
      <c r="P944" s="14"/>
      <c r="Q944" s="14"/>
      <c r="R944" s="14"/>
      <c r="S944" s="14"/>
      <c r="T944" s="14"/>
      <c r="U944" s="18"/>
      <c r="V944" s="18"/>
      <c r="W944" s="18"/>
      <c r="X944" s="18"/>
      <c r="Y944" s="18"/>
      <c r="Z944" s="18"/>
      <c r="AA944" s="18"/>
      <c r="AB944" s="18"/>
      <c r="AC944" s="18"/>
      <c r="AD944" s="18"/>
    </row>
    <row r="945" ht="24.75" customHeight="1">
      <c r="A945" s="19"/>
      <c r="B945" s="18"/>
      <c r="C945" s="18"/>
      <c r="D945" s="18"/>
      <c r="E945" s="18"/>
      <c r="F945" s="18"/>
      <c r="G945" s="14"/>
      <c r="H945" s="14"/>
      <c r="I945" s="14"/>
      <c r="J945" s="14"/>
      <c r="K945" s="14"/>
      <c r="L945" s="14"/>
      <c r="M945" s="18"/>
      <c r="N945" s="14"/>
      <c r="O945" s="14"/>
      <c r="P945" s="14"/>
      <c r="Q945" s="14"/>
      <c r="R945" s="14"/>
      <c r="S945" s="14"/>
      <c r="T945" s="14"/>
      <c r="U945" s="18"/>
      <c r="V945" s="18"/>
      <c r="W945" s="18"/>
      <c r="X945" s="18"/>
      <c r="Y945" s="18"/>
      <c r="Z945" s="18"/>
      <c r="AA945" s="18"/>
      <c r="AB945" s="18"/>
      <c r="AC945" s="18"/>
      <c r="AD945" s="18"/>
    </row>
    <row r="946" ht="24.75" customHeight="1">
      <c r="A946" s="19"/>
      <c r="B946" s="18"/>
      <c r="C946" s="18"/>
      <c r="D946" s="18"/>
      <c r="E946" s="18"/>
      <c r="F946" s="18"/>
      <c r="G946" s="14"/>
      <c r="H946" s="14"/>
      <c r="I946" s="14"/>
      <c r="J946" s="14"/>
      <c r="K946" s="14"/>
      <c r="L946" s="14"/>
      <c r="M946" s="18"/>
      <c r="N946" s="14"/>
      <c r="O946" s="14"/>
      <c r="P946" s="14"/>
      <c r="Q946" s="14"/>
      <c r="R946" s="14"/>
      <c r="S946" s="14"/>
      <c r="T946" s="14"/>
      <c r="U946" s="18"/>
      <c r="V946" s="18"/>
      <c r="W946" s="18"/>
      <c r="X946" s="18"/>
      <c r="Y946" s="18"/>
      <c r="Z946" s="18"/>
      <c r="AA946" s="18"/>
      <c r="AB946" s="18"/>
      <c r="AC946" s="18"/>
      <c r="AD946" s="18"/>
    </row>
    <row r="947" ht="24.75" customHeight="1">
      <c r="A947" s="19"/>
      <c r="B947" s="18"/>
      <c r="C947" s="18"/>
      <c r="D947" s="18"/>
      <c r="E947" s="18"/>
      <c r="F947" s="18"/>
      <c r="G947" s="14"/>
      <c r="H947" s="14"/>
      <c r="I947" s="14"/>
      <c r="J947" s="14"/>
      <c r="K947" s="14"/>
      <c r="L947" s="14"/>
      <c r="M947" s="18"/>
      <c r="N947" s="14"/>
      <c r="O947" s="14"/>
      <c r="P947" s="14"/>
      <c r="Q947" s="14"/>
      <c r="R947" s="14"/>
      <c r="S947" s="14"/>
      <c r="T947" s="14"/>
      <c r="U947" s="18"/>
      <c r="V947" s="18"/>
      <c r="W947" s="18"/>
      <c r="X947" s="18"/>
      <c r="Y947" s="18"/>
      <c r="Z947" s="18"/>
      <c r="AA947" s="18"/>
      <c r="AB947" s="18"/>
      <c r="AC947" s="18"/>
      <c r="AD947" s="18"/>
    </row>
    <row r="948" ht="24.75" customHeight="1">
      <c r="A948" s="19"/>
      <c r="B948" s="18"/>
      <c r="C948" s="18"/>
      <c r="D948" s="18"/>
      <c r="E948" s="18"/>
      <c r="F948" s="18"/>
      <c r="G948" s="14"/>
      <c r="H948" s="14"/>
      <c r="I948" s="14"/>
      <c r="J948" s="14"/>
      <c r="K948" s="14"/>
      <c r="L948" s="14"/>
      <c r="M948" s="18"/>
      <c r="N948" s="14"/>
      <c r="O948" s="14"/>
      <c r="P948" s="14"/>
      <c r="Q948" s="14"/>
      <c r="R948" s="14"/>
      <c r="S948" s="14"/>
      <c r="T948" s="14"/>
      <c r="U948" s="18"/>
      <c r="V948" s="18"/>
      <c r="W948" s="18"/>
      <c r="X948" s="18"/>
      <c r="Y948" s="18"/>
      <c r="Z948" s="18"/>
      <c r="AA948" s="18"/>
      <c r="AB948" s="18"/>
      <c r="AC948" s="18"/>
      <c r="AD948" s="18"/>
    </row>
    <row r="949" ht="24.75" customHeight="1">
      <c r="A949" s="19"/>
      <c r="B949" s="18"/>
      <c r="C949" s="18"/>
      <c r="D949" s="18"/>
      <c r="E949" s="18"/>
      <c r="F949" s="18"/>
      <c r="G949" s="14"/>
      <c r="H949" s="14"/>
      <c r="I949" s="14"/>
      <c r="J949" s="14"/>
      <c r="K949" s="14"/>
      <c r="L949" s="14"/>
      <c r="M949" s="18"/>
      <c r="N949" s="14"/>
      <c r="O949" s="14"/>
      <c r="P949" s="14"/>
      <c r="Q949" s="14"/>
      <c r="R949" s="14"/>
      <c r="S949" s="14"/>
      <c r="T949" s="14"/>
      <c r="U949" s="18"/>
      <c r="V949" s="18"/>
      <c r="W949" s="18"/>
      <c r="X949" s="18"/>
      <c r="Y949" s="18"/>
      <c r="Z949" s="18"/>
      <c r="AA949" s="18"/>
      <c r="AB949" s="18"/>
      <c r="AC949" s="18"/>
      <c r="AD949" s="18"/>
    </row>
    <row r="950" ht="24.75" customHeight="1">
      <c r="A950" s="19"/>
      <c r="B950" s="18"/>
      <c r="C950" s="18"/>
      <c r="D950" s="18"/>
      <c r="E950" s="18"/>
      <c r="F950" s="18"/>
      <c r="G950" s="14"/>
      <c r="H950" s="14"/>
      <c r="I950" s="14"/>
      <c r="J950" s="14"/>
      <c r="K950" s="14"/>
      <c r="L950" s="14"/>
      <c r="M950" s="18"/>
      <c r="N950" s="14"/>
      <c r="O950" s="14"/>
      <c r="P950" s="14"/>
      <c r="Q950" s="14"/>
      <c r="R950" s="14"/>
      <c r="S950" s="14"/>
      <c r="T950" s="14"/>
      <c r="U950" s="18"/>
      <c r="V950" s="18"/>
      <c r="W950" s="18"/>
      <c r="X950" s="18"/>
      <c r="Y950" s="18"/>
      <c r="Z950" s="18"/>
      <c r="AA950" s="18"/>
      <c r="AB950" s="18"/>
      <c r="AC950" s="18"/>
      <c r="AD950" s="18"/>
    </row>
    <row r="951" ht="24.75" customHeight="1">
      <c r="A951" s="19"/>
      <c r="B951" s="18"/>
      <c r="C951" s="18"/>
      <c r="D951" s="18"/>
      <c r="E951" s="18"/>
      <c r="F951" s="18"/>
      <c r="G951" s="14"/>
      <c r="H951" s="14"/>
      <c r="I951" s="14"/>
      <c r="J951" s="14"/>
      <c r="K951" s="14"/>
      <c r="L951" s="14"/>
      <c r="M951" s="18"/>
      <c r="N951" s="14"/>
      <c r="O951" s="14"/>
      <c r="P951" s="14"/>
      <c r="Q951" s="14"/>
      <c r="R951" s="14"/>
      <c r="S951" s="14"/>
      <c r="T951" s="14"/>
      <c r="U951" s="18"/>
      <c r="V951" s="18"/>
      <c r="W951" s="18"/>
      <c r="X951" s="18"/>
      <c r="Y951" s="18"/>
      <c r="Z951" s="18"/>
      <c r="AA951" s="18"/>
      <c r="AB951" s="18"/>
      <c r="AC951" s="18"/>
      <c r="AD951" s="18"/>
    </row>
    <row r="952" ht="24.75" customHeight="1">
      <c r="A952" s="19"/>
      <c r="B952" s="18"/>
      <c r="C952" s="18"/>
      <c r="D952" s="18"/>
      <c r="E952" s="18"/>
      <c r="F952" s="18"/>
      <c r="G952" s="14"/>
      <c r="H952" s="14"/>
      <c r="I952" s="14"/>
      <c r="J952" s="14"/>
      <c r="K952" s="14"/>
      <c r="L952" s="14"/>
      <c r="M952" s="18"/>
      <c r="N952" s="14"/>
      <c r="O952" s="14"/>
      <c r="P952" s="14"/>
      <c r="Q952" s="14"/>
      <c r="R952" s="14"/>
      <c r="S952" s="14"/>
      <c r="T952" s="14"/>
      <c r="U952" s="18"/>
      <c r="V952" s="18"/>
      <c r="W952" s="18"/>
      <c r="X952" s="18"/>
      <c r="Y952" s="18"/>
      <c r="Z952" s="18"/>
      <c r="AA952" s="18"/>
      <c r="AB952" s="18"/>
      <c r="AC952" s="18"/>
      <c r="AD952" s="18"/>
    </row>
    <row r="953" ht="24.75" customHeight="1">
      <c r="A953" s="19"/>
      <c r="B953" s="18"/>
      <c r="C953" s="18"/>
      <c r="D953" s="18"/>
      <c r="E953" s="18"/>
      <c r="F953" s="18"/>
      <c r="G953" s="14"/>
      <c r="H953" s="14"/>
      <c r="I953" s="14"/>
      <c r="J953" s="14"/>
      <c r="K953" s="14"/>
      <c r="L953" s="14"/>
      <c r="M953" s="18"/>
      <c r="N953" s="14"/>
      <c r="O953" s="14"/>
      <c r="P953" s="14"/>
      <c r="Q953" s="14"/>
      <c r="R953" s="14"/>
      <c r="S953" s="14"/>
      <c r="T953" s="14"/>
      <c r="U953" s="18"/>
      <c r="V953" s="18"/>
      <c r="W953" s="18"/>
      <c r="X953" s="18"/>
      <c r="Y953" s="18"/>
      <c r="Z953" s="18"/>
      <c r="AA953" s="18"/>
      <c r="AB953" s="18"/>
      <c r="AC953" s="18"/>
      <c r="AD953" s="18"/>
    </row>
    <row r="954" ht="24.75" customHeight="1">
      <c r="A954" s="19"/>
      <c r="B954" s="18"/>
      <c r="C954" s="18"/>
      <c r="D954" s="18"/>
      <c r="E954" s="18"/>
      <c r="F954" s="18"/>
      <c r="G954" s="14"/>
      <c r="H954" s="14"/>
      <c r="I954" s="14"/>
      <c r="J954" s="14"/>
      <c r="K954" s="14"/>
      <c r="L954" s="14"/>
      <c r="M954" s="18"/>
      <c r="N954" s="14"/>
      <c r="O954" s="14"/>
      <c r="P954" s="14"/>
      <c r="Q954" s="14"/>
      <c r="R954" s="14"/>
      <c r="S954" s="14"/>
      <c r="T954" s="14"/>
      <c r="U954" s="18"/>
      <c r="V954" s="18"/>
      <c r="W954" s="18"/>
      <c r="X954" s="18"/>
      <c r="Y954" s="18"/>
      <c r="Z954" s="18"/>
      <c r="AA954" s="18"/>
      <c r="AB954" s="18"/>
      <c r="AC954" s="18"/>
      <c r="AD954" s="18"/>
    </row>
    <row r="955" ht="24.75" customHeight="1">
      <c r="A955" s="19"/>
      <c r="B955" s="18"/>
      <c r="C955" s="18"/>
      <c r="D955" s="18"/>
      <c r="E955" s="18"/>
      <c r="F955" s="18"/>
      <c r="G955" s="14"/>
      <c r="H955" s="14"/>
      <c r="I955" s="14"/>
      <c r="J955" s="14"/>
      <c r="K955" s="14"/>
      <c r="L955" s="14"/>
      <c r="M955" s="18"/>
      <c r="N955" s="14"/>
      <c r="O955" s="14"/>
      <c r="P955" s="14"/>
      <c r="Q955" s="14"/>
      <c r="R955" s="14"/>
      <c r="S955" s="14"/>
      <c r="T955" s="14"/>
      <c r="U955" s="18"/>
      <c r="V955" s="18"/>
      <c r="W955" s="18"/>
      <c r="X955" s="18"/>
      <c r="Y955" s="18"/>
      <c r="Z955" s="18"/>
      <c r="AA955" s="18"/>
      <c r="AB955" s="18"/>
      <c r="AC955" s="18"/>
      <c r="AD955" s="18"/>
    </row>
    <row r="956" ht="24.75" customHeight="1">
      <c r="A956" s="19"/>
      <c r="B956" s="18"/>
      <c r="C956" s="18"/>
      <c r="D956" s="18"/>
      <c r="E956" s="18"/>
      <c r="F956" s="18"/>
      <c r="G956" s="14"/>
      <c r="H956" s="14"/>
      <c r="I956" s="14"/>
      <c r="J956" s="14"/>
      <c r="K956" s="14"/>
      <c r="L956" s="14"/>
      <c r="M956" s="18"/>
      <c r="N956" s="14"/>
      <c r="O956" s="14"/>
      <c r="P956" s="14"/>
      <c r="Q956" s="14"/>
      <c r="R956" s="14"/>
      <c r="S956" s="14"/>
      <c r="T956" s="14"/>
      <c r="U956" s="18"/>
      <c r="V956" s="18"/>
      <c r="W956" s="18"/>
      <c r="X956" s="18"/>
      <c r="Y956" s="18"/>
      <c r="Z956" s="18"/>
      <c r="AA956" s="18"/>
      <c r="AB956" s="18"/>
      <c r="AC956" s="18"/>
      <c r="AD956" s="18"/>
    </row>
    <row r="957" ht="24.75" customHeight="1">
      <c r="A957" s="19"/>
      <c r="B957" s="18"/>
      <c r="C957" s="18"/>
      <c r="D957" s="18"/>
      <c r="E957" s="18"/>
      <c r="F957" s="18"/>
      <c r="G957" s="14"/>
      <c r="H957" s="14"/>
      <c r="I957" s="14"/>
      <c r="J957" s="14"/>
      <c r="K957" s="14"/>
      <c r="L957" s="14"/>
      <c r="M957" s="18"/>
      <c r="N957" s="14"/>
      <c r="O957" s="14"/>
      <c r="P957" s="14"/>
      <c r="Q957" s="14"/>
      <c r="R957" s="14"/>
      <c r="S957" s="14"/>
      <c r="T957" s="14"/>
      <c r="U957" s="18"/>
      <c r="V957" s="18"/>
      <c r="W957" s="18"/>
      <c r="X957" s="18"/>
      <c r="Y957" s="18"/>
      <c r="Z957" s="18"/>
      <c r="AA957" s="18"/>
      <c r="AB957" s="18"/>
      <c r="AC957" s="18"/>
      <c r="AD957" s="18"/>
    </row>
    <row r="958" ht="24.75" customHeight="1">
      <c r="A958" s="19"/>
      <c r="B958" s="18"/>
      <c r="C958" s="18"/>
      <c r="D958" s="18"/>
      <c r="E958" s="18"/>
      <c r="F958" s="18"/>
      <c r="G958" s="14"/>
      <c r="H958" s="14"/>
      <c r="I958" s="14"/>
      <c r="J958" s="14"/>
      <c r="K958" s="14"/>
      <c r="L958" s="14"/>
      <c r="M958" s="18"/>
      <c r="N958" s="14"/>
      <c r="O958" s="14"/>
      <c r="P958" s="14"/>
      <c r="Q958" s="14"/>
      <c r="R958" s="14"/>
      <c r="S958" s="14"/>
      <c r="T958" s="14"/>
      <c r="U958" s="18"/>
      <c r="V958" s="18"/>
      <c r="W958" s="18"/>
      <c r="X958" s="18"/>
      <c r="Y958" s="18"/>
      <c r="Z958" s="18"/>
      <c r="AA958" s="18"/>
      <c r="AB958" s="18"/>
      <c r="AC958" s="18"/>
      <c r="AD958" s="18"/>
    </row>
    <row r="959" ht="24.75" customHeight="1">
      <c r="A959" s="19"/>
      <c r="B959" s="18"/>
      <c r="C959" s="18"/>
      <c r="D959" s="18"/>
      <c r="E959" s="18"/>
      <c r="F959" s="18"/>
      <c r="G959" s="14"/>
      <c r="H959" s="14"/>
      <c r="I959" s="14"/>
      <c r="J959" s="14"/>
      <c r="K959" s="14"/>
      <c r="L959" s="14"/>
      <c r="M959" s="18"/>
      <c r="N959" s="14"/>
      <c r="O959" s="14"/>
      <c r="P959" s="14"/>
      <c r="Q959" s="14"/>
      <c r="R959" s="14"/>
      <c r="S959" s="14"/>
      <c r="T959" s="14"/>
      <c r="U959" s="18"/>
      <c r="V959" s="18"/>
      <c r="W959" s="18"/>
      <c r="X959" s="18"/>
      <c r="Y959" s="18"/>
      <c r="Z959" s="18"/>
      <c r="AA959" s="18"/>
      <c r="AB959" s="18"/>
      <c r="AC959" s="18"/>
      <c r="AD959" s="18"/>
    </row>
    <row r="960" ht="24.75" customHeight="1">
      <c r="A960" s="19"/>
      <c r="B960" s="18"/>
      <c r="C960" s="18"/>
      <c r="D960" s="18"/>
      <c r="E960" s="18"/>
      <c r="F960" s="18"/>
      <c r="G960" s="14"/>
      <c r="H960" s="14"/>
      <c r="I960" s="14"/>
      <c r="J960" s="14"/>
      <c r="K960" s="14"/>
      <c r="L960" s="14"/>
      <c r="M960" s="18"/>
      <c r="N960" s="14"/>
      <c r="O960" s="14"/>
      <c r="P960" s="14"/>
      <c r="Q960" s="14"/>
      <c r="R960" s="14"/>
      <c r="S960" s="14"/>
      <c r="T960" s="14"/>
      <c r="U960" s="18"/>
      <c r="V960" s="18"/>
      <c r="W960" s="18"/>
      <c r="X960" s="18"/>
      <c r="Y960" s="18"/>
      <c r="Z960" s="18"/>
      <c r="AA960" s="18"/>
      <c r="AB960" s="18"/>
      <c r="AC960" s="18"/>
      <c r="AD960" s="18"/>
    </row>
    <row r="961" ht="24.75" customHeight="1">
      <c r="A961" s="19"/>
      <c r="B961" s="18"/>
      <c r="C961" s="18"/>
      <c r="D961" s="18"/>
      <c r="E961" s="18"/>
      <c r="F961" s="18"/>
      <c r="G961" s="14"/>
      <c r="H961" s="14"/>
      <c r="I961" s="14"/>
      <c r="J961" s="14"/>
      <c r="K961" s="14"/>
      <c r="L961" s="14"/>
      <c r="M961" s="18"/>
      <c r="N961" s="14"/>
      <c r="O961" s="14"/>
      <c r="P961" s="14"/>
      <c r="Q961" s="14"/>
      <c r="R961" s="14"/>
      <c r="S961" s="14"/>
      <c r="T961" s="14"/>
      <c r="U961" s="18"/>
      <c r="V961" s="18"/>
      <c r="W961" s="18"/>
      <c r="X961" s="18"/>
      <c r="Y961" s="18"/>
      <c r="Z961" s="18"/>
      <c r="AA961" s="18"/>
      <c r="AB961" s="18"/>
      <c r="AC961" s="18"/>
      <c r="AD961" s="18"/>
    </row>
    <row r="962" ht="24.75" customHeight="1">
      <c r="A962" s="19"/>
      <c r="B962" s="18"/>
      <c r="C962" s="18"/>
      <c r="D962" s="18"/>
      <c r="E962" s="18"/>
      <c r="F962" s="18"/>
      <c r="G962" s="14"/>
      <c r="H962" s="14"/>
      <c r="I962" s="14"/>
      <c r="J962" s="14"/>
      <c r="K962" s="14"/>
      <c r="L962" s="14"/>
      <c r="M962" s="18"/>
      <c r="N962" s="14"/>
      <c r="O962" s="14"/>
      <c r="P962" s="14"/>
      <c r="Q962" s="14"/>
      <c r="R962" s="14"/>
      <c r="S962" s="14"/>
      <c r="T962" s="14"/>
      <c r="U962" s="18"/>
      <c r="V962" s="18"/>
      <c r="W962" s="18"/>
      <c r="X962" s="18"/>
      <c r="Y962" s="18"/>
      <c r="Z962" s="18"/>
      <c r="AA962" s="18"/>
      <c r="AB962" s="18"/>
      <c r="AC962" s="18"/>
      <c r="AD962" s="18"/>
    </row>
    <row r="963" ht="24.75" customHeight="1">
      <c r="A963" s="19"/>
      <c r="B963" s="18"/>
      <c r="C963" s="18"/>
      <c r="D963" s="18"/>
      <c r="E963" s="18"/>
      <c r="F963" s="18"/>
      <c r="G963" s="14"/>
      <c r="H963" s="14"/>
      <c r="I963" s="14"/>
      <c r="J963" s="14"/>
      <c r="K963" s="14"/>
      <c r="L963" s="14"/>
      <c r="M963" s="18"/>
      <c r="N963" s="14"/>
      <c r="O963" s="14"/>
      <c r="P963" s="14"/>
      <c r="Q963" s="14"/>
      <c r="R963" s="14"/>
      <c r="S963" s="14"/>
      <c r="T963" s="14"/>
      <c r="U963" s="18"/>
      <c r="V963" s="18"/>
      <c r="W963" s="18"/>
      <c r="X963" s="18"/>
      <c r="Y963" s="18"/>
      <c r="Z963" s="18"/>
      <c r="AA963" s="18"/>
      <c r="AB963" s="18"/>
      <c r="AC963" s="18"/>
      <c r="AD963" s="18"/>
    </row>
    <row r="964" ht="24.75" customHeight="1">
      <c r="A964" s="19"/>
      <c r="B964" s="18"/>
      <c r="C964" s="18"/>
      <c r="D964" s="18"/>
      <c r="E964" s="18"/>
      <c r="F964" s="18"/>
      <c r="G964" s="14"/>
      <c r="H964" s="14"/>
      <c r="I964" s="14"/>
      <c r="J964" s="14"/>
      <c r="K964" s="14"/>
      <c r="L964" s="14"/>
      <c r="M964" s="18"/>
      <c r="N964" s="14"/>
      <c r="O964" s="14"/>
      <c r="P964" s="14"/>
      <c r="Q964" s="14"/>
      <c r="R964" s="14"/>
      <c r="S964" s="14"/>
      <c r="T964" s="14"/>
      <c r="U964" s="18"/>
      <c r="V964" s="18"/>
      <c r="W964" s="18"/>
      <c r="X964" s="18"/>
      <c r="Y964" s="18"/>
      <c r="Z964" s="18"/>
      <c r="AA964" s="18"/>
      <c r="AB964" s="18"/>
      <c r="AC964" s="18"/>
      <c r="AD964" s="18"/>
    </row>
    <row r="965" ht="24.75" customHeight="1">
      <c r="A965" s="19"/>
      <c r="B965" s="18"/>
      <c r="C965" s="18"/>
      <c r="D965" s="18"/>
      <c r="E965" s="18"/>
      <c r="F965" s="18"/>
      <c r="G965" s="14"/>
      <c r="H965" s="14"/>
      <c r="I965" s="14"/>
      <c r="J965" s="14"/>
      <c r="K965" s="14"/>
      <c r="L965" s="14"/>
      <c r="M965" s="18"/>
      <c r="N965" s="14"/>
      <c r="O965" s="14"/>
      <c r="P965" s="14"/>
      <c r="Q965" s="14"/>
      <c r="R965" s="14"/>
      <c r="S965" s="14"/>
      <c r="T965" s="14"/>
      <c r="U965" s="18"/>
      <c r="V965" s="18"/>
      <c r="W965" s="18"/>
      <c r="X965" s="18"/>
      <c r="Y965" s="18"/>
      <c r="Z965" s="18"/>
      <c r="AA965" s="18"/>
      <c r="AB965" s="18"/>
      <c r="AC965" s="18"/>
      <c r="AD965" s="18"/>
    </row>
    <row r="966" ht="24.75" customHeight="1">
      <c r="A966" s="19"/>
      <c r="B966" s="18"/>
      <c r="C966" s="18"/>
      <c r="D966" s="18"/>
      <c r="E966" s="18"/>
      <c r="F966" s="18"/>
      <c r="G966" s="14"/>
      <c r="H966" s="14"/>
      <c r="I966" s="14"/>
      <c r="J966" s="14"/>
      <c r="K966" s="14"/>
      <c r="L966" s="14"/>
      <c r="M966" s="18"/>
      <c r="N966" s="14"/>
      <c r="O966" s="14"/>
      <c r="P966" s="14"/>
      <c r="Q966" s="14"/>
      <c r="R966" s="14"/>
      <c r="S966" s="14"/>
      <c r="T966" s="14"/>
      <c r="U966" s="18"/>
      <c r="V966" s="18"/>
      <c r="W966" s="18"/>
      <c r="X966" s="18"/>
      <c r="Y966" s="18"/>
      <c r="Z966" s="18"/>
      <c r="AA966" s="18"/>
      <c r="AB966" s="18"/>
      <c r="AC966" s="18"/>
      <c r="AD966" s="18"/>
    </row>
    <row r="967" ht="24.75" customHeight="1">
      <c r="A967" s="19"/>
      <c r="B967" s="18"/>
      <c r="C967" s="18"/>
      <c r="D967" s="18"/>
      <c r="E967" s="18"/>
      <c r="F967" s="18"/>
      <c r="G967" s="14"/>
      <c r="H967" s="14"/>
      <c r="I967" s="14"/>
      <c r="J967" s="14"/>
      <c r="K967" s="14"/>
      <c r="L967" s="14"/>
      <c r="M967" s="18"/>
      <c r="N967" s="14"/>
      <c r="O967" s="14"/>
      <c r="P967" s="14"/>
      <c r="Q967" s="14"/>
      <c r="R967" s="14"/>
      <c r="S967" s="14"/>
      <c r="T967" s="14"/>
      <c r="U967" s="18"/>
      <c r="V967" s="18"/>
      <c r="W967" s="18"/>
      <c r="X967" s="18"/>
      <c r="Y967" s="18"/>
      <c r="Z967" s="18"/>
      <c r="AA967" s="18"/>
      <c r="AB967" s="18"/>
      <c r="AC967" s="18"/>
      <c r="AD967" s="18"/>
    </row>
    <row r="968" ht="24.75" customHeight="1">
      <c r="A968" s="19"/>
      <c r="B968" s="18"/>
      <c r="C968" s="18"/>
      <c r="D968" s="18"/>
      <c r="E968" s="18"/>
      <c r="F968" s="18"/>
      <c r="G968" s="14"/>
      <c r="H968" s="14"/>
      <c r="I968" s="14"/>
      <c r="J968" s="14"/>
      <c r="K968" s="14"/>
      <c r="L968" s="14"/>
      <c r="M968" s="18"/>
      <c r="N968" s="14"/>
      <c r="O968" s="14"/>
      <c r="P968" s="14"/>
      <c r="Q968" s="14"/>
      <c r="R968" s="14"/>
      <c r="S968" s="14"/>
      <c r="T968" s="14"/>
      <c r="U968" s="18"/>
      <c r="V968" s="18"/>
      <c r="W968" s="18"/>
      <c r="X968" s="18"/>
      <c r="Y968" s="18"/>
      <c r="Z968" s="18"/>
      <c r="AA968" s="18"/>
      <c r="AB968" s="18"/>
      <c r="AC968" s="18"/>
      <c r="AD968" s="18"/>
    </row>
    <row r="969" ht="24.75" customHeight="1">
      <c r="A969" s="19"/>
      <c r="B969" s="18"/>
      <c r="C969" s="18"/>
      <c r="D969" s="18"/>
      <c r="E969" s="18"/>
      <c r="F969" s="18"/>
      <c r="G969" s="14"/>
      <c r="H969" s="14"/>
      <c r="I969" s="14"/>
      <c r="J969" s="14"/>
      <c r="K969" s="14"/>
      <c r="L969" s="14"/>
      <c r="M969" s="18"/>
      <c r="N969" s="14"/>
      <c r="O969" s="14"/>
      <c r="P969" s="14"/>
      <c r="Q969" s="14"/>
      <c r="R969" s="14"/>
      <c r="S969" s="14"/>
      <c r="T969" s="14"/>
      <c r="U969" s="18"/>
      <c r="V969" s="18"/>
      <c r="W969" s="18"/>
      <c r="X969" s="18"/>
      <c r="Y969" s="18"/>
      <c r="Z969" s="18"/>
      <c r="AA969" s="18"/>
      <c r="AB969" s="18"/>
      <c r="AC969" s="18"/>
      <c r="AD969" s="18"/>
    </row>
    <row r="970" ht="24.75" customHeight="1">
      <c r="A970" s="19"/>
      <c r="B970" s="18"/>
      <c r="C970" s="18"/>
      <c r="D970" s="18"/>
      <c r="E970" s="18"/>
      <c r="F970" s="18"/>
      <c r="G970" s="14"/>
      <c r="H970" s="14"/>
      <c r="I970" s="14"/>
      <c r="J970" s="14"/>
      <c r="K970" s="14"/>
      <c r="L970" s="14"/>
      <c r="M970" s="18"/>
      <c r="N970" s="14"/>
      <c r="O970" s="14"/>
      <c r="P970" s="14"/>
      <c r="Q970" s="14"/>
      <c r="R970" s="14"/>
      <c r="S970" s="14"/>
      <c r="T970" s="14"/>
      <c r="U970" s="18"/>
      <c r="V970" s="18"/>
      <c r="W970" s="18"/>
      <c r="X970" s="18"/>
      <c r="Y970" s="18"/>
      <c r="Z970" s="18"/>
      <c r="AA970" s="18"/>
      <c r="AB970" s="18"/>
      <c r="AC970" s="18"/>
      <c r="AD970" s="18"/>
    </row>
    <row r="971" ht="24.75" customHeight="1">
      <c r="A971" s="19"/>
      <c r="B971" s="18"/>
      <c r="C971" s="18"/>
      <c r="D971" s="18"/>
      <c r="E971" s="18"/>
      <c r="F971" s="18"/>
      <c r="G971" s="14"/>
      <c r="H971" s="14"/>
      <c r="I971" s="14"/>
      <c r="J971" s="14"/>
      <c r="K971" s="14"/>
      <c r="L971" s="14"/>
      <c r="M971" s="18"/>
      <c r="N971" s="14"/>
      <c r="O971" s="14"/>
      <c r="P971" s="14"/>
      <c r="Q971" s="14"/>
      <c r="R971" s="14"/>
      <c r="S971" s="14"/>
      <c r="T971" s="14"/>
      <c r="U971" s="18"/>
      <c r="V971" s="18"/>
      <c r="W971" s="18"/>
      <c r="X971" s="18"/>
      <c r="Y971" s="18"/>
      <c r="Z971" s="18"/>
      <c r="AA971" s="18"/>
      <c r="AB971" s="18"/>
      <c r="AC971" s="18"/>
      <c r="AD971" s="18"/>
    </row>
    <row r="972" ht="24.75" customHeight="1">
      <c r="A972" s="19"/>
      <c r="B972" s="18"/>
      <c r="C972" s="18"/>
      <c r="D972" s="18"/>
      <c r="E972" s="18"/>
      <c r="F972" s="18"/>
      <c r="G972" s="14"/>
      <c r="H972" s="14"/>
      <c r="I972" s="14"/>
      <c r="J972" s="14"/>
      <c r="K972" s="14"/>
      <c r="L972" s="14"/>
      <c r="M972" s="18"/>
      <c r="N972" s="14"/>
      <c r="O972" s="14"/>
      <c r="P972" s="14"/>
      <c r="Q972" s="14"/>
      <c r="R972" s="14"/>
      <c r="S972" s="14"/>
      <c r="T972" s="14"/>
      <c r="U972" s="18"/>
      <c r="V972" s="18"/>
      <c r="W972" s="18"/>
      <c r="X972" s="18"/>
      <c r="Y972" s="18"/>
      <c r="Z972" s="18"/>
      <c r="AA972" s="18"/>
      <c r="AB972" s="18"/>
      <c r="AC972" s="18"/>
      <c r="AD972" s="18"/>
    </row>
    <row r="973" ht="24.75" customHeight="1">
      <c r="A973" s="19"/>
      <c r="B973" s="18"/>
      <c r="C973" s="18"/>
      <c r="D973" s="18"/>
      <c r="E973" s="18"/>
      <c r="F973" s="18"/>
      <c r="G973" s="14"/>
      <c r="H973" s="14"/>
      <c r="I973" s="14"/>
      <c r="J973" s="14"/>
      <c r="K973" s="14"/>
      <c r="L973" s="14"/>
      <c r="M973" s="18"/>
      <c r="N973" s="14"/>
      <c r="O973" s="14"/>
      <c r="P973" s="14"/>
      <c r="Q973" s="14"/>
      <c r="R973" s="14"/>
      <c r="S973" s="14"/>
      <c r="T973" s="14"/>
      <c r="U973" s="18"/>
      <c r="V973" s="18"/>
      <c r="W973" s="18"/>
      <c r="X973" s="18"/>
      <c r="Y973" s="18"/>
      <c r="Z973" s="18"/>
      <c r="AA973" s="18"/>
      <c r="AB973" s="18"/>
      <c r="AC973" s="18"/>
      <c r="AD973" s="18"/>
    </row>
    <row r="974" ht="24.75" customHeight="1">
      <c r="A974" s="19"/>
      <c r="B974" s="18"/>
      <c r="C974" s="18"/>
      <c r="D974" s="18"/>
      <c r="E974" s="18"/>
      <c r="F974" s="18"/>
      <c r="G974" s="14"/>
      <c r="H974" s="14"/>
      <c r="I974" s="14"/>
      <c r="J974" s="14"/>
      <c r="K974" s="14"/>
      <c r="L974" s="14"/>
      <c r="M974" s="18"/>
      <c r="N974" s="14"/>
      <c r="O974" s="14"/>
      <c r="P974" s="14"/>
      <c r="Q974" s="14"/>
      <c r="R974" s="14"/>
      <c r="S974" s="14"/>
      <c r="T974" s="14"/>
      <c r="U974" s="18"/>
      <c r="V974" s="18"/>
      <c r="W974" s="18"/>
      <c r="X974" s="18"/>
      <c r="Y974" s="18"/>
      <c r="Z974" s="18"/>
      <c r="AA974" s="18"/>
      <c r="AB974" s="18"/>
      <c r="AC974" s="18"/>
      <c r="AD974" s="18"/>
    </row>
    <row r="975" ht="24.75" customHeight="1">
      <c r="A975" s="19"/>
      <c r="B975" s="18"/>
      <c r="C975" s="18"/>
      <c r="D975" s="18"/>
      <c r="E975" s="18"/>
      <c r="F975" s="18"/>
      <c r="G975" s="14"/>
      <c r="H975" s="14"/>
      <c r="I975" s="14"/>
      <c r="J975" s="14"/>
      <c r="K975" s="14"/>
      <c r="L975" s="14"/>
      <c r="M975" s="18"/>
      <c r="N975" s="14"/>
      <c r="O975" s="14"/>
      <c r="P975" s="14"/>
      <c r="Q975" s="14"/>
      <c r="R975" s="14"/>
      <c r="S975" s="14"/>
      <c r="T975" s="14"/>
      <c r="U975" s="18"/>
      <c r="V975" s="18"/>
      <c r="W975" s="18"/>
      <c r="X975" s="18"/>
      <c r="Y975" s="18"/>
      <c r="Z975" s="18"/>
      <c r="AA975" s="18"/>
      <c r="AB975" s="18"/>
      <c r="AC975" s="18"/>
      <c r="AD975" s="18"/>
    </row>
    <row r="976" ht="24.75" customHeight="1">
      <c r="A976" s="19"/>
      <c r="B976" s="18"/>
      <c r="C976" s="18"/>
      <c r="D976" s="18"/>
      <c r="E976" s="18"/>
      <c r="F976" s="18"/>
      <c r="G976" s="14"/>
      <c r="H976" s="14"/>
      <c r="I976" s="14"/>
      <c r="J976" s="14"/>
      <c r="K976" s="14"/>
      <c r="L976" s="14"/>
      <c r="M976" s="18"/>
      <c r="N976" s="14"/>
      <c r="O976" s="14"/>
      <c r="P976" s="14"/>
      <c r="Q976" s="14"/>
      <c r="R976" s="14"/>
      <c r="S976" s="14"/>
      <c r="T976" s="14"/>
      <c r="U976" s="18"/>
      <c r="V976" s="18"/>
      <c r="W976" s="18"/>
      <c r="X976" s="18"/>
      <c r="Y976" s="18"/>
      <c r="Z976" s="18"/>
      <c r="AA976" s="18"/>
      <c r="AB976" s="18"/>
      <c r="AC976" s="18"/>
      <c r="AD976" s="18"/>
    </row>
    <row r="977" ht="24.75" customHeight="1">
      <c r="A977" s="19"/>
      <c r="B977" s="18"/>
      <c r="C977" s="18"/>
      <c r="D977" s="18"/>
      <c r="E977" s="18"/>
      <c r="F977" s="18"/>
      <c r="G977" s="14"/>
      <c r="H977" s="14"/>
      <c r="I977" s="14"/>
      <c r="J977" s="14"/>
      <c r="K977" s="14"/>
      <c r="L977" s="14"/>
      <c r="M977" s="18"/>
      <c r="N977" s="14"/>
      <c r="O977" s="14"/>
      <c r="P977" s="14"/>
      <c r="Q977" s="14"/>
      <c r="R977" s="14"/>
      <c r="S977" s="14"/>
      <c r="T977" s="14"/>
      <c r="U977" s="18"/>
      <c r="V977" s="18"/>
      <c r="W977" s="18"/>
      <c r="X977" s="18"/>
      <c r="Y977" s="18"/>
      <c r="Z977" s="18"/>
      <c r="AA977" s="18"/>
      <c r="AB977" s="18"/>
      <c r="AC977" s="18"/>
      <c r="AD977" s="18"/>
    </row>
    <row r="978" ht="24.75" customHeight="1">
      <c r="A978" s="19"/>
      <c r="B978" s="18"/>
      <c r="C978" s="18"/>
      <c r="D978" s="18"/>
      <c r="E978" s="18"/>
      <c r="F978" s="18"/>
      <c r="G978" s="14"/>
      <c r="H978" s="14"/>
      <c r="I978" s="14"/>
      <c r="J978" s="14"/>
      <c r="K978" s="14"/>
      <c r="L978" s="14"/>
      <c r="M978" s="18"/>
      <c r="N978" s="14"/>
      <c r="O978" s="14"/>
      <c r="P978" s="14"/>
      <c r="Q978" s="14"/>
      <c r="R978" s="14"/>
      <c r="S978" s="14"/>
      <c r="T978" s="14"/>
      <c r="U978" s="18"/>
      <c r="V978" s="18"/>
      <c r="W978" s="18"/>
      <c r="X978" s="18"/>
      <c r="Y978" s="18"/>
      <c r="Z978" s="18"/>
      <c r="AA978" s="18"/>
      <c r="AB978" s="18"/>
      <c r="AC978" s="18"/>
      <c r="AD978" s="18"/>
    </row>
    <row r="979" ht="24.75" customHeight="1">
      <c r="A979" s="19"/>
      <c r="B979" s="18"/>
      <c r="C979" s="18"/>
      <c r="D979" s="18"/>
      <c r="E979" s="18"/>
      <c r="F979" s="18"/>
      <c r="G979" s="14"/>
      <c r="H979" s="14"/>
      <c r="I979" s="14"/>
      <c r="J979" s="14"/>
      <c r="K979" s="14"/>
      <c r="L979" s="14"/>
      <c r="M979" s="18"/>
      <c r="N979" s="14"/>
      <c r="O979" s="14"/>
      <c r="P979" s="14"/>
      <c r="Q979" s="14"/>
      <c r="R979" s="14"/>
      <c r="S979" s="14"/>
      <c r="T979" s="14"/>
      <c r="U979" s="18"/>
      <c r="V979" s="18"/>
      <c r="W979" s="18"/>
      <c r="X979" s="18"/>
      <c r="Y979" s="18"/>
      <c r="Z979" s="18"/>
      <c r="AA979" s="18"/>
      <c r="AB979" s="18"/>
      <c r="AC979" s="18"/>
      <c r="AD979" s="18"/>
    </row>
    <row r="980" ht="24.75" customHeight="1">
      <c r="A980" s="19"/>
      <c r="B980" s="18"/>
      <c r="C980" s="18"/>
      <c r="D980" s="18"/>
      <c r="E980" s="18"/>
      <c r="F980" s="18"/>
      <c r="G980" s="14"/>
      <c r="H980" s="14"/>
      <c r="I980" s="14"/>
      <c r="J980" s="14"/>
      <c r="K980" s="14"/>
      <c r="L980" s="14"/>
      <c r="M980" s="18"/>
      <c r="N980" s="14"/>
      <c r="O980" s="14"/>
      <c r="P980" s="14"/>
      <c r="Q980" s="14"/>
      <c r="R980" s="14"/>
      <c r="S980" s="14"/>
      <c r="T980" s="14"/>
      <c r="U980" s="18"/>
      <c r="V980" s="18"/>
      <c r="W980" s="18"/>
      <c r="X980" s="18"/>
      <c r="Y980" s="18"/>
      <c r="Z980" s="18"/>
      <c r="AA980" s="18"/>
      <c r="AB980" s="18"/>
      <c r="AC980" s="18"/>
      <c r="AD980" s="18"/>
    </row>
    <row r="981" ht="24.75" customHeight="1">
      <c r="A981" s="19"/>
      <c r="B981" s="18"/>
      <c r="C981" s="18"/>
      <c r="D981" s="18"/>
      <c r="E981" s="18"/>
      <c r="F981" s="18"/>
      <c r="G981" s="14"/>
      <c r="H981" s="14"/>
      <c r="I981" s="14"/>
      <c r="J981" s="14"/>
      <c r="K981" s="14"/>
      <c r="L981" s="14"/>
      <c r="M981" s="18"/>
      <c r="N981" s="14"/>
      <c r="O981" s="14"/>
      <c r="P981" s="14"/>
      <c r="Q981" s="14"/>
      <c r="R981" s="14"/>
      <c r="S981" s="14"/>
      <c r="T981" s="14"/>
      <c r="U981" s="18"/>
      <c r="V981" s="18"/>
      <c r="W981" s="18"/>
      <c r="X981" s="18"/>
      <c r="Y981" s="18"/>
      <c r="Z981" s="18"/>
      <c r="AA981" s="18"/>
      <c r="AB981" s="18"/>
      <c r="AC981" s="18"/>
      <c r="AD981" s="18"/>
    </row>
    <row r="982" ht="24.75" customHeight="1">
      <c r="A982" s="19"/>
      <c r="B982" s="18"/>
      <c r="C982" s="18"/>
      <c r="D982" s="18"/>
      <c r="E982" s="18"/>
      <c r="F982" s="18"/>
      <c r="G982" s="14"/>
      <c r="H982" s="14"/>
      <c r="I982" s="14"/>
      <c r="J982" s="14"/>
      <c r="K982" s="14"/>
      <c r="L982" s="14"/>
      <c r="M982" s="18"/>
      <c r="N982" s="14"/>
      <c r="O982" s="14"/>
      <c r="P982" s="14"/>
      <c r="Q982" s="14"/>
      <c r="R982" s="14"/>
      <c r="S982" s="14"/>
      <c r="T982" s="14"/>
      <c r="U982" s="18"/>
      <c r="V982" s="18"/>
      <c r="W982" s="18"/>
      <c r="X982" s="18"/>
      <c r="Y982" s="18"/>
      <c r="Z982" s="18"/>
      <c r="AA982" s="18"/>
      <c r="AB982" s="18"/>
      <c r="AC982" s="18"/>
      <c r="AD982" s="18"/>
    </row>
    <row r="983" ht="24.75" customHeight="1">
      <c r="A983" s="19"/>
      <c r="B983" s="18"/>
      <c r="C983" s="18"/>
      <c r="D983" s="18"/>
      <c r="E983" s="18"/>
      <c r="F983" s="18"/>
      <c r="G983" s="14"/>
      <c r="H983" s="14"/>
      <c r="I983" s="14"/>
      <c r="J983" s="14"/>
      <c r="K983" s="14"/>
      <c r="L983" s="14"/>
      <c r="M983" s="18"/>
      <c r="N983" s="14"/>
      <c r="O983" s="14"/>
      <c r="P983" s="14"/>
      <c r="Q983" s="14"/>
      <c r="R983" s="14"/>
      <c r="S983" s="14"/>
      <c r="T983" s="14"/>
      <c r="U983" s="18"/>
      <c r="V983" s="18"/>
      <c r="W983" s="18"/>
      <c r="X983" s="18"/>
      <c r="Y983" s="18"/>
      <c r="Z983" s="18"/>
      <c r="AA983" s="18"/>
      <c r="AB983" s="18"/>
      <c r="AC983" s="18"/>
      <c r="AD983" s="18"/>
    </row>
    <row r="984" ht="24.75" customHeight="1">
      <c r="A984" s="19"/>
      <c r="B984" s="18"/>
      <c r="C984" s="18"/>
      <c r="D984" s="18"/>
      <c r="E984" s="18"/>
      <c r="F984" s="18"/>
      <c r="G984" s="14"/>
      <c r="H984" s="14"/>
      <c r="I984" s="14"/>
      <c r="J984" s="14"/>
      <c r="K984" s="14"/>
      <c r="L984" s="14"/>
      <c r="M984" s="18"/>
      <c r="N984" s="14"/>
      <c r="O984" s="14"/>
      <c r="P984" s="14"/>
      <c r="Q984" s="14"/>
      <c r="R984" s="14"/>
      <c r="S984" s="14"/>
      <c r="T984" s="14"/>
      <c r="U984" s="18"/>
      <c r="V984" s="18"/>
      <c r="W984" s="18"/>
      <c r="X984" s="18"/>
      <c r="Y984" s="18"/>
      <c r="Z984" s="18"/>
      <c r="AA984" s="18"/>
      <c r="AB984" s="18"/>
      <c r="AC984" s="18"/>
      <c r="AD984" s="18"/>
    </row>
    <row r="985" ht="24.75" customHeight="1">
      <c r="A985" s="19"/>
      <c r="B985" s="18"/>
      <c r="C985" s="18"/>
      <c r="D985" s="18"/>
      <c r="E985" s="18"/>
      <c r="F985" s="18"/>
      <c r="G985" s="14"/>
      <c r="H985" s="14"/>
      <c r="I985" s="14"/>
      <c r="J985" s="14"/>
      <c r="K985" s="14"/>
      <c r="L985" s="14"/>
      <c r="M985" s="18"/>
      <c r="N985" s="14"/>
      <c r="O985" s="14"/>
      <c r="P985" s="14"/>
      <c r="Q985" s="14"/>
      <c r="R985" s="14"/>
      <c r="S985" s="14"/>
      <c r="T985" s="14"/>
      <c r="U985" s="18"/>
      <c r="V985" s="18"/>
      <c r="W985" s="18"/>
      <c r="X985" s="18"/>
      <c r="Y985" s="18"/>
      <c r="Z985" s="18"/>
      <c r="AA985" s="18"/>
      <c r="AB985" s="18"/>
      <c r="AC985" s="18"/>
      <c r="AD985" s="18"/>
    </row>
    <row r="986" ht="24.75" customHeight="1">
      <c r="A986" s="19"/>
      <c r="B986" s="18"/>
      <c r="C986" s="18"/>
      <c r="D986" s="18"/>
      <c r="E986" s="18"/>
      <c r="F986" s="18"/>
      <c r="G986" s="14"/>
      <c r="H986" s="14"/>
      <c r="I986" s="14"/>
      <c r="J986" s="14"/>
      <c r="K986" s="14"/>
      <c r="L986" s="14"/>
      <c r="M986" s="18"/>
      <c r="N986" s="14"/>
      <c r="O986" s="14"/>
      <c r="P986" s="14"/>
      <c r="Q986" s="14"/>
      <c r="R986" s="14"/>
      <c r="S986" s="14"/>
      <c r="T986" s="14"/>
      <c r="U986" s="18"/>
      <c r="V986" s="18"/>
      <c r="W986" s="18"/>
      <c r="X986" s="18"/>
      <c r="Y986" s="18"/>
      <c r="Z986" s="18"/>
      <c r="AA986" s="18"/>
      <c r="AB986" s="18"/>
      <c r="AC986" s="18"/>
      <c r="AD986" s="18"/>
    </row>
    <row r="987" ht="24.75" customHeight="1">
      <c r="A987" s="19"/>
      <c r="B987" s="18"/>
      <c r="C987" s="18"/>
      <c r="D987" s="18"/>
      <c r="E987" s="18"/>
      <c r="F987" s="18"/>
      <c r="G987" s="14"/>
      <c r="H987" s="14"/>
      <c r="I987" s="14"/>
      <c r="J987" s="14"/>
      <c r="K987" s="14"/>
      <c r="L987" s="14"/>
      <c r="M987" s="18"/>
      <c r="N987" s="14"/>
      <c r="O987" s="14"/>
      <c r="P987" s="14"/>
      <c r="Q987" s="14"/>
      <c r="R987" s="14"/>
      <c r="S987" s="14"/>
      <c r="T987" s="14"/>
      <c r="U987" s="18"/>
      <c r="V987" s="18"/>
      <c r="W987" s="18"/>
      <c r="X987" s="18"/>
      <c r="Y987" s="18"/>
      <c r="Z987" s="18"/>
      <c r="AA987" s="18"/>
      <c r="AB987" s="18"/>
      <c r="AC987" s="18"/>
      <c r="AD987" s="18"/>
    </row>
    <row r="988" ht="24.75" customHeight="1">
      <c r="A988" s="19"/>
      <c r="B988" s="18"/>
      <c r="C988" s="18"/>
      <c r="D988" s="18"/>
      <c r="E988" s="18"/>
      <c r="F988" s="18"/>
      <c r="G988" s="14"/>
      <c r="H988" s="14"/>
      <c r="I988" s="14"/>
      <c r="J988" s="14"/>
      <c r="K988" s="14"/>
      <c r="L988" s="14"/>
      <c r="M988" s="18"/>
      <c r="N988" s="14"/>
      <c r="O988" s="14"/>
      <c r="P988" s="14"/>
      <c r="Q988" s="14"/>
      <c r="R988" s="14"/>
      <c r="S988" s="14"/>
      <c r="T988" s="14"/>
      <c r="U988" s="18"/>
      <c r="V988" s="18"/>
      <c r="W988" s="18"/>
      <c r="X988" s="18"/>
      <c r="Y988" s="18"/>
      <c r="Z988" s="18"/>
      <c r="AA988" s="18"/>
      <c r="AB988" s="18"/>
      <c r="AC988" s="18"/>
      <c r="AD988" s="18"/>
    </row>
    <row r="989" ht="24.75" customHeight="1">
      <c r="A989" s="19"/>
      <c r="B989" s="18"/>
      <c r="C989" s="18"/>
      <c r="D989" s="18"/>
      <c r="E989" s="18"/>
      <c r="F989" s="18"/>
      <c r="G989" s="14"/>
      <c r="H989" s="14"/>
      <c r="I989" s="14"/>
      <c r="J989" s="14"/>
      <c r="K989" s="14"/>
      <c r="L989" s="14"/>
      <c r="M989" s="18"/>
      <c r="N989" s="14"/>
      <c r="O989" s="14"/>
      <c r="P989" s="14"/>
      <c r="Q989" s="14"/>
      <c r="R989" s="14"/>
      <c r="S989" s="14"/>
      <c r="T989" s="14"/>
      <c r="U989" s="18"/>
      <c r="V989" s="18"/>
      <c r="W989" s="18"/>
      <c r="X989" s="18"/>
      <c r="Y989" s="18"/>
      <c r="Z989" s="18"/>
      <c r="AA989" s="18"/>
      <c r="AB989" s="18"/>
      <c r="AC989" s="18"/>
      <c r="AD989" s="18"/>
    </row>
    <row r="990" ht="24.75" customHeight="1">
      <c r="A990" s="19"/>
      <c r="B990" s="18"/>
      <c r="C990" s="18"/>
      <c r="D990" s="18"/>
      <c r="E990" s="18"/>
      <c r="F990" s="18"/>
      <c r="G990" s="14"/>
      <c r="H990" s="14"/>
      <c r="I990" s="14"/>
      <c r="J990" s="14"/>
      <c r="K990" s="14"/>
      <c r="L990" s="14"/>
      <c r="M990" s="18"/>
      <c r="N990" s="14"/>
      <c r="O990" s="14"/>
      <c r="P990" s="14"/>
      <c r="Q990" s="14"/>
      <c r="R990" s="14"/>
      <c r="S990" s="14"/>
      <c r="T990" s="14"/>
      <c r="U990" s="18"/>
      <c r="V990" s="18"/>
      <c r="W990" s="18"/>
      <c r="X990" s="18"/>
      <c r="Y990" s="18"/>
      <c r="Z990" s="18"/>
      <c r="AA990" s="18"/>
      <c r="AB990" s="18"/>
      <c r="AC990" s="18"/>
      <c r="AD990" s="18"/>
    </row>
    <row r="991" ht="24.75" customHeight="1">
      <c r="A991" s="19"/>
      <c r="B991" s="18"/>
      <c r="C991" s="18"/>
      <c r="D991" s="18"/>
      <c r="E991" s="18"/>
      <c r="F991" s="18"/>
      <c r="G991" s="14"/>
      <c r="H991" s="14"/>
      <c r="I991" s="14"/>
      <c r="J991" s="14"/>
      <c r="K991" s="14"/>
      <c r="L991" s="14"/>
      <c r="M991" s="18"/>
      <c r="N991" s="14"/>
      <c r="O991" s="14"/>
      <c r="P991" s="14"/>
      <c r="Q991" s="14"/>
      <c r="R991" s="14"/>
      <c r="S991" s="14"/>
      <c r="T991" s="14"/>
      <c r="U991" s="18"/>
      <c r="V991" s="18"/>
      <c r="W991" s="18"/>
      <c r="X991" s="18"/>
      <c r="Y991" s="18"/>
      <c r="Z991" s="18"/>
      <c r="AA991" s="18"/>
      <c r="AB991" s="18"/>
      <c r="AC991" s="18"/>
      <c r="AD991" s="18"/>
    </row>
    <row r="992" ht="24.75" customHeight="1">
      <c r="A992" s="19"/>
      <c r="B992" s="18"/>
      <c r="C992" s="18"/>
      <c r="D992" s="18"/>
      <c r="E992" s="18"/>
      <c r="F992" s="18"/>
      <c r="G992" s="14"/>
      <c r="H992" s="14"/>
      <c r="I992" s="14"/>
      <c r="J992" s="14"/>
      <c r="K992" s="14"/>
      <c r="L992" s="14"/>
      <c r="M992" s="18"/>
      <c r="N992" s="14"/>
      <c r="O992" s="14"/>
      <c r="P992" s="14"/>
      <c r="Q992" s="14"/>
      <c r="R992" s="14"/>
      <c r="S992" s="14"/>
      <c r="T992" s="14"/>
      <c r="U992" s="18"/>
      <c r="V992" s="18"/>
      <c r="W992" s="18"/>
      <c r="X992" s="18"/>
      <c r="Y992" s="18"/>
      <c r="Z992" s="18"/>
      <c r="AA992" s="18"/>
      <c r="AB992" s="18"/>
      <c r="AC992" s="18"/>
      <c r="AD992" s="18"/>
    </row>
    <row r="993" ht="24.75" customHeight="1">
      <c r="A993" s="19"/>
      <c r="B993" s="18"/>
      <c r="C993" s="18"/>
      <c r="D993" s="18"/>
      <c r="E993" s="18"/>
      <c r="F993" s="18"/>
      <c r="G993" s="14"/>
      <c r="H993" s="14"/>
      <c r="I993" s="14"/>
      <c r="J993" s="14"/>
      <c r="K993" s="14"/>
      <c r="L993" s="14"/>
      <c r="M993" s="18"/>
      <c r="N993" s="14"/>
      <c r="O993" s="14"/>
      <c r="P993" s="14"/>
      <c r="Q993" s="14"/>
      <c r="R993" s="14"/>
      <c r="S993" s="14"/>
      <c r="T993" s="14"/>
      <c r="U993" s="18"/>
      <c r="V993" s="18"/>
      <c r="W993" s="18"/>
      <c r="X993" s="18"/>
      <c r="Y993" s="18"/>
      <c r="Z993" s="18"/>
      <c r="AA993" s="18"/>
      <c r="AB993" s="18"/>
      <c r="AC993" s="18"/>
      <c r="AD993" s="18"/>
    </row>
    <row r="994" ht="24.75" customHeight="1">
      <c r="A994" s="19"/>
      <c r="B994" s="18"/>
      <c r="C994" s="18"/>
      <c r="D994" s="18"/>
      <c r="E994" s="18"/>
      <c r="F994" s="18"/>
      <c r="G994" s="14"/>
      <c r="H994" s="14"/>
      <c r="I994" s="14"/>
      <c r="J994" s="14"/>
      <c r="K994" s="14"/>
      <c r="L994" s="14"/>
      <c r="M994" s="18"/>
      <c r="N994" s="14"/>
      <c r="O994" s="14"/>
      <c r="P994" s="14"/>
      <c r="Q994" s="14"/>
      <c r="R994" s="14"/>
      <c r="S994" s="14"/>
      <c r="T994" s="14"/>
      <c r="U994" s="18"/>
      <c r="V994" s="18"/>
      <c r="W994" s="18"/>
      <c r="X994" s="18"/>
      <c r="Y994" s="18"/>
      <c r="Z994" s="18"/>
      <c r="AA994" s="18"/>
      <c r="AB994" s="18"/>
      <c r="AC994" s="18"/>
      <c r="AD994" s="18"/>
    </row>
    <row r="995" ht="24.75" customHeight="1">
      <c r="A995" s="19"/>
      <c r="B995" s="18"/>
      <c r="C995" s="18"/>
      <c r="D995" s="18"/>
      <c r="E995" s="18"/>
      <c r="F995" s="18"/>
      <c r="G995" s="14"/>
      <c r="H995" s="14"/>
      <c r="I995" s="14"/>
      <c r="J995" s="14"/>
      <c r="K995" s="14"/>
      <c r="L995" s="14"/>
      <c r="M995" s="18"/>
      <c r="N995" s="14"/>
      <c r="O995" s="14"/>
      <c r="P995" s="14"/>
      <c r="Q995" s="14"/>
      <c r="R995" s="14"/>
      <c r="S995" s="14"/>
      <c r="T995" s="14"/>
      <c r="U995" s="18"/>
      <c r="V995" s="18"/>
      <c r="W995" s="18"/>
      <c r="X995" s="18"/>
      <c r="Y995" s="18"/>
      <c r="Z995" s="18"/>
      <c r="AA995" s="18"/>
      <c r="AB995" s="18"/>
      <c r="AC995" s="18"/>
      <c r="AD995" s="18"/>
    </row>
    <row r="996" ht="24.75" customHeight="1">
      <c r="A996" s="19"/>
      <c r="B996" s="18"/>
      <c r="C996" s="18"/>
      <c r="D996" s="18"/>
      <c r="E996" s="18"/>
      <c r="F996" s="18"/>
      <c r="G996" s="49"/>
      <c r="H996" s="14"/>
      <c r="I996" s="18"/>
      <c r="J996" s="14"/>
      <c r="K996" s="18"/>
      <c r="L996" s="14"/>
      <c r="M996" s="18"/>
      <c r="N996" s="14"/>
      <c r="O996" s="14"/>
      <c r="P996" s="14"/>
      <c r="Q996" s="14"/>
      <c r="R996" s="14"/>
      <c r="S996" s="14"/>
      <c r="T996" s="14"/>
      <c r="U996" s="18"/>
      <c r="V996" s="18"/>
      <c r="W996" s="18"/>
      <c r="X996" s="18"/>
      <c r="Y996" s="18"/>
      <c r="Z996" s="18"/>
      <c r="AA996" s="18"/>
      <c r="AB996" s="18"/>
      <c r="AC996" s="18"/>
      <c r="AD996" s="18"/>
    </row>
  </sheetData>
  <autoFilter ref="$A$1:$W$167"/>
  <conditionalFormatting sqref="F1">
    <cfRule type="notContainsBlanks" dxfId="3" priority="1">
      <formula>LEN(TRIM(F1))&gt;0</formula>
    </cfRule>
  </conditionalFormatting>
  <hyperlinks>
    <hyperlink r:id="rId1" ref="K3"/>
    <hyperlink r:id="rId2" ref="K4"/>
    <hyperlink r:id="rId3" ref="K5"/>
    <hyperlink r:id="rId4" ref="K6"/>
    <hyperlink r:id="rId5" ref="K7"/>
    <hyperlink r:id="rId6" ref="K8"/>
    <hyperlink r:id="rId7" ref="K10"/>
    <hyperlink r:id="rId8" ref="K11"/>
    <hyperlink r:id="rId9" ref="K13"/>
    <hyperlink r:id="rId10" ref="K14"/>
    <hyperlink r:id="rId11" ref="K23"/>
    <hyperlink r:id="rId12" ref="K24"/>
    <hyperlink r:id="rId13" ref="K26"/>
    <hyperlink r:id="rId14" ref="K27"/>
    <hyperlink r:id="rId15" ref="K28"/>
    <hyperlink r:id="rId16" ref="K29"/>
    <hyperlink r:id="rId17" ref="K31"/>
    <hyperlink r:id="rId18" ref="K32"/>
    <hyperlink r:id="rId19" ref="K33"/>
    <hyperlink r:id="rId20" ref="K34"/>
    <hyperlink r:id="rId21" ref="K36"/>
    <hyperlink r:id="rId22" ref="K38"/>
    <hyperlink r:id="rId23" ref="K39"/>
    <hyperlink r:id="rId24" ref="K40"/>
    <hyperlink r:id="rId25" ref="K41"/>
    <hyperlink r:id="rId26" ref="K42"/>
    <hyperlink r:id="rId27" ref="K43"/>
    <hyperlink r:id="rId28" ref="K44"/>
    <hyperlink r:id="rId29" ref="K45"/>
    <hyperlink r:id="rId30" ref="K46"/>
    <hyperlink r:id="rId31" ref="K48"/>
    <hyperlink r:id="rId32" ref="K49"/>
    <hyperlink r:id="rId33" ref="K55"/>
    <hyperlink r:id="rId34" ref="K57"/>
    <hyperlink r:id="rId35" ref="K64"/>
    <hyperlink r:id="rId36" ref="K69"/>
    <hyperlink r:id="rId37" ref="K71"/>
    <hyperlink r:id="rId38" ref="K76"/>
    <hyperlink r:id="rId39" ref="K77"/>
    <hyperlink r:id="rId40" ref="K79"/>
    <hyperlink r:id="rId41" ref="K80"/>
    <hyperlink r:id="rId42" ref="K81"/>
    <hyperlink r:id="rId43" ref="K82"/>
    <hyperlink r:id="rId44" ref="U85"/>
    <hyperlink r:id="rId45" ref="T86"/>
    <hyperlink r:id="rId46" ref="K87"/>
    <hyperlink r:id="rId47" ref="K88"/>
    <hyperlink r:id="rId48" ref="K89"/>
    <hyperlink r:id="rId49" ref="K90"/>
    <hyperlink r:id="rId50" ref="K91"/>
    <hyperlink r:id="rId51" ref="K95"/>
    <hyperlink r:id="rId52" ref="K96"/>
    <hyperlink r:id="rId53" ref="K97"/>
    <hyperlink r:id="rId54" ref="K98"/>
    <hyperlink r:id="rId55" ref="K99"/>
    <hyperlink r:id="rId56" ref="K100"/>
    <hyperlink r:id="rId57" ref="K101"/>
    <hyperlink r:id="rId58" ref="K102"/>
    <hyperlink r:id="rId59" ref="K103"/>
    <hyperlink r:id="rId60" ref="K104"/>
    <hyperlink r:id="rId61" ref="K105"/>
    <hyperlink r:id="rId62" ref="K106"/>
    <hyperlink r:id="rId63" ref="K107"/>
    <hyperlink r:id="rId64" ref="K108"/>
    <hyperlink r:id="rId65" ref="K109"/>
    <hyperlink r:id="rId66" ref="K110"/>
    <hyperlink r:id="rId67" ref="K111"/>
    <hyperlink r:id="rId68" ref="K112"/>
    <hyperlink r:id="rId69" ref="K121"/>
    <hyperlink r:id="rId70" ref="K125"/>
    <hyperlink r:id="rId71" ref="K126"/>
    <hyperlink r:id="rId72" ref="K127"/>
    <hyperlink r:id="rId73" ref="K128"/>
    <hyperlink r:id="rId74" ref="K131"/>
    <hyperlink r:id="rId75" ref="K132"/>
    <hyperlink r:id="rId76" ref="K134"/>
    <hyperlink r:id="rId77" ref="K135"/>
    <hyperlink r:id="rId78" ref="K136"/>
    <hyperlink r:id="rId79" ref="K138"/>
    <hyperlink r:id="rId80" ref="K139"/>
    <hyperlink r:id="rId81" ref="K140"/>
    <hyperlink r:id="rId82" ref="K141"/>
    <hyperlink r:id="rId83" ref="K145"/>
  </hyperlinks>
  <printOptions gridLines="1"/>
  <pageMargins bottom="0.75" footer="0.0" header="0.0" left="0.7" right="0.7" top="0.75"/>
  <pageSetup scale="52" orientation="landscape"/>
  <drawing r:id="rId84"/>
  <tableParts count="2">
    <tablePart r:id="rId87"/>
    <tablePart r:id="rId8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sheetData>
    <row r="1">
      <c r="A1" s="77" t="s">
        <v>2578</v>
      </c>
      <c r="B1" s="78"/>
      <c r="C1" s="78"/>
      <c r="D1" s="78"/>
      <c r="E1" s="78"/>
      <c r="F1" s="78"/>
      <c r="G1" s="78"/>
      <c r="H1" s="78"/>
      <c r="I1" s="78"/>
      <c r="J1" s="78"/>
      <c r="K1" s="78"/>
      <c r="L1" s="78"/>
      <c r="M1" s="78"/>
      <c r="N1" s="78"/>
      <c r="O1" s="78"/>
      <c r="P1" s="78"/>
      <c r="Q1" s="78"/>
      <c r="R1" s="78"/>
      <c r="S1" s="78"/>
      <c r="T1" s="78"/>
      <c r="U1" s="78"/>
      <c r="V1" s="78"/>
      <c r="W1" s="78"/>
    </row>
    <row r="2">
      <c r="A2" s="79"/>
      <c r="B2" s="80" t="s">
        <v>2579</v>
      </c>
      <c r="C2" s="80" t="s">
        <v>2580</v>
      </c>
      <c r="F2" s="81" t="s">
        <v>2579</v>
      </c>
      <c r="G2" s="81" t="s">
        <v>2580</v>
      </c>
    </row>
    <row r="3">
      <c r="A3" s="79" t="s">
        <v>2202</v>
      </c>
      <c r="B3" s="79">
        <v>1.0</v>
      </c>
      <c r="C3" s="82">
        <v>0.39370078740157477</v>
      </c>
      <c r="E3" t="s">
        <v>2202</v>
      </c>
      <c r="F3">
        <v>1.0</v>
      </c>
      <c r="G3" s="83">
        <f t="shared" ref="G3:G19" si="1">F3/254*100</f>
        <v>0.3937007874</v>
      </c>
    </row>
    <row r="4">
      <c r="A4" s="79" t="s">
        <v>1106</v>
      </c>
      <c r="B4" s="79">
        <v>4.0</v>
      </c>
      <c r="C4" s="82">
        <v>1.574803149606299</v>
      </c>
      <c r="E4" t="s">
        <v>1106</v>
      </c>
      <c r="F4">
        <v>4.0</v>
      </c>
      <c r="G4" s="83">
        <f t="shared" si="1"/>
        <v>1.57480315</v>
      </c>
    </row>
    <row r="5">
      <c r="A5" s="79" t="s">
        <v>1179</v>
      </c>
      <c r="B5" s="79">
        <v>1.0</v>
      </c>
      <c r="C5" s="82">
        <v>0.39370078740157477</v>
      </c>
      <c r="E5" t="s">
        <v>1179</v>
      </c>
      <c r="F5">
        <v>1.0</v>
      </c>
      <c r="G5" s="83">
        <f t="shared" si="1"/>
        <v>0.3937007874</v>
      </c>
    </row>
    <row r="6">
      <c r="A6" s="84" t="s">
        <v>1039</v>
      </c>
      <c r="B6" s="84">
        <v>36.0</v>
      </c>
      <c r="C6" s="85">
        <v>14.173228346456693</v>
      </c>
      <c r="E6" s="86" t="s">
        <v>1039</v>
      </c>
      <c r="F6" s="86">
        <v>36.0</v>
      </c>
      <c r="G6" s="87">
        <f t="shared" si="1"/>
        <v>14.17322835</v>
      </c>
    </row>
    <row r="7">
      <c r="A7" s="79" t="s">
        <v>1534</v>
      </c>
      <c r="B7" s="79">
        <v>1.0</v>
      </c>
      <c r="C7" s="82">
        <v>0.39370078740157477</v>
      </c>
      <c r="E7" t="s">
        <v>1534</v>
      </c>
      <c r="F7">
        <v>1.0</v>
      </c>
      <c r="G7" s="83">
        <f t="shared" si="1"/>
        <v>0.3937007874</v>
      </c>
    </row>
    <row r="8">
      <c r="A8" s="84" t="s">
        <v>54</v>
      </c>
      <c r="B8" s="84">
        <v>53.0</v>
      </c>
      <c r="C8" s="85">
        <v>20.866141732283463</v>
      </c>
      <c r="E8" s="86" t="s">
        <v>54</v>
      </c>
      <c r="F8" s="86">
        <v>53.0</v>
      </c>
      <c r="G8" s="87">
        <f t="shared" si="1"/>
        <v>20.86614173</v>
      </c>
    </row>
    <row r="9">
      <c r="A9" s="84" t="s">
        <v>1736</v>
      </c>
      <c r="B9" s="84">
        <v>9.0</v>
      </c>
      <c r="C9" s="85">
        <v>3.543307086614173</v>
      </c>
      <c r="E9" s="86" t="s">
        <v>1736</v>
      </c>
      <c r="F9" s="86">
        <v>9.0</v>
      </c>
      <c r="G9" s="87">
        <f t="shared" si="1"/>
        <v>3.543307087</v>
      </c>
    </row>
    <row r="10">
      <c r="A10" s="84" t="s">
        <v>183</v>
      </c>
      <c r="B10" s="84">
        <v>23.0</v>
      </c>
      <c r="C10" s="85">
        <v>9.05511811023622</v>
      </c>
      <c r="E10" s="86" t="s">
        <v>183</v>
      </c>
      <c r="F10" s="86">
        <v>23.0</v>
      </c>
      <c r="G10" s="87">
        <f t="shared" si="1"/>
        <v>9.05511811</v>
      </c>
    </row>
    <row r="11">
      <c r="A11" s="79" t="s">
        <v>1823</v>
      </c>
      <c r="B11" s="79">
        <v>1.0</v>
      </c>
      <c r="C11" s="82">
        <v>0.39370078740157477</v>
      </c>
      <c r="E11" t="s">
        <v>1823</v>
      </c>
      <c r="F11">
        <v>1.0</v>
      </c>
      <c r="G11" s="83">
        <f t="shared" si="1"/>
        <v>0.3937007874</v>
      </c>
    </row>
    <row r="12">
      <c r="A12" s="79" t="s">
        <v>1926</v>
      </c>
      <c r="B12" s="79">
        <v>2.0</v>
      </c>
      <c r="C12" s="82">
        <v>0.7874015748031495</v>
      </c>
      <c r="E12" t="s">
        <v>1926</v>
      </c>
      <c r="F12">
        <v>2.0</v>
      </c>
      <c r="G12" s="83">
        <f t="shared" si="1"/>
        <v>0.7874015748</v>
      </c>
    </row>
    <row r="13">
      <c r="A13" s="84" t="s">
        <v>1268</v>
      </c>
      <c r="B13" s="84">
        <v>19.0</v>
      </c>
      <c r="C13" s="85">
        <v>7.480314960629922</v>
      </c>
      <c r="E13" s="86" t="s">
        <v>1268</v>
      </c>
      <c r="F13" s="86">
        <v>19.0</v>
      </c>
      <c r="G13" s="87">
        <f t="shared" si="1"/>
        <v>7.480314961</v>
      </c>
    </row>
    <row r="14">
      <c r="A14" s="79" t="s">
        <v>1947</v>
      </c>
      <c r="B14" s="79">
        <v>7.0</v>
      </c>
      <c r="C14" s="82">
        <v>2.7559055118110236</v>
      </c>
      <c r="E14" t="s">
        <v>1947</v>
      </c>
      <c r="F14">
        <v>7.0</v>
      </c>
      <c r="G14" s="83">
        <f t="shared" si="1"/>
        <v>2.755905512</v>
      </c>
    </row>
    <row r="15">
      <c r="A15" s="79"/>
      <c r="B15" s="79"/>
      <c r="C15" s="82"/>
      <c r="E15" s="86" t="s">
        <v>27</v>
      </c>
      <c r="F15" s="88">
        <v>64.0</v>
      </c>
      <c r="G15" s="87">
        <f t="shared" si="1"/>
        <v>25.19685039</v>
      </c>
    </row>
    <row r="16">
      <c r="A16" s="84" t="s">
        <v>27</v>
      </c>
      <c r="B16" s="89">
        <v>64.0</v>
      </c>
      <c r="C16" s="85">
        <v>24.409448818897637</v>
      </c>
      <c r="E16" t="s">
        <v>1758</v>
      </c>
      <c r="F16">
        <v>1.0</v>
      </c>
      <c r="G16" s="83">
        <f t="shared" si="1"/>
        <v>0.3937007874</v>
      </c>
    </row>
    <row r="17">
      <c r="A17" s="79" t="s">
        <v>1758</v>
      </c>
      <c r="B17" s="79">
        <v>1.0</v>
      </c>
      <c r="C17" s="82">
        <v>0.39370078740157477</v>
      </c>
      <c r="E17" t="s">
        <v>1188</v>
      </c>
      <c r="F17">
        <v>5.0</v>
      </c>
      <c r="G17" s="83">
        <f t="shared" si="1"/>
        <v>1.968503937</v>
      </c>
    </row>
    <row r="18">
      <c r="A18" s="79" t="s">
        <v>1188</v>
      </c>
      <c r="B18" s="79">
        <v>5.0</v>
      </c>
      <c r="C18" s="82">
        <v>1.968503937007874</v>
      </c>
      <c r="E18" s="86" t="s">
        <v>465</v>
      </c>
      <c r="F18" s="86">
        <v>26.0</v>
      </c>
      <c r="G18" s="87">
        <f t="shared" si="1"/>
        <v>10.23622047</v>
      </c>
    </row>
    <row r="19">
      <c r="A19" s="84" t="s">
        <v>465</v>
      </c>
      <c r="B19" s="84">
        <v>26.0</v>
      </c>
      <c r="C19" s="85">
        <v>10.236220472440944</v>
      </c>
      <c r="E19" t="s">
        <v>1383</v>
      </c>
      <c r="F19">
        <v>1.0</v>
      </c>
      <c r="G19" s="83">
        <f t="shared" si="1"/>
        <v>0.3937007874</v>
      </c>
    </row>
    <row r="20">
      <c r="A20" s="79" t="s">
        <v>1383</v>
      </c>
      <c r="B20" s="79">
        <v>1.0</v>
      </c>
      <c r="C20" s="82">
        <v>0.39370078740157477</v>
      </c>
      <c r="E20" s="90" t="s">
        <v>2581</v>
      </c>
      <c r="F20" s="91">
        <f>sum(F3:F19)</f>
        <v>254</v>
      </c>
      <c r="G20" s="91"/>
    </row>
    <row r="21">
      <c r="A21" s="92" t="s">
        <v>2581</v>
      </c>
      <c r="B21" s="93">
        <f>sum(B3:B20)</f>
        <v>254</v>
      </c>
      <c r="C21" s="93"/>
      <c r="D21" s="91"/>
      <c r="H21" s="91"/>
      <c r="I21" s="91"/>
      <c r="J21" s="91"/>
      <c r="K21" s="91"/>
      <c r="L21" s="91"/>
      <c r="M21" s="91"/>
      <c r="N21" s="91"/>
      <c r="O21" s="91"/>
      <c r="P21" s="91"/>
      <c r="Q21" s="91"/>
      <c r="R21" s="91"/>
      <c r="S21" s="91"/>
      <c r="T21" s="91"/>
      <c r="U21" s="91"/>
      <c r="V21" s="91"/>
      <c r="W21" s="91"/>
    </row>
    <row r="22">
      <c r="A22" s="80" t="s">
        <v>2582</v>
      </c>
      <c r="B22" s="79">
        <f>B3+B4+B5+B7+B11+B12+B14+B15+B17+B18+B17+B20</f>
        <v>25</v>
      </c>
      <c r="C22" s="94">
        <f>25/254</f>
        <v>0.09842519685</v>
      </c>
      <c r="E22" s="81" t="s">
        <v>2582</v>
      </c>
      <c r="F22">
        <f>sum(F19,F17,F16,F14,F12,F11,F7,F5,F4,F3)</f>
        <v>24</v>
      </c>
      <c r="G22" s="95">
        <v>0.09</v>
      </c>
    </row>
    <row r="23">
      <c r="A23" s="80"/>
      <c r="B23" s="80"/>
      <c r="C23" s="79"/>
    </row>
    <row r="24">
      <c r="A24" s="80" t="s">
        <v>2583</v>
      </c>
      <c r="B24" s="80">
        <v>105.0</v>
      </c>
      <c r="C24" s="79"/>
      <c r="E24" s="81" t="s">
        <v>2583</v>
      </c>
      <c r="F24" s="81">
        <v>105.0</v>
      </c>
      <c r="G24" s="96">
        <f>105/254</f>
        <v>0.4133858268</v>
      </c>
    </row>
    <row r="25">
      <c r="A25" s="80" t="s">
        <v>2584</v>
      </c>
      <c r="B25" s="80">
        <v>149.0</v>
      </c>
      <c r="C25" s="79"/>
      <c r="E25" s="81" t="s">
        <v>2584</v>
      </c>
      <c r="F25" s="81">
        <v>149.0</v>
      </c>
      <c r="G25" s="96">
        <f>149/254</f>
        <v>0.5866141732</v>
      </c>
    </row>
    <row r="26">
      <c r="A26" s="79"/>
      <c r="B26" s="79"/>
      <c r="C26" s="79"/>
    </row>
    <row r="27">
      <c r="A27" s="79"/>
      <c r="B27" s="79">
        <f>sum(B24:B25)</f>
        <v>254</v>
      </c>
      <c r="C27" s="79"/>
    </row>
    <row r="32">
      <c r="B32" s="81" t="s">
        <v>2579</v>
      </c>
      <c r="C32" s="81" t="s">
        <v>2580</v>
      </c>
    </row>
    <row r="33">
      <c r="A33" t="s">
        <v>1106</v>
      </c>
      <c r="B33">
        <v>3.0</v>
      </c>
      <c r="C33" s="83">
        <f t="shared" ref="C33:C48" si="2">B33/209*100</f>
        <v>1.435406699</v>
      </c>
    </row>
    <row r="34">
      <c r="A34" t="s">
        <v>1179</v>
      </c>
      <c r="B34">
        <v>1.0</v>
      </c>
      <c r="C34" s="83">
        <f t="shared" si="2"/>
        <v>0.4784688995</v>
      </c>
    </row>
    <row r="35">
      <c r="A35" t="s">
        <v>1039</v>
      </c>
      <c r="B35">
        <v>28.0</v>
      </c>
      <c r="C35" s="83">
        <f t="shared" si="2"/>
        <v>13.39712919</v>
      </c>
    </row>
    <row r="36">
      <c r="A36" t="s">
        <v>1534</v>
      </c>
      <c r="B36">
        <v>1.0</v>
      </c>
      <c r="C36" s="83">
        <f t="shared" si="2"/>
        <v>0.4784688995</v>
      </c>
    </row>
    <row r="37">
      <c r="A37" t="s">
        <v>54</v>
      </c>
      <c r="B37">
        <v>50.0</v>
      </c>
      <c r="C37" s="83">
        <f t="shared" si="2"/>
        <v>23.92344498</v>
      </c>
    </row>
    <row r="38">
      <c r="A38" t="s">
        <v>1736</v>
      </c>
      <c r="B38">
        <v>3.0</v>
      </c>
      <c r="C38" s="83">
        <f t="shared" si="2"/>
        <v>1.435406699</v>
      </c>
    </row>
    <row r="39">
      <c r="A39" t="s">
        <v>183</v>
      </c>
      <c r="B39">
        <v>23.0</v>
      </c>
      <c r="C39" s="83">
        <f t="shared" si="2"/>
        <v>11.00478469</v>
      </c>
    </row>
    <row r="40">
      <c r="A40" t="s">
        <v>1823</v>
      </c>
      <c r="B40">
        <v>1.0</v>
      </c>
      <c r="C40" s="83">
        <f t="shared" si="2"/>
        <v>0.4784688995</v>
      </c>
    </row>
    <row r="41">
      <c r="A41" t="s">
        <v>1926</v>
      </c>
      <c r="B41">
        <v>2.0</v>
      </c>
      <c r="C41" s="83">
        <f t="shared" si="2"/>
        <v>0.956937799</v>
      </c>
    </row>
    <row r="42">
      <c r="A42" t="s">
        <v>1268</v>
      </c>
      <c r="B42">
        <v>10.0</v>
      </c>
      <c r="C42" s="83">
        <f t="shared" si="2"/>
        <v>4.784688995</v>
      </c>
    </row>
    <row r="43">
      <c r="A43" t="s">
        <v>1947</v>
      </c>
      <c r="B43">
        <v>2.0</v>
      </c>
      <c r="C43" s="83">
        <f t="shared" si="2"/>
        <v>0.956937799</v>
      </c>
    </row>
    <row r="44">
      <c r="A44" t="s">
        <v>27</v>
      </c>
      <c r="B44" s="81">
        <v>57.0</v>
      </c>
      <c r="C44" s="83">
        <f t="shared" si="2"/>
        <v>27.27272727</v>
      </c>
    </row>
    <row r="45">
      <c r="A45" t="s">
        <v>1758</v>
      </c>
      <c r="B45">
        <v>1.0</v>
      </c>
      <c r="C45" s="83">
        <f t="shared" si="2"/>
        <v>0.4784688995</v>
      </c>
    </row>
    <row r="46">
      <c r="A46" t="s">
        <v>1188</v>
      </c>
      <c r="B46">
        <v>3.0</v>
      </c>
      <c r="C46" s="83">
        <f t="shared" si="2"/>
        <v>1.435406699</v>
      </c>
    </row>
    <row r="47">
      <c r="A47" t="s">
        <v>465</v>
      </c>
      <c r="B47">
        <v>23.0</v>
      </c>
      <c r="C47" s="83">
        <f t="shared" si="2"/>
        <v>11.00478469</v>
      </c>
    </row>
    <row r="48">
      <c r="A48" t="s">
        <v>1383</v>
      </c>
      <c r="B48">
        <v>1.0</v>
      </c>
      <c r="C48" s="83">
        <f t="shared" si="2"/>
        <v>0.4784688995</v>
      </c>
    </row>
    <row r="49">
      <c r="A49" s="90" t="s">
        <v>2581</v>
      </c>
      <c r="B49" s="91">
        <f>sum(B33:B48)</f>
        <v>209</v>
      </c>
      <c r="C49" s="91"/>
    </row>
    <row r="53">
      <c r="A53" s="81" t="s">
        <v>2583</v>
      </c>
      <c r="B53" s="81">
        <v>81.0</v>
      </c>
    </row>
    <row r="54">
      <c r="A54" s="81" t="s">
        <v>2584</v>
      </c>
      <c r="B54" s="81">
        <v>127.0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16.71"/>
    <col customWidth="1" min="3" max="3" width="16.14"/>
    <col customWidth="1" min="4" max="4" width="25.43"/>
    <col customWidth="1" min="5" max="5" width="18.14"/>
    <col customWidth="1" min="6" max="6" width="8.86"/>
    <col customWidth="1" min="7" max="7" width="14.29"/>
    <col customWidth="1" min="8" max="8" width="18.43"/>
    <col customWidth="1" min="9" max="9" width="24.71"/>
    <col customWidth="1" min="10" max="10" width="35.0"/>
    <col customWidth="1" min="11" max="11" width="15.43"/>
    <col customWidth="1" min="12" max="12" width="42.71"/>
    <col customWidth="1" min="13" max="13" width="8.86"/>
    <col customWidth="1" min="14" max="14" width="21.0"/>
    <col customWidth="1" min="15" max="15" width="29.43"/>
    <col customWidth="1" min="16" max="16" width="48.86"/>
    <col customWidth="1" min="17" max="17" width="26.86"/>
    <col customWidth="1" min="18" max="18" width="34.71"/>
    <col customWidth="1" min="19" max="30" width="8.86"/>
  </cols>
  <sheetData>
    <row r="1" ht="48.0" customHeight="1">
      <c r="A1" s="97" t="s">
        <v>0</v>
      </c>
      <c r="B1" s="98" t="s">
        <v>2585</v>
      </c>
      <c r="C1" s="98" t="s">
        <v>2</v>
      </c>
      <c r="D1" s="98" t="s">
        <v>3</v>
      </c>
      <c r="E1" s="98" t="s">
        <v>4</v>
      </c>
      <c r="F1" s="98" t="s">
        <v>5</v>
      </c>
      <c r="G1" s="98" t="s">
        <v>6</v>
      </c>
      <c r="H1" s="98" t="s">
        <v>7</v>
      </c>
      <c r="I1" s="98" t="s">
        <v>2586</v>
      </c>
      <c r="J1" s="99" t="s">
        <v>10</v>
      </c>
      <c r="K1" s="98" t="s">
        <v>11</v>
      </c>
      <c r="L1" s="98" t="s">
        <v>12</v>
      </c>
      <c r="M1" s="98" t="s">
        <v>2587</v>
      </c>
      <c r="N1" s="98" t="s">
        <v>2588</v>
      </c>
      <c r="O1" s="98" t="s">
        <v>2589</v>
      </c>
      <c r="P1" s="98" t="s">
        <v>2590</v>
      </c>
      <c r="Q1" s="100" t="s">
        <v>2591</v>
      </c>
      <c r="R1" s="100" t="s">
        <v>22</v>
      </c>
      <c r="S1" s="101"/>
      <c r="T1" s="101"/>
      <c r="U1" s="101"/>
      <c r="V1" s="101"/>
      <c r="W1" s="101"/>
      <c r="X1" s="101"/>
      <c r="Y1" s="101"/>
      <c r="Z1" s="101"/>
      <c r="AA1" s="101"/>
      <c r="AB1" s="101"/>
      <c r="AC1" s="101"/>
      <c r="AD1" s="101"/>
    </row>
    <row r="2" ht="24.75" customHeight="1">
      <c r="A2" s="102">
        <v>1.0</v>
      </c>
      <c r="B2" s="103" t="s">
        <v>2592</v>
      </c>
      <c r="C2" s="103" t="s">
        <v>2593</v>
      </c>
      <c r="D2" s="104" t="s">
        <v>1017</v>
      </c>
      <c r="E2" s="105" t="s">
        <v>27</v>
      </c>
      <c r="F2" s="105" t="s">
        <v>89</v>
      </c>
      <c r="G2" s="103" t="s">
        <v>1966</v>
      </c>
      <c r="H2" s="106" t="s">
        <v>2594</v>
      </c>
      <c r="I2" s="104" t="s">
        <v>1967</v>
      </c>
      <c r="J2" s="107" t="s">
        <v>1968</v>
      </c>
      <c r="K2" s="107"/>
      <c r="L2" s="108" t="s">
        <v>1969</v>
      </c>
      <c r="M2" s="107"/>
      <c r="N2" s="104" t="s">
        <v>1965</v>
      </c>
      <c r="O2" s="109" t="s">
        <v>2595</v>
      </c>
      <c r="P2" s="106"/>
      <c r="Q2" s="104"/>
      <c r="R2" s="110"/>
      <c r="S2" s="111"/>
      <c r="T2" s="111"/>
      <c r="U2" s="112"/>
      <c r="V2" s="112"/>
      <c r="W2" s="112"/>
      <c r="X2" s="112"/>
      <c r="Y2" s="112"/>
      <c r="Z2" s="112"/>
    </row>
    <row r="3" ht="24.75" customHeight="1">
      <c r="A3" s="102">
        <f t="shared" ref="A3:A14" si="1">A2+1</f>
        <v>2</v>
      </c>
      <c r="B3" s="113" t="s">
        <v>1985</v>
      </c>
      <c r="C3" s="113" t="s">
        <v>1986</v>
      </c>
      <c r="D3" s="114" t="s">
        <v>1017</v>
      </c>
      <c r="E3" s="115" t="s">
        <v>27</v>
      </c>
      <c r="F3" s="115" t="s">
        <v>89</v>
      </c>
      <c r="G3" s="103" t="s">
        <v>1966</v>
      </c>
      <c r="H3" s="116" t="s">
        <v>2596</v>
      </c>
      <c r="I3" s="114" t="s">
        <v>1988</v>
      </c>
      <c r="J3" s="117" t="s">
        <v>1989</v>
      </c>
      <c r="K3" s="117"/>
      <c r="L3" s="118" t="s">
        <v>1990</v>
      </c>
      <c r="M3" s="117"/>
      <c r="N3" s="114" t="s">
        <v>1987</v>
      </c>
      <c r="O3" s="119" t="s">
        <v>2597</v>
      </c>
      <c r="P3" s="120"/>
      <c r="Q3" s="114"/>
      <c r="R3" s="121"/>
      <c r="S3" s="111"/>
      <c r="T3" s="111"/>
      <c r="U3" s="112"/>
      <c r="V3" s="112"/>
      <c r="W3" s="112"/>
      <c r="X3" s="112"/>
      <c r="Y3" s="112"/>
      <c r="Z3" s="112"/>
    </row>
    <row r="4" ht="24.75" customHeight="1">
      <c r="A4" s="102">
        <f t="shared" si="1"/>
        <v>3</v>
      </c>
      <c r="B4" s="113" t="s">
        <v>2598</v>
      </c>
      <c r="C4" s="113" t="s">
        <v>2012</v>
      </c>
      <c r="D4" s="114" t="s">
        <v>464</v>
      </c>
      <c r="E4" s="115" t="s">
        <v>465</v>
      </c>
      <c r="F4" s="115" t="s">
        <v>41</v>
      </c>
      <c r="G4" s="103" t="s">
        <v>1966</v>
      </c>
      <c r="H4" s="120" t="s">
        <v>2599</v>
      </c>
      <c r="I4" s="122" t="s">
        <v>2600</v>
      </c>
      <c r="J4" s="117" t="s">
        <v>2601</v>
      </c>
      <c r="K4" s="117"/>
      <c r="L4" s="118" t="s">
        <v>2602</v>
      </c>
      <c r="M4" s="117"/>
      <c r="N4" s="114" t="s">
        <v>2603</v>
      </c>
      <c r="O4" s="119" t="s">
        <v>2604</v>
      </c>
      <c r="P4" s="120"/>
      <c r="Q4" s="114"/>
      <c r="R4" s="121"/>
      <c r="S4" s="111"/>
      <c r="T4" s="111"/>
      <c r="U4" s="112"/>
      <c r="V4" s="112"/>
      <c r="W4" s="112"/>
      <c r="X4" s="112"/>
      <c r="Y4" s="112"/>
      <c r="Z4" s="112"/>
    </row>
    <row r="5" ht="24.75" customHeight="1">
      <c r="A5" s="102">
        <f t="shared" si="1"/>
        <v>4</v>
      </c>
      <c r="B5" s="113" t="s">
        <v>1971</v>
      </c>
      <c r="C5" s="113" t="s">
        <v>1972</v>
      </c>
      <c r="D5" s="114" t="s">
        <v>1543</v>
      </c>
      <c r="E5" s="115" t="s">
        <v>1268</v>
      </c>
      <c r="F5" s="115" t="s">
        <v>41</v>
      </c>
      <c r="G5" s="103" t="s">
        <v>1966</v>
      </c>
      <c r="H5" s="120" t="s">
        <v>2605</v>
      </c>
      <c r="I5" s="114" t="s">
        <v>1974</v>
      </c>
      <c r="J5" s="117" t="s">
        <v>1975</v>
      </c>
      <c r="K5" s="117"/>
      <c r="L5" s="118" t="s">
        <v>1976</v>
      </c>
      <c r="M5" s="117"/>
      <c r="N5" s="114" t="s">
        <v>1973</v>
      </c>
      <c r="O5" s="119" t="s">
        <v>2606</v>
      </c>
      <c r="P5" s="120"/>
      <c r="Q5" s="114"/>
      <c r="R5" s="121"/>
      <c r="S5" s="111"/>
      <c r="T5" s="111"/>
      <c r="U5" s="112"/>
      <c r="V5" s="112"/>
      <c r="W5" s="112"/>
      <c r="X5" s="112"/>
      <c r="Y5" s="112"/>
      <c r="Z5" s="112"/>
    </row>
    <row r="6" ht="24.75" customHeight="1">
      <c r="A6" s="102">
        <f t="shared" si="1"/>
        <v>5</v>
      </c>
      <c r="B6" s="113" t="s">
        <v>1978</v>
      </c>
      <c r="C6" s="113" t="s">
        <v>2607</v>
      </c>
      <c r="D6" s="114" t="s">
        <v>294</v>
      </c>
      <c r="E6" s="115" t="s">
        <v>27</v>
      </c>
      <c r="F6" s="115" t="s">
        <v>41</v>
      </c>
      <c r="G6" s="103" t="s">
        <v>1966</v>
      </c>
      <c r="H6" s="120" t="s">
        <v>2608</v>
      </c>
      <c r="I6" s="114" t="s">
        <v>1981</v>
      </c>
      <c r="J6" s="117" t="s">
        <v>1982</v>
      </c>
      <c r="K6" s="117"/>
      <c r="L6" s="118" t="s">
        <v>1983</v>
      </c>
      <c r="M6" s="117"/>
      <c r="N6" s="114" t="s">
        <v>1980</v>
      </c>
      <c r="O6" s="119" t="s">
        <v>2609</v>
      </c>
      <c r="P6" s="120"/>
      <c r="Q6" s="114"/>
      <c r="R6" s="121"/>
      <c r="S6" s="111"/>
      <c r="T6" s="111"/>
      <c r="U6" s="112"/>
      <c r="V6" s="112"/>
      <c r="W6" s="112"/>
      <c r="X6" s="112"/>
      <c r="Y6" s="112"/>
      <c r="Z6" s="112"/>
    </row>
    <row r="7" ht="24.75" customHeight="1">
      <c r="A7" s="102">
        <f t="shared" si="1"/>
        <v>6</v>
      </c>
      <c r="B7" s="113" t="s">
        <v>2610</v>
      </c>
      <c r="C7" s="113" t="s">
        <v>1993</v>
      </c>
      <c r="D7" s="114" t="s">
        <v>2611</v>
      </c>
      <c r="E7" s="115" t="s">
        <v>1039</v>
      </c>
      <c r="F7" s="115" t="s">
        <v>41</v>
      </c>
      <c r="G7" s="103" t="s">
        <v>1966</v>
      </c>
      <c r="H7" s="120" t="s">
        <v>2612</v>
      </c>
      <c r="I7" s="114" t="s">
        <v>1995</v>
      </c>
      <c r="J7" s="117" t="s">
        <v>1996</v>
      </c>
      <c r="K7" s="117"/>
      <c r="L7" s="118"/>
      <c r="M7" s="117"/>
      <c r="N7" s="114" t="s">
        <v>1994</v>
      </c>
      <c r="O7" s="119" t="s">
        <v>2613</v>
      </c>
      <c r="P7" s="120"/>
      <c r="Q7" s="114"/>
      <c r="R7" s="121"/>
      <c r="S7" s="111"/>
      <c r="T7" s="111"/>
      <c r="U7" s="112"/>
      <c r="V7" s="112"/>
      <c r="W7" s="112"/>
      <c r="X7" s="112"/>
      <c r="Y7" s="112"/>
      <c r="Z7" s="112"/>
    </row>
    <row r="8" ht="24.75" customHeight="1">
      <c r="A8" s="102">
        <f t="shared" si="1"/>
        <v>7</v>
      </c>
      <c r="B8" s="123" t="s">
        <v>1998</v>
      </c>
      <c r="C8" s="124" t="s">
        <v>2614</v>
      </c>
      <c r="D8" s="121" t="s">
        <v>2615</v>
      </c>
      <c r="E8" s="125" t="s">
        <v>1736</v>
      </c>
      <c r="F8" s="125" t="s">
        <v>89</v>
      </c>
      <c r="G8" s="103" t="s">
        <v>1966</v>
      </c>
      <c r="H8" s="116" t="s">
        <v>2616</v>
      </c>
      <c r="I8" s="121" t="s">
        <v>2001</v>
      </c>
      <c r="J8" s="126" t="s">
        <v>2002</v>
      </c>
      <c r="K8" s="126"/>
      <c r="L8" s="127" t="s">
        <v>2003</v>
      </c>
      <c r="M8" s="128"/>
      <c r="N8" s="121" t="s">
        <v>2000</v>
      </c>
      <c r="O8" s="125" t="s">
        <v>2617</v>
      </c>
      <c r="P8" s="116"/>
      <c r="Q8" s="121"/>
      <c r="R8" s="121"/>
      <c r="S8" s="111"/>
      <c r="T8" s="111"/>
      <c r="U8" s="112"/>
      <c r="V8" s="112"/>
      <c r="W8" s="112"/>
      <c r="X8" s="112"/>
      <c r="Y8" s="112"/>
      <c r="Z8" s="112"/>
    </row>
    <row r="9" ht="24.75" customHeight="1">
      <c r="A9" s="102">
        <f t="shared" si="1"/>
        <v>8</v>
      </c>
      <c r="B9" s="123" t="s">
        <v>2005</v>
      </c>
      <c r="C9" s="124" t="s">
        <v>2618</v>
      </c>
      <c r="D9" s="121" t="s">
        <v>1946</v>
      </c>
      <c r="E9" s="125" t="s">
        <v>1947</v>
      </c>
      <c r="F9" s="125" t="s">
        <v>41</v>
      </c>
      <c r="G9" s="103" t="s">
        <v>1966</v>
      </c>
      <c r="H9" s="116" t="s">
        <v>2619</v>
      </c>
      <c r="I9" s="129" t="s">
        <v>655</v>
      </c>
      <c r="J9" s="130" t="s">
        <v>2008</v>
      </c>
      <c r="K9" s="130"/>
      <c r="L9" s="127" t="s">
        <v>2009</v>
      </c>
      <c r="M9" s="128"/>
      <c r="N9" s="121" t="s">
        <v>2007</v>
      </c>
      <c r="O9" s="125" t="s">
        <v>2620</v>
      </c>
      <c r="P9" s="121"/>
      <c r="Q9" s="121"/>
      <c r="R9" s="122"/>
      <c r="S9" s="111"/>
      <c r="T9" s="111"/>
      <c r="U9" s="112"/>
      <c r="V9" s="112"/>
      <c r="W9" s="112"/>
      <c r="X9" s="112"/>
      <c r="Y9" s="112"/>
      <c r="Z9" s="112"/>
    </row>
    <row r="10" ht="24.75" customHeight="1">
      <c r="A10" s="102">
        <f t="shared" si="1"/>
        <v>9</v>
      </c>
      <c r="B10" s="131" t="s">
        <v>2011</v>
      </c>
      <c r="C10" s="131" t="s">
        <v>2012</v>
      </c>
      <c r="D10" s="132" t="s">
        <v>2242</v>
      </c>
      <c r="E10" s="133" t="s">
        <v>1736</v>
      </c>
      <c r="F10" s="133" t="s">
        <v>41</v>
      </c>
      <c r="G10" s="103" t="s">
        <v>1966</v>
      </c>
      <c r="H10" s="134" t="s">
        <v>2102</v>
      </c>
      <c r="I10" s="132" t="s">
        <v>2014</v>
      </c>
      <c r="J10" s="135" t="s">
        <v>2015</v>
      </c>
      <c r="K10" s="135"/>
      <c r="L10" s="136" t="s">
        <v>2016</v>
      </c>
      <c r="M10" s="135"/>
      <c r="N10" s="132" t="s">
        <v>2013</v>
      </c>
      <c r="O10" s="137" t="s">
        <v>2621</v>
      </c>
      <c r="P10" s="134"/>
      <c r="Q10" s="132"/>
      <c r="R10" s="138" t="s">
        <v>2622</v>
      </c>
      <c r="S10" s="111"/>
      <c r="T10" s="111"/>
      <c r="U10" s="112"/>
      <c r="V10" s="112"/>
      <c r="W10" s="112"/>
      <c r="X10" s="112"/>
      <c r="Y10" s="112"/>
      <c r="Z10" s="112"/>
    </row>
    <row r="11" ht="24.75" customHeight="1">
      <c r="A11" s="102">
        <f t="shared" si="1"/>
        <v>10</v>
      </c>
      <c r="B11" s="124" t="s">
        <v>2018</v>
      </c>
      <c r="C11" s="124" t="s">
        <v>2019</v>
      </c>
      <c r="D11" s="122" t="s">
        <v>2623</v>
      </c>
      <c r="E11" s="139" t="s">
        <v>1039</v>
      </c>
      <c r="F11" s="139" t="s">
        <v>89</v>
      </c>
      <c r="G11" s="103" t="s">
        <v>1966</v>
      </c>
      <c r="H11" s="116" t="s">
        <v>2624</v>
      </c>
      <c r="I11" s="122" t="s">
        <v>2021</v>
      </c>
      <c r="J11" s="126" t="s">
        <v>2022</v>
      </c>
      <c r="K11" s="126"/>
      <c r="L11" s="140" t="s">
        <v>2023</v>
      </c>
      <c r="M11" s="126"/>
      <c r="N11" s="122" t="s">
        <v>2020</v>
      </c>
      <c r="O11" s="125" t="s">
        <v>2625</v>
      </c>
      <c r="P11" s="116"/>
      <c r="Q11" s="122"/>
      <c r="R11" s="122"/>
      <c r="S11" s="111"/>
      <c r="T11" s="111"/>
      <c r="U11" s="112"/>
      <c r="V11" s="112"/>
      <c r="W11" s="112"/>
      <c r="X11" s="112"/>
      <c r="Y11" s="112"/>
      <c r="Z11" s="112"/>
    </row>
    <row r="12" ht="24.75" customHeight="1">
      <c r="A12" s="102">
        <f t="shared" si="1"/>
        <v>11</v>
      </c>
      <c r="B12" s="124" t="s">
        <v>2025</v>
      </c>
      <c r="C12" s="124" t="s">
        <v>2026</v>
      </c>
      <c r="D12" s="122" t="s">
        <v>2623</v>
      </c>
      <c r="E12" s="139" t="s">
        <v>1039</v>
      </c>
      <c r="F12" s="139" t="s">
        <v>89</v>
      </c>
      <c r="G12" s="103" t="s">
        <v>1966</v>
      </c>
      <c r="H12" s="116" t="s">
        <v>2138</v>
      </c>
      <c r="I12" s="122" t="s">
        <v>2027</v>
      </c>
      <c r="J12" s="126" t="s">
        <v>2028</v>
      </c>
      <c r="K12" s="126"/>
      <c r="L12" s="140" t="s">
        <v>2029</v>
      </c>
      <c r="M12" s="126"/>
      <c r="N12" s="122" t="s">
        <v>2020</v>
      </c>
      <c r="O12" s="125" t="s">
        <v>2626</v>
      </c>
      <c r="P12" s="116"/>
      <c r="Q12" s="122"/>
      <c r="R12" s="122"/>
      <c r="S12" s="111"/>
      <c r="T12" s="111"/>
      <c r="U12" s="112"/>
      <c r="V12" s="112"/>
      <c r="W12" s="112"/>
      <c r="X12" s="112"/>
      <c r="Y12" s="112"/>
      <c r="Z12" s="112"/>
    </row>
    <row r="13" ht="24.75" customHeight="1">
      <c r="A13" s="102">
        <f t="shared" si="1"/>
        <v>12</v>
      </c>
      <c r="B13" s="124" t="s">
        <v>2031</v>
      </c>
      <c r="C13" s="124" t="s">
        <v>2627</v>
      </c>
      <c r="D13" s="122" t="s">
        <v>2623</v>
      </c>
      <c r="E13" s="139" t="s">
        <v>1039</v>
      </c>
      <c r="F13" s="139" t="s">
        <v>89</v>
      </c>
      <c r="G13" s="103" t="s">
        <v>1966</v>
      </c>
      <c r="H13" s="116" t="s">
        <v>2628</v>
      </c>
      <c r="I13" s="122" t="s">
        <v>2033</v>
      </c>
      <c r="J13" s="126" t="s">
        <v>2034</v>
      </c>
      <c r="K13" s="126"/>
      <c r="L13" s="140" t="s">
        <v>2035</v>
      </c>
      <c r="M13" s="126"/>
      <c r="N13" s="122" t="s">
        <v>2020</v>
      </c>
      <c r="O13" s="125" t="s">
        <v>2629</v>
      </c>
      <c r="P13" s="116"/>
      <c r="Q13" s="122"/>
      <c r="R13" s="122"/>
      <c r="S13" s="111"/>
      <c r="T13" s="111"/>
      <c r="U13" s="112"/>
      <c r="V13" s="112"/>
      <c r="W13" s="112"/>
      <c r="X13" s="112"/>
      <c r="Y13" s="112"/>
      <c r="Z13" s="112"/>
    </row>
    <row r="14" ht="30.0" customHeight="1">
      <c r="A14" s="102">
        <f t="shared" si="1"/>
        <v>13</v>
      </c>
      <c r="B14" s="101"/>
      <c r="C14" s="101"/>
      <c r="D14" s="101"/>
      <c r="E14" s="101"/>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row>
    <row r="15" ht="30.0" customHeight="1">
      <c r="A15" s="141"/>
      <c r="B15" s="101"/>
      <c r="C15" s="101"/>
      <c r="D15" s="101"/>
      <c r="E15" s="101"/>
      <c r="F15" s="101"/>
      <c r="G15" s="101"/>
      <c r="H15" s="101"/>
      <c r="I15" s="101"/>
      <c r="J15" s="142"/>
      <c r="K15" s="101"/>
      <c r="L15" s="101"/>
      <c r="M15" s="101"/>
      <c r="N15" s="101"/>
      <c r="O15" s="101"/>
      <c r="P15" s="101"/>
      <c r="Q15" s="101"/>
      <c r="R15" s="101"/>
      <c r="S15" s="101"/>
      <c r="T15" s="101"/>
      <c r="U15" s="101"/>
      <c r="V15" s="101"/>
      <c r="W15" s="101"/>
      <c r="X15" s="101"/>
      <c r="Y15" s="101"/>
      <c r="Z15" s="101"/>
      <c r="AA15" s="101"/>
      <c r="AB15" s="101"/>
      <c r="AC15" s="101"/>
      <c r="AD15" s="101"/>
    </row>
    <row r="16" ht="30.0" customHeight="1">
      <c r="A16" s="141"/>
      <c r="B16" s="101"/>
      <c r="C16" s="101"/>
      <c r="D16" s="101"/>
      <c r="E16" s="101"/>
      <c r="F16" s="101"/>
      <c r="G16" s="101"/>
      <c r="H16" s="101"/>
      <c r="I16" s="101"/>
      <c r="J16" s="142"/>
      <c r="K16" s="101"/>
      <c r="L16" s="101"/>
      <c r="M16" s="101"/>
      <c r="N16" s="101"/>
      <c r="O16" s="101"/>
      <c r="P16" s="101"/>
      <c r="Q16" s="101"/>
      <c r="R16" s="101"/>
      <c r="S16" s="101"/>
      <c r="T16" s="101"/>
      <c r="U16" s="101"/>
      <c r="V16" s="101"/>
      <c r="W16" s="101"/>
      <c r="X16" s="101"/>
      <c r="Y16" s="101"/>
      <c r="Z16" s="101"/>
      <c r="AA16" s="101"/>
      <c r="AB16" s="101"/>
      <c r="AC16" s="101"/>
      <c r="AD16" s="101"/>
    </row>
    <row r="17" ht="30.0" customHeight="1">
      <c r="A17" s="141"/>
      <c r="B17" s="101"/>
      <c r="C17" s="101"/>
      <c r="D17" s="101"/>
      <c r="E17" s="101"/>
      <c r="F17" s="101"/>
      <c r="G17" s="101"/>
      <c r="H17" s="101"/>
      <c r="I17" s="101"/>
      <c r="J17" s="142"/>
      <c r="K17" s="101"/>
      <c r="L17" s="101"/>
      <c r="M17" s="101"/>
      <c r="N17" s="101"/>
      <c r="O17" s="101"/>
      <c r="P17" s="101"/>
      <c r="Q17" s="101"/>
      <c r="R17" s="101"/>
      <c r="S17" s="101"/>
      <c r="T17" s="101"/>
      <c r="U17" s="101"/>
      <c r="V17" s="101"/>
      <c r="W17" s="101"/>
      <c r="X17" s="101"/>
      <c r="Y17" s="101"/>
      <c r="Z17" s="101"/>
      <c r="AA17" s="101"/>
      <c r="AB17" s="101"/>
      <c r="AC17" s="101"/>
      <c r="AD17" s="101"/>
    </row>
    <row r="18" ht="30.0" customHeight="1">
      <c r="A18" s="141"/>
      <c r="B18" s="101"/>
      <c r="C18" s="101"/>
      <c r="D18" s="101"/>
      <c r="E18" s="101"/>
      <c r="F18" s="101"/>
      <c r="G18" s="101"/>
      <c r="H18" s="101"/>
      <c r="I18" s="101"/>
      <c r="J18" s="142"/>
      <c r="K18" s="101"/>
      <c r="L18" s="101"/>
      <c r="M18" s="101"/>
      <c r="N18" s="101"/>
      <c r="O18" s="101"/>
      <c r="P18" s="101"/>
      <c r="Q18" s="101"/>
      <c r="R18" s="101"/>
      <c r="S18" s="101"/>
      <c r="T18" s="101"/>
      <c r="U18" s="101"/>
      <c r="V18" s="101"/>
      <c r="W18" s="101"/>
      <c r="X18" s="101"/>
      <c r="Y18" s="101"/>
      <c r="Z18" s="101"/>
      <c r="AA18" s="101"/>
      <c r="AB18" s="101"/>
      <c r="AC18" s="101"/>
      <c r="AD18" s="101"/>
    </row>
    <row r="19" ht="30.0" customHeight="1">
      <c r="A19" s="141"/>
      <c r="B19" s="101"/>
      <c r="C19" s="101"/>
      <c r="D19" s="101"/>
      <c r="E19" s="101"/>
      <c r="F19" s="101"/>
      <c r="G19" s="101"/>
      <c r="H19" s="101"/>
      <c r="I19" s="101"/>
      <c r="J19" s="142"/>
      <c r="K19" s="101"/>
      <c r="L19" s="101"/>
      <c r="M19" s="101"/>
      <c r="N19" s="101"/>
      <c r="O19" s="101"/>
      <c r="P19" s="101"/>
      <c r="Q19" s="101"/>
      <c r="R19" s="101"/>
      <c r="S19" s="101"/>
      <c r="T19" s="101"/>
      <c r="U19" s="101"/>
      <c r="V19" s="101"/>
      <c r="W19" s="101"/>
      <c r="X19" s="101"/>
      <c r="Y19" s="101"/>
      <c r="Z19" s="101"/>
      <c r="AA19" s="101"/>
      <c r="AB19" s="101"/>
      <c r="AC19" s="101"/>
      <c r="AD19" s="101"/>
    </row>
    <row r="20" ht="30.0" customHeight="1">
      <c r="A20" s="141"/>
      <c r="B20" s="101"/>
      <c r="C20" s="101"/>
      <c r="D20" s="101"/>
      <c r="E20" s="101"/>
      <c r="F20" s="101"/>
      <c r="G20" s="101"/>
      <c r="H20" s="101"/>
      <c r="I20" s="101"/>
      <c r="J20" s="142"/>
      <c r="K20" s="101"/>
      <c r="L20" s="101"/>
      <c r="M20" s="101"/>
      <c r="N20" s="101"/>
      <c r="O20" s="101"/>
      <c r="P20" s="101"/>
      <c r="Q20" s="101"/>
      <c r="R20" s="101"/>
      <c r="S20" s="101"/>
      <c r="T20" s="101"/>
      <c r="U20" s="101"/>
      <c r="V20" s="101"/>
      <c r="W20" s="101"/>
      <c r="X20" s="101"/>
      <c r="Y20" s="101"/>
      <c r="Z20" s="101"/>
      <c r="AA20" s="101"/>
      <c r="AB20" s="101"/>
      <c r="AC20" s="101"/>
      <c r="AD20" s="101"/>
    </row>
    <row r="21" ht="30.0" customHeight="1">
      <c r="A21" s="141"/>
      <c r="B21" s="101"/>
      <c r="C21" s="101"/>
      <c r="D21" s="101"/>
      <c r="E21" s="101"/>
      <c r="F21" s="101"/>
      <c r="G21" s="101"/>
      <c r="H21" s="101"/>
      <c r="I21" s="101"/>
      <c r="J21" s="142"/>
      <c r="K21" s="101"/>
      <c r="L21" s="101"/>
      <c r="M21" s="101"/>
      <c r="N21" s="101"/>
      <c r="O21" s="101"/>
      <c r="P21" s="101"/>
      <c r="Q21" s="101"/>
      <c r="R21" s="101"/>
      <c r="S21" s="101"/>
      <c r="T21" s="101"/>
      <c r="U21" s="101"/>
      <c r="V21" s="101"/>
      <c r="W21" s="101"/>
      <c r="X21" s="101"/>
      <c r="Y21" s="101"/>
      <c r="Z21" s="101"/>
      <c r="AA21" s="101"/>
      <c r="AB21" s="101"/>
      <c r="AC21" s="101"/>
      <c r="AD21" s="101"/>
    </row>
    <row r="22" ht="30.0" customHeight="1">
      <c r="A22" s="141"/>
      <c r="B22" s="101"/>
      <c r="C22" s="101"/>
      <c r="D22" s="101"/>
      <c r="E22" s="101"/>
      <c r="F22" s="101"/>
      <c r="G22" s="101"/>
      <c r="H22" s="101"/>
      <c r="I22" s="101"/>
      <c r="J22" s="142"/>
      <c r="K22" s="101"/>
      <c r="L22" s="101"/>
      <c r="M22" s="101"/>
      <c r="N22" s="101"/>
      <c r="O22" s="101"/>
      <c r="P22" s="101"/>
      <c r="Q22" s="101"/>
      <c r="R22" s="101"/>
      <c r="S22" s="101"/>
      <c r="T22" s="101"/>
      <c r="U22" s="101"/>
      <c r="V22" s="101"/>
      <c r="W22" s="101"/>
      <c r="X22" s="101"/>
      <c r="Y22" s="101"/>
      <c r="Z22" s="101"/>
      <c r="AA22" s="101"/>
      <c r="AB22" s="101"/>
      <c r="AC22" s="101"/>
      <c r="AD22" s="101"/>
    </row>
    <row r="23" ht="30.0" customHeight="1">
      <c r="A23" s="141"/>
      <c r="B23" s="101"/>
      <c r="C23" s="101"/>
      <c r="D23" s="101"/>
      <c r="E23" s="101"/>
      <c r="F23" s="101"/>
      <c r="G23" s="101"/>
      <c r="H23" s="101"/>
      <c r="I23" s="101"/>
      <c r="J23" s="142"/>
      <c r="K23" s="101"/>
      <c r="L23" s="101"/>
      <c r="M23" s="101"/>
      <c r="N23" s="101"/>
      <c r="O23" s="101"/>
      <c r="P23" s="101"/>
      <c r="Q23" s="101"/>
      <c r="R23" s="101"/>
      <c r="S23" s="101"/>
      <c r="T23" s="101"/>
      <c r="U23" s="101"/>
      <c r="V23" s="101"/>
      <c r="W23" s="101"/>
      <c r="X23" s="101"/>
      <c r="Y23" s="101"/>
      <c r="Z23" s="101"/>
      <c r="AA23" s="101"/>
      <c r="AB23" s="101"/>
      <c r="AC23" s="101"/>
      <c r="AD23" s="101"/>
    </row>
    <row r="24" ht="30.0" customHeight="1">
      <c r="A24" s="141"/>
      <c r="B24" s="101"/>
      <c r="C24" s="101"/>
      <c r="D24" s="101"/>
      <c r="E24" s="101"/>
      <c r="F24" s="101"/>
      <c r="G24" s="101"/>
      <c r="H24" s="101"/>
      <c r="I24" s="101"/>
      <c r="J24" s="142"/>
      <c r="K24" s="101"/>
      <c r="L24" s="101"/>
      <c r="M24" s="101"/>
      <c r="N24" s="101"/>
      <c r="O24" s="101"/>
      <c r="P24" s="101"/>
      <c r="Q24" s="101"/>
      <c r="R24" s="101"/>
      <c r="S24" s="101"/>
      <c r="T24" s="101"/>
      <c r="U24" s="101"/>
      <c r="V24" s="101"/>
      <c r="W24" s="101"/>
      <c r="X24" s="101"/>
      <c r="Y24" s="101"/>
      <c r="Z24" s="101"/>
      <c r="AA24" s="101"/>
      <c r="AB24" s="101"/>
      <c r="AC24" s="101"/>
      <c r="AD24" s="101"/>
    </row>
    <row r="25" ht="30.0" customHeight="1">
      <c r="A25" s="141"/>
      <c r="B25" s="101"/>
      <c r="C25" s="101"/>
      <c r="D25" s="101"/>
      <c r="E25" s="101"/>
      <c r="F25" s="101"/>
      <c r="G25" s="101"/>
      <c r="H25" s="101"/>
      <c r="I25" s="101"/>
      <c r="J25" s="142"/>
      <c r="K25" s="101"/>
      <c r="L25" s="101"/>
      <c r="M25" s="101"/>
      <c r="N25" s="101"/>
      <c r="O25" s="101"/>
      <c r="P25" s="101"/>
      <c r="Q25" s="101"/>
      <c r="R25" s="101"/>
      <c r="S25" s="101"/>
      <c r="T25" s="101"/>
      <c r="U25" s="101"/>
      <c r="V25" s="101"/>
      <c r="W25" s="101"/>
      <c r="X25" s="101"/>
      <c r="Y25" s="101"/>
      <c r="Z25" s="101"/>
      <c r="AA25" s="101"/>
      <c r="AB25" s="101"/>
      <c r="AC25" s="101"/>
      <c r="AD25" s="101"/>
    </row>
    <row r="26" ht="30.0" customHeight="1">
      <c r="A26" s="141"/>
      <c r="B26" s="101"/>
      <c r="C26" s="101"/>
      <c r="D26" s="101"/>
      <c r="E26" s="101"/>
      <c r="F26" s="101"/>
      <c r="G26" s="101"/>
      <c r="H26" s="101"/>
      <c r="I26" s="101"/>
      <c r="J26" s="142"/>
      <c r="K26" s="101"/>
      <c r="L26" s="101"/>
      <c r="M26" s="101"/>
      <c r="N26" s="101"/>
      <c r="O26" s="101"/>
      <c r="P26" s="101"/>
      <c r="Q26" s="101"/>
      <c r="R26" s="101"/>
      <c r="S26" s="101"/>
      <c r="T26" s="101"/>
      <c r="U26" s="101"/>
      <c r="V26" s="101"/>
      <c r="W26" s="101"/>
      <c r="X26" s="101"/>
      <c r="Y26" s="101"/>
      <c r="Z26" s="101"/>
      <c r="AA26" s="101"/>
      <c r="AB26" s="101"/>
      <c r="AC26" s="101"/>
      <c r="AD26" s="101"/>
    </row>
    <row r="27" ht="30.0" customHeight="1">
      <c r="A27" s="141"/>
      <c r="B27" s="101"/>
      <c r="C27" s="101"/>
      <c r="D27" s="101"/>
      <c r="E27" s="101"/>
      <c r="F27" s="101"/>
      <c r="G27" s="101"/>
      <c r="H27" s="101"/>
      <c r="I27" s="101"/>
      <c r="J27" s="142"/>
      <c r="K27" s="101"/>
      <c r="L27" s="101"/>
      <c r="M27" s="101"/>
      <c r="N27" s="101"/>
      <c r="O27" s="101"/>
      <c r="P27" s="101"/>
      <c r="Q27" s="101"/>
      <c r="R27" s="101"/>
      <c r="S27" s="101"/>
      <c r="T27" s="101"/>
      <c r="U27" s="101"/>
      <c r="V27" s="101"/>
      <c r="W27" s="101"/>
      <c r="X27" s="101"/>
      <c r="Y27" s="101"/>
      <c r="Z27" s="101"/>
      <c r="AA27" s="101"/>
      <c r="AB27" s="101"/>
      <c r="AC27" s="101"/>
      <c r="AD27" s="101"/>
    </row>
    <row r="28" ht="30.0" customHeight="1">
      <c r="A28" s="141"/>
      <c r="B28" s="101"/>
      <c r="C28" s="101"/>
      <c r="D28" s="101"/>
      <c r="E28" s="101"/>
      <c r="F28" s="101"/>
      <c r="G28" s="101"/>
      <c r="H28" s="101"/>
      <c r="I28" s="101"/>
      <c r="J28" s="142"/>
      <c r="K28" s="101"/>
      <c r="L28" s="101"/>
      <c r="M28" s="101"/>
      <c r="N28" s="101"/>
      <c r="O28" s="101"/>
      <c r="P28" s="101"/>
      <c r="Q28" s="101"/>
      <c r="R28" s="101"/>
      <c r="S28" s="101"/>
      <c r="T28" s="101"/>
      <c r="U28" s="101"/>
      <c r="V28" s="101"/>
      <c r="W28" s="101"/>
      <c r="X28" s="101"/>
      <c r="Y28" s="101"/>
      <c r="Z28" s="101"/>
      <c r="AA28" s="101"/>
      <c r="AB28" s="101"/>
      <c r="AC28" s="101"/>
      <c r="AD28" s="101"/>
    </row>
    <row r="29" ht="30.0" customHeight="1">
      <c r="A29" s="141"/>
      <c r="B29" s="101"/>
      <c r="C29" s="101"/>
      <c r="D29" s="101"/>
      <c r="E29" s="101"/>
      <c r="F29" s="101"/>
      <c r="G29" s="101"/>
      <c r="H29" s="101"/>
      <c r="I29" s="101"/>
      <c r="J29" s="142"/>
      <c r="K29" s="101"/>
      <c r="L29" s="101"/>
      <c r="M29" s="101"/>
      <c r="N29" s="101"/>
      <c r="O29" s="101"/>
      <c r="P29" s="101"/>
      <c r="Q29" s="101"/>
      <c r="R29" s="101"/>
      <c r="S29" s="101"/>
      <c r="T29" s="101"/>
      <c r="U29" s="101"/>
      <c r="V29" s="101"/>
      <c r="W29" s="101"/>
      <c r="X29" s="101"/>
      <c r="Y29" s="101"/>
      <c r="Z29" s="101"/>
      <c r="AA29" s="101"/>
      <c r="AB29" s="101"/>
      <c r="AC29" s="101"/>
      <c r="AD29" s="101"/>
    </row>
    <row r="30" ht="30.0" customHeight="1">
      <c r="A30" s="141"/>
      <c r="B30" s="101"/>
      <c r="C30" s="101"/>
      <c r="D30" s="101"/>
      <c r="E30" s="101"/>
      <c r="F30" s="101"/>
      <c r="G30" s="101"/>
      <c r="H30" s="101"/>
      <c r="I30" s="101"/>
      <c r="J30" s="142"/>
      <c r="K30" s="101"/>
      <c r="L30" s="101"/>
      <c r="M30" s="101"/>
      <c r="N30" s="101"/>
      <c r="O30" s="101"/>
      <c r="P30" s="101"/>
      <c r="Q30" s="101"/>
      <c r="R30" s="101"/>
      <c r="S30" s="101"/>
      <c r="T30" s="101"/>
      <c r="U30" s="101"/>
      <c r="V30" s="101"/>
      <c r="W30" s="101"/>
      <c r="X30" s="101"/>
      <c r="Y30" s="101"/>
      <c r="Z30" s="101"/>
      <c r="AA30" s="101"/>
      <c r="AB30" s="101"/>
      <c r="AC30" s="101"/>
      <c r="AD30" s="101"/>
    </row>
    <row r="31" ht="30.0" customHeight="1">
      <c r="A31" s="141"/>
      <c r="B31" s="101"/>
      <c r="C31" s="101"/>
      <c r="D31" s="101"/>
      <c r="E31" s="101"/>
      <c r="F31" s="101"/>
      <c r="G31" s="101"/>
      <c r="H31" s="101"/>
      <c r="I31" s="101"/>
      <c r="J31" s="142"/>
      <c r="K31" s="101"/>
      <c r="L31" s="101"/>
      <c r="M31" s="101"/>
      <c r="N31" s="101"/>
      <c r="O31" s="101"/>
      <c r="P31" s="101"/>
      <c r="Q31" s="101"/>
      <c r="R31" s="101"/>
      <c r="S31" s="101"/>
      <c r="T31" s="101"/>
      <c r="U31" s="101"/>
      <c r="V31" s="101"/>
      <c r="W31" s="101"/>
      <c r="X31" s="101"/>
      <c r="Y31" s="101"/>
      <c r="Z31" s="101"/>
      <c r="AA31" s="101"/>
      <c r="AB31" s="101"/>
      <c r="AC31" s="101"/>
      <c r="AD31" s="101"/>
    </row>
    <row r="32" ht="30.0" customHeight="1">
      <c r="A32" s="141"/>
      <c r="B32" s="101"/>
      <c r="C32" s="101"/>
      <c r="D32" s="101"/>
      <c r="E32" s="101"/>
      <c r="F32" s="101"/>
      <c r="G32" s="101"/>
      <c r="H32" s="101"/>
      <c r="I32" s="101"/>
      <c r="J32" s="142"/>
      <c r="K32" s="101"/>
      <c r="L32" s="101"/>
      <c r="M32" s="101"/>
      <c r="N32" s="101"/>
      <c r="O32" s="101"/>
      <c r="P32" s="101"/>
      <c r="Q32" s="101"/>
      <c r="R32" s="101"/>
      <c r="S32" s="101"/>
      <c r="T32" s="101"/>
      <c r="U32" s="101"/>
      <c r="V32" s="101"/>
      <c r="W32" s="101"/>
      <c r="X32" s="101"/>
      <c r="Y32" s="101"/>
      <c r="Z32" s="101"/>
      <c r="AA32" s="101"/>
      <c r="AB32" s="101"/>
      <c r="AC32" s="101"/>
      <c r="AD32" s="101"/>
    </row>
    <row r="33" ht="30.0" customHeight="1">
      <c r="A33" s="141"/>
      <c r="B33" s="101"/>
      <c r="C33" s="101"/>
      <c r="D33" s="101"/>
      <c r="E33" s="101"/>
      <c r="F33" s="101"/>
      <c r="G33" s="101"/>
      <c r="H33" s="101"/>
      <c r="I33" s="101"/>
      <c r="J33" s="142"/>
      <c r="K33" s="101"/>
      <c r="L33" s="101"/>
      <c r="M33" s="101"/>
      <c r="N33" s="101"/>
      <c r="O33" s="101"/>
      <c r="P33" s="101"/>
      <c r="Q33" s="101"/>
      <c r="R33" s="101"/>
      <c r="S33" s="101"/>
      <c r="T33" s="101"/>
      <c r="U33" s="101"/>
      <c r="V33" s="101"/>
      <c r="W33" s="101"/>
      <c r="X33" s="101"/>
      <c r="Y33" s="101"/>
      <c r="Z33" s="101"/>
      <c r="AA33" s="101"/>
      <c r="AB33" s="101"/>
      <c r="AC33" s="101"/>
      <c r="AD33" s="101"/>
    </row>
    <row r="34" ht="30.0" customHeight="1">
      <c r="A34" s="141"/>
      <c r="B34" s="101"/>
      <c r="C34" s="101"/>
      <c r="D34" s="101"/>
      <c r="E34" s="101"/>
      <c r="F34" s="101"/>
      <c r="G34" s="101"/>
      <c r="H34" s="101"/>
      <c r="I34" s="101"/>
      <c r="J34" s="142"/>
      <c r="K34" s="101"/>
      <c r="L34" s="101"/>
      <c r="M34" s="101"/>
      <c r="N34" s="101"/>
      <c r="O34" s="101"/>
      <c r="P34" s="101"/>
      <c r="Q34" s="101"/>
      <c r="R34" s="101"/>
      <c r="S34" s="101"/>
      <c r="T34" s="101"/>
      <c r="U34" s="101"/>
      <c r="V34" s="101"/>
      <c r="W34" s="101"/>
      <c r="X34" s="101"/>
      <c r="Y34" s="101"/>
      <c r="Z34" s="101"/>
      <c r="AA34" s="101"/>
      <c r="AB34" s="101"/>
      <c r="AC34" s="101"/>
      <c r="AD34" s="101"/>
    </row>
    <row r="35" ht="30.0" customHeight="1">
      <c r="A35" s="141"/>
      <c r="B35" s="101"/>
      <c r="C35" s="101"/>
      <c r="D35" s="101"/>
      <c r="E35" s="101"/>
      <c r="F35" s="101"/>
      <c r="G35" s="101"/>
      <c r="H35" s="101"/>
      <c r="I35" s="101"/>
      <c r="J35" s="142"/>
      <c r="K35" s="101"/>
      <c r="L35" s="101"/>
      <c r="M35" s="101"/>
      <c r="N35" s="101"/>
      <c r="O35" s="101"/>
      <c r="P35" s="101"/>
      <c r="Q35" s="101"/>
      <c r="R35" s="101"/>
      <c r="S35" s="101"/>
      <c r="T35" s="101"/>
      <c r="U35" s="101"/>
      <c r="V35" s="101"/>
      <c r="W35" s="101"/>
      <c r="X35" s="101"/>
      <c r="Y35" s="101"/>
      <c r="Z35" s="101"/>
      <c r="AA35" s="101"/>
      <c r="AB35" s="101"/>
      <c r="AC35" s="101"/>
      <c r="AD35" s="101"/>
    </row>
    <row r="36" ht="30.0" customHeight="1">
      <c r="A36" s="141"/>
      <c r="B36" s="101"/>
      <c r="C36" s="101"/>
      <c r="D36" s="101"/>
      <c r="E36" s="101"/>
      <c r="F36" s="101"/>
      <c r="G36" s="101"/>
      <c r="H36" s="101"/>
      <c r="I36" s="101"/>
      <c r="J36" s="142"/>
      <c r="K36" s="101"/>
      <c r="L36" s="101"/>
      <c r="M36" s="101"/>
      <c r="N36" s="101"/>
      <c r="O36" s="101"/>
      <c r="P36" s="101"/>
      <c r="Q36" s="101"/>
      <c r="R36" s="101"/>
      <c r="S36" s="101"/>
      <c r="T36" s="101"/>
      <c r="U36" s="101"/>
      <c r="V36" s="101"/>
      <c r="W36" s="101"/>
      <c r="X36" s="101"/>
      <c r="Y36" s="101"/>
      <c r="Z36" s="101"/>
      <c r="AA36" s="101"/>
      <c r="AB36" s="101"/>
      <c r="AC36" s="101"/>
      <c r="AD36" s="101"/>
    </row>
    <row r="37" ht="30.0" customHeight="1">
      <c r="A37" s="141"/>
      <c r="B37" s="101"/>
      <c r="C37" s="101"/>
      <c r="D37" s="101"/>
      <c r="E37" s="101"/>
      <c r="F37" s="101"/>
      <c r="G37" s="101"/>
      <c r="H37" s="101"/>
      <c r="I37" s="101"/>
      <c r="J37" s="142"/>
      <c r="K37" s="101"/>
      <c r="L37" s="101"/>
      <c r="M37" s="101"/>
      <c r="N37" s="101"/>
      <c r="O37" s="101"/>
      <c r="P37" s="101"/>
      <c r="Q37" s="101"/>
      <c r="R37" s="101"/>
      <c r="S37" s="101"/>
      <c r="T37" s="101"/>
      <c r="U37" s="101"/>
      <c r="V37" s="101"/>
      <c r="W37" s="101"/>
      <c r="X37" s="101"/>
      <c r="Y37" s="101"/>
      <c r="Z37" s="101"/>
      <c r="AA37" s="101"/>
      <c r="AB37" s="101"/>
      <c r="AC37" s="101"/>
      <c r="AD37" s="101"/>
    </row>
    <row r="38" ht="30.0" customHeight="1">
      <c r="A38" s="141"/>
      <c r="B38" s="101"/>
      <c r="C38" s="101"/>
      <c r="D38" s="101"/>
      <c r="E38" s="101"/>
      <c r="F38" s="101"/>
      <c r="G38" s="101"/>
      <c r="H38" s="101"/>
      <c r="I38" s="101"/>
      <c r="J38" s="142"/>
      <c r="K38" s="101"/>
      <c r="L38" s="101"/>
      <c r="M38" s="101"/>
      <c r="N38" s="101"/>
      <c r="O38" s="101"/>
      <c r="P38" s="101"/>
      <c r="Q38" s="101"/>
      <c r="R38" s="101"/>
      <c r="S38" s="101"/>
      <c r="T38" s="101"/>
      <c r="U38" s="101"/>
      <c r="V38" s="101"/>
      <c r="W38" s="101"/>
      <c r="X38" s="101"/>
      <c r="Y38" s="101"/>
      <c r="Z38" s="101"/>
      <c r="AA38" s="101"/>
      <c r="AB38" s="101"/>
      <c r="AC38" s="101"/>
      <c r="AD38" s="101"/>
    </row>
    <row r="39" ht="30.0" customHeight="1">
      <c r="A39" s="141"/>
      <c r="B39" s="101"/>
      <c r="C39" s="101"/>
      <c r="D39" s="101"/>
      <c r="E39" s="101"/>
      <c r="F39" s="101"/>
      <c r="G39" s="101"/>
      <c r="H39" s="101"/>
      <c r="I39" s="101"/>
      <c r="J39" s="142"/>
      <c r="K39" s="101"/>
      <c r="L39" s="101"/>
      <c r="M39" s="101"/>
      <c r="N39" s="101"/>
      <c r="O39" s="101"/>
      <c r="P39" s="101"/>
      <c r="Q39" s="101"/>
      <c r="R39" s="101"/>
      <c r="S39" s="101"/>
      <c r="T39" s="101"/>
      <c r="U39" s="101"/>
      <c r="V39" s="101"/>
      <c r="W39" s="101"/>
      <c r="X39" s="101"/>
      <c r="Y39" s="101"/>
      <c r="Z39" s="101"/>
      <c r="AA39" s="101"/>
      <c r="AB39" s="101"/>
      <c r="AC39" s="101"/>
      <c r="AD39" s="101"/>
    </row>
    <row r="40" ht="30.0" customHeight="1">
      <c r="A40" s="141"/>
      <c r="B40" s="101"/>
      <c r="C40" s="101"/>
      <c r="D40" s="101"/>
      <c r="E40" s="101"/>
      <c r="F40" s="101"/>
      <c r="G40" s="101"/>
      <c r="H40" s="101"/>
      <c r="I40" s="101"/>
      <c r="J40" s="142"/>
      <c r="K40" s="101"/>
      <c r="L40" s="101"/>
      <c r="M40" s="101"/>
      <c r="N40" s="101"/>
      <c r="O40" s="101"/>
      <c r="P40" s="101"/>
      <c r="Q40" s="101"/>
      <c r="R40" s="101"/>
      <c r="S40" s="101"/>
      <c r="T40" s="101"/>
      <c r="U40" s="101"/>
      <c r="V40" s="101"/>
      <c r="W40" s="101"/>
      <c r="X40" s="101"/>
      <c r="Y40" s="101"/>
      <c r="Z40" s="101"/>
      <c r="AA40" s="101"/>
      <c r="AB40" s="101"/>
      <c r="AC40" s="101"/>
      <c r="AD40" s="101"/>
    </row>
    <row r="41" ht="30.0" customHeight="1">
      <c r="A41" s="141"/>
      <c r="B41" s="101"/>
      <c r="C41" s="101"/>
      <c r="D41" s="101"/>
      <c r="E41" s="101"/>
      <c r="F41" s="101"/>
      <c r="G41" s="101"/>
      <c r="H41" s="101"/>
      <c r="I41" s="101"/>
      <c r="J41" s="142"/>
      <c r="K41" s="101"/>
      <c r="L41" s="101"/>
      <c r="M41" s="101"/>
      <c r="N41" s="101"/>
      <c r="O41" s="101"/>
      <c r="P41" s="101"/>
      <c r="Q41" s="101"/>
      <c r="R41" s="101"/>
      <c r="S41" s="101"/>
      <c r="T41" s="101"/>
      <c r="U41" s="101"/>
      <c r="V41" s="101"/>
      <c r="W41" s="101"/>
      <c r="X41" s="101"/>
      <c r="Y41" s="101"/>
      <c r="Z41" s="101"/>
      <c r="AA41" s="101"/>
      <c r="AB41" s="101"/>
      <c r="AC41" s="101"/>
      <c r="AD41" s="101"/>
    </row>
    <row r="42" ht="30.0" customHeight="1">
      <c r="A42" s="141"/>
      <c r="B42" s="101"/>
      <c r="C42" s="101"/>
      <c r="D42" s="101"/>
      <c r="E42" s="101"/>
      <c r="F42" s="101"/>
      <c r="G42" s="101"/>
      <c r="H42" s="101"/>
      <c r="I42" s="101"/>
      <c r="J42" s="142"/>
      <c r="K42" s="101"/>
      <c r="L42" s="101"/>
      <c r="M42" s="101"/>
      <c r="N42" s="101"/>
      <c r="O42" s="101"/>
      <c r="P42" s="101"/>
      <c r="Q42" s="101"/>
      <c r="R42" s="101"/>
      <c r="S42" s="101"/>
      <c r="T42" s="101"/>
      <c r="U42" s="101"/>
      <c r="V42" s="101"/>
      <c r="W42" s="101"/>
      <c r="X42" s="101"/>
      <c r="Y42" s="101"/>
      <c r="Z42" s="101"/>
      <c r="AA42" s="101"/>
      <c r="AB42" s="101"/>
      <c r="AC42" s="101"/>
      <c r="AD42" s="101"/>
    </row>
    <row r="43" ht="30.0" customHeight="1">
      <c r="A43" s="141"/>
      <c r="B43" s="101"/>
      <c r="C43" s="101"/>
      <c r="D43" s="101"/>
      <c r="E43" s="101"/>
      <c r="F43" s="101"/>
      <c r="G43" s="101"/>
      <c r="H43" s="101"/>
      <c r="I43" s="101"/>
      <c r="J43" s="142"/>
      <c r="K43" s="101"/>
      <c r="L43" s="101"/>
      <c r="M43" s="101"/>
      <c r="N43" s="101"/>
      <c r="O43" s="101"/>
      <c r="P43" s="101"/>
      <c r="Q43" s="101"/>
      <c r="R43" s="101"/>
      <c r="S43" s="101"/>
      <c r="T43" s="101"/>
      <c r="U43" s="101"/>
      <c r="V43" s="101"/>
      <c r="W43" s="101"/>
      <c r="X43" s="101"/>
      <c r="Y43" s="101"/>
      <c r="Z43" s="101"/>
      <c r="AA43" s="101"/>
      <c r="AB43" s="101"/>
      <c r="AC43" s="101"/>
      <c r="AD43" s="101"/>
    </row>
    <row r="44" ht="30.0" customHeight="1">
      <c r="A44" s="141"/>
      <c r="B44" s="101"/>
      <c r="C44" s="101"/>
      <c r="D44" s="101"/>
      <c r="E44" s="101"/>
      <c r="F44" s="101"/>
      <c r="G44" s="101"/>
      <c r="H44" s="101"/>
      <c r="I44" s="101"/>
      <c r="J44" s="142"/>
      <c r="K44" s="101"/>
      <c r="L44" s="101"/>
      <c r="M44" s="101"/>
      <c r="N44" s="101"/>
      <c r="O44" s="101"/>
      <c r="P44" s="101"/>
      <c r="Q44" s="101"/>
      <c r="R44" s="101"/>
      <c r="S44" s="101"/>
      <c r="T44" s="101"/>
      <c r="U44" s="101"/>
      <c r="V44" s="101"/>
      <c r="W44" s="101"/>
      <c r="X44" s="101"/>
      <c r="Y44" s="101"/>
      <c r="Z44" s="101"/>
      <c r="AA44" s="101"/>
      <c r="AB44" s="101"/>
      <c r="AC44" s="101"/>
      <c r="AD44" s="101"/>
    </row>
    <row r="45" ht="30.0" customHeight="1">
      <c r="A45" s="141"/>
      <c r="B45" s="101"/>
      <c r="C45" s="101"/>
      <c r="D45" s="101"/>
      <c r="E45" s="101"/>
      <c r="F45" s="101"/>
      <c r="G45" s="101"/>
      <c r="H45" s="101"/>
      <c r="I45" s="101"/>
      <c r="J45" s="142"/>
      <c r="K45" s="101"/>
      <c r="L45" s="101"/>
      <c r="M45" s="101"/>
      <c r="N45" s="101"/>
      <c r="O45" s="101"/>
      <c r="P45" s="101"/>
      <c r="Q45" s="101"/>
      <c r="R45" s="101"/>
      <c r="S45" s="101"/>
      <c r="T45" s="101"/>
      <c r="U45" s="101"/>
      <c r="V45" s="101"/>
      <c r="W45" s="101"/>
      <c r="X45" s="101"/>
      <c r="Y45" s="101"/>
      <c r="Z45" s="101"/>
      <c r="AA45" s="101"/>
      <c r="AB45" s="101"/>
      <c r="AC45" s="101"/>
      <c r="AD45" s="101"/>
    </row>
    <row r="46" ht="30.0" customHeight="1">
      <c r="A46" s="141"/>
      <c r="B46" s="101"/>
      <c r="C46" s="101"/>
      <c r="D46" s="101"/>
      <c r="E46" s="101"/>
      <c r="F46" s="101"/>
      <c r="G46" s="101"/>
      <c r="H46" s="101"/>
      <c r="I46" s="101"/>
      <c r="J46" s="142"/>
      <c r="K46" s="101"/>
      <c r="L46" s="101"/>
      <c r="M46" s="101"/>
      <c r="N46" s="101"/>
      <c r="O46" s="101"/>
      <c r="P46" s="101"/>
      <c r="Q46" s="101"/>
      <c r="R46" s="101"/>
      <c r="S46" s="101"/>
      <c r="T46" s="101"/>
      <c r="U46" s="101"/>
      <c r="V46" s="101"/>
      <c r="W46" s="101"/>
      <c r="X46" s="101"/>
      <c r="Y46" s="101"/>
      <c r="Z46" s="101"/>
      <c r="AA46" s="101"/>
      <c r="AB46" s="101"/>
      <c r="AC46" s="101"/>
      <c r="AD46" s="101"/>
    </row>
    <row r="47" ht="30.0" customHeight="1">
      <c r="A47" s="141"/>
      <c r="B47" s="101"/>
      <c r="C47" s="101"/>
      <c r="D47" s="101"/>
      <c r="E47" s="101"/>
      <c r="F47" s="101"/>
      <c r="G47" s="101"/>
      <c r="H47" s="101"/>
      <c r="I47" s="101"/>
      <c r="J47" s="142"/>
      <c r="K47" s="101"/>
      <c r="L47" s="101"/>
      <c r="M47" s="101"/>
      <c r="N47" s="101"/>
      <c r="O47" s="101"/>
      <c r="P47" s="101"/>
      <c r="Q47" s="101"/>
      <c r="R47" s="101"/>
      <c r="S47" s="101"/>
      <c r="T47" s="101"/>
      <c r="U47" s="101"/>
      <c r="V47" s="101"/>
      <c r="W47" s="101"/>
      <c r="X47" s="101"/>
      <c r="Y47" s="101"/>
      <c r="Z47" s="101"/>
      <c r="AA47" s="101"/>
      <c r="AB47" s="101"/>
      <c r="AC47" s="101"/>
      <c r="AD47" s="101"/>
    </row>
    <row r="48" ht="30.0" customHeight="1">
      <c r="A48" s="141"/>
      <c r="B48" s="101"/>
      <c r="C48" s="101"/>
      <c r="D48" s="101"/>
      <c r="E48" s="101"/>
      <c r="F48" s="101"/>
      <c r="G48" s="101"/>
      <c r="H48" s="101"/>
      <c r="I48" s="101"/>
      <c r="J48" s="142"/>
      <c r="K48" s="101"/>
      <c r="L48" s="101"/>
      <c r="M48" s="101"/>
      <c r="N48" s="101"/>
      <c r="O48" s="101"/>
      <c r="P48" s="101"/>
      <c r="Q48" s="101"/>
      <c r="R48" s="101"/>
      <c r="S48" s="101"/>
      <c r="T48" s="101"/>
      <c r="U48" s="101"/>
      <c r="V48" s="101"/>
      <c r="W48" s="101"/>
      <c r="X48" s="101"/>
      <c r="Y48" s="101"/>
      <c r="Z48" s="101"/>
      <c r="AA48" s="101"/>
      <c r="AB48" s="101"/>
      <c r="AC48" s="101"/>
      <c r="AD48" s="101"/>
    </row>
    <row r="49" ht="30.0" customHeight="1">
      <c r="A49" s="141"/>
      <c r="B49" s="101"/>
      <c r="C49" s="101"/>
      <c r="D49" s="101"/>
      <c r="E49" s="101"/>
      <c r="F49" s="101"/>
      <c r="G49" s="101"/>
      <c r="H49" s="101"/>
      <c r="I49" s="101"/>
      <c r="J49" s="142"/>
      <c r="K49" s="101"/>
      <c r="L49" s="101"/>
      <c r="M49" s="101"/>
      <c r="N49" s="101"/>
      <c r="O49" s="101"/>
      <c r="P49" s="101"/>
      <c r="Q49" s="101"/>
      <c r="R49" s="101"/>
      <c r="S49" s="101"/>
      <c r="T49" s="101"/>
      <c r="U49" s="101"/>
      <c r="V49" s="101"/>
      <c r="W49" s="101"/>
      <c r="X49" s="101"/>
      <c r="Y49" s="101"/>
      <c r="Z49" s="101"/>
      <c r="AA49" s="101"/>
      <c r="AB49" s="101"/>
      <c r="AC49" s="101"/>
      <c r="AD49" s="101"/>
    </row>
    <row r="50" ht="30.0" customHeight="1">
      <c r="A50" s="141"/>
      <c r="B50" s="101"/>
      <c r="C50" s="101"/>
      <c r="D50" s="101"/>
      <c r="E50" s="101"/>
      <c r="F50" s="101"/>
      <c r="G50" s="101"/>
      <c r="H50" s="101"/>
      <c r="I50" s="101"/>
      <c r="J50" s="142"/>
      <c r="K50" s="101"/>
      <c r="L50" s="101"/>
      <c r="M50" s="101"/>
      <c r="N50" s="101"/>
      <c r="O50" s="101"/>
      <c r="P50" s="101"/>
      <c r="Q50" s="101"/>
      <c r="R50" s="101"/>
      <c r="S50" s="101"/>
      <c r="T50" s="101"/>
      <c r="U50" s="101"/>
      <c r="V50" s="101"/>
      <c r="W50" s="101"/>
      <c r="X50" s="101"/>
      <c r="Y50" s="101"/>
      <c r="Z50" s="101"/>
      <c r="AA50" s="101"/>
      <c r="AB50" s="101"/>
      <c r="AC50" s="101"/>
      <c r="AD50" s="101"/>
    </row>
    <row r="51" ht="30.0" customHeight="1">
      <c r="A51" s="141"/>
      <c r="B51" s="101"/>
      <c r="C51" s="101"/>
      <c r="D51" s="101"/>
      <c r="E51" s="101"/>
      <c r="F51" s="101"/>
      <c r="G51" s="101"/>
      <c r="H51" s="101"/>
      <c r="I51" s="101"/>
      <c r="J51" s="142"/>
      <c r="K51" s="101"/>
      <c r="L51" s="101"/>
      <c r="M51" s="101"/>
      <c r="N51" s="101"/>
      <c r="O51" s="101"/>
      <c r="P51" s="101"/>
      <c r="Q51" s="101"/>
      <c r="R51" s="101"/>
      <c r="S51" s="101"/>
      <c r="T51" s="101"/>
      <c r="U51" s="101"/>
      <c r="V51" s="101"/>
      <c r="W51" s="101"/>
      <c r="X51" s="101"/>
      <c r="Y51" s="101"/>
      <c r="Z51" s="101"/>
      <c r="AA51" s="101"/>
      <c r="AB51" s="101"/>
      <c r="AC51" s="101"/>
      <c r="AD51" s="101"/>
    </row>
    <row r="52" ht="30.0" customHeight="1">
      <c r="A52" s="141"/>
      <c r="B52" s="101"/>
      <c r="C52" s="101"/>
      <c r="D52" s="101"/>
      <c r="E52" s="101"/>
      <c r="F52" s="101"/>
      <c r="G52" s="101"/>
      <c r="H52" s="101"/>
      <c r="I52" s="101"/>
      <c r="J52" s="142"/>
      <c r="K52" s="101"/>
      <c r="L52" s="101"/>
      <c r="M52" s="101"/>
      <c r="N52" s="101"/>
      <c r="O52" s="101"/>
      <c r="P52" s="101"/>
      <c r="Q52" s="101"/>
      <c r="R52" s="101"/>
      <c r="S52" s="101"/>
      <c r="T52" s="101"/>
      <c r="U52" s="101"/>
      <c r="V52" s="101"/>
      <c r="W52" s="101"/>
      <c r="X52" s="101"/>
      <c r="Y52" s="101"/>
      <c r="Z52" s="101"/>
      <c r="AA52" s="101"/>
      <c r="AB52" s="101"/>
      <c r="AC52" s="101"/>
      <c r="AD52" s="101"/>
    </row>
    <row r="53" ht="30.0" customHeight="1">
      <c r="A53" s="141"/>
      <c r="B53" s="101"/>
      <c r="C53" s="101"/>
      <c r="D53" s="101"/>
      <c r="E53" s="101"/>
      <c r="F53" s="101"/>
      <c r="G53" s="101"/>
      <c r="H53" s="101"/>
      <c r="I53" s="101"/>
      <c r="J53" s="142"/>
      <c r="K53" s="101"/>
      <c r="L53" s="101"/>
      <c r="M53" s="101"/>
      <c r="N53" s="101"/>
      <c r="O53" s="101"/>
      <c r="P53" s="101"/>
      <c r="Q53" s="101"/>
      <c r="R53" s="101"/>
      <c r="S53" s="101"/>
      <c r="T53" s="101"/>
      <c r="U53" s="101"/>
      <c r="V53" s="101"/>
      <c r="W53" s="101"/>
      <c r="X53" s="101"/>
      <c r="Y53" s="101"/>
      <c r="Z53" s="101"/>
      <c r="AA53" s="101"/>
      <c r="AB53" s="101"/>
      <c r="AC53" s="101"/>
      <c r="AD53" s="101"/>
    </row>
    <row r="54" ht="30.0" customHeight="1">
      <c r="A54" s="141"/>
      <c r="B54" s="101"/>
      <c r="C54" s="101"/>
      <c r="D54" s="101"/>
      <c r="E54" s="101"/>
      <c r="F54" s="101"/>
      <c r="G54" s="101"/>
      <c r="H54" s="101"/>
      <c r="I54" s="101"/>
      <c r="J54" s="142"/>
      <c r="K54" s="101"/>
      <c r="L54" s="101"/>
      <c r="M54" s="101"/>
      <c r="N54" s="101"/>
      <c r="O54" s="101"/>
      <c r="P54" s="101"/>
      <c r="Q54" s="101"/>
      <c r="R54" s="101"/>
      <c r="S54" s="101"/>
      <c r="T54" s="101"/>
      <c r="U54" s="101"/>
      <c r="V54" s="101"/>
      <c r="W54" s="101"/>
      <c r="X54" s="101"/>
      <c r="Y54" s="101"/>
      <c r="Z54" s="101"/>
      <c r="AA54" s="101"/>
      <c r="AB54" s="101"/>
      <c r="AC54" s="101"/>
      <c r="AD54" s="101"/>
    </row>
    <row r="55" ht="30.0" customHeight="1">
      <c r="A55" s="141"/>
      <c r="B55" s="101"/>
      <c r="C55" s="101"/>
      <c r="D55" s="101"/>
      <c r="E55" s="101"/>
      <c r="F55" s="101"/>
      <c r="G55" s="101"/>
      <c r="H55" s="101"/>
      <c r="I55" s="101"/>
      <c r="J55" s="142"/>
      <c r="K55" s="101"/>
      <c r="L55" s="101"/>
      <c r="M55" s="101"/>
      <c r="N55" s="101"/>
      <c r="O55" s="101"/>
      <c r="P55" s="101"/>
      <c r="Q55" s="101"/>
      <c r="R55" s="101"/>
      <c r="S55" s="101"/>
      <c r="T55" s="101"/>
      <c r="U55" s="101"/>
      <c r="V55" s="101"/>
      <c r="W55" s="101"/>
      <c r="X55" s="101"/>
      <c r="Y55" s="101"/>
      <c r="Z55" s="101"/>
      <c r="AA55" s="101"/>
      <c r="AB55" s="101"/>
      <c r="AC55" s="101"/>
      <c r="AD55" s="101"/>
    </row>
    <row r="56" ht="30.0" customHeight="1">
      <c r="A56" s="141"/>
      <c r="B56" s="101"/>
      <c r="C56" s="101"/>
      <c r="D56" s="101"/>
      <c r="E56" s="101"/>
      <c r="F56" s="101"/>
      <c r="G56" s="101"/>
      <c r="H56" s="101"/>
      <c r="I56" s="101"/>
      <c r="J56" s="142"/>
      <c r="K56" s="101"/>
      <c r="L56" s="101"/>
      <c r="M56" s="101"/>
      <c r="N56" s="101"/>
      <c r="O56" s="101"/>
      <c r="P56" s="101"/>
      <c r="Q56" s="101"/>
      <c r="R56" s="101"/>
      <c r="S56" s="101"/>
      <c r="T56" s="101"/>
      <c r="U56" s="101"/>
      <c r="V56" s="101"/>
      <c r="W56" s="101"/>
      <c r="X56" s="101"/>
      <c r="Y56" s="101"/>
      <c r="Z56" s="101"/>
      <c r="AA56" s="101"/>
      <c r="AB56" s="101"/>
      <c r="AC56" s="101"/>
      <c r="AD56" s="101"/>
    </row>
    <row r="57" ht="30.0" customHeight="1">
      <c r="A57" s="141"/>
      <c r="B57" s="101"/>
      <c r="C57" s="101"/>
      <c r="D57" s="101"/>
      <c r="E57" s="101"/>
      <c r="F57" s="101"/>
      <c r="G57" s="101"/>
      <c r="H57" s="101"/>
      <c r="I57" s="101"/>
      <c r="J57" s="142"/>
      <c r="K57" s="101"/>
      <c r="L57" s="101"/>
      <c r="M57" s="101"/>
      <c r="N57" s="101"/>
      <c r="O57" s="101"/>
      <c r="P57" s="101"/>
      <c r="Q57" s="101"/>
      <c r="R57" s="101"/>
      <c r="S57" s="101"/>
      <c r="T57" s="101"/>
      <c r="U57" s="101"/>
      <c r="V57" s="101"/>
      <c r="W57" s="101"/>
      <c r="X57" s="101"/>
      <c r="Y57" s="101"/>
      <c r="Z57" s="101"/>
      <c r="AA57" s="101"/>
      <c r="AB57" s="101"/>
      <c r="AC57" s="101"/>
      <c r="AD57" s="101"/>
    </row>
    <row r="58" ht="30.0" customHeight="1">
      <c r="A58" s="141"/>
      <c r="B58" s="101"/>
      <c r="C58" s="101"/>
      <c r="D58" s="101"/>
      <c r="E58" s="101"/>
      <c r="F58" s="101"/>
      <c r="G58" s="101"/>
      <c r="H58" s="101"/>
      <c r="I58" s="101"/>
      <c r="J58" s="142"/>
      <c r="K58" s="101"/>
      <c r="L58" s="101"/>
      <c r="M58" s="101"/>
      <c r="N58" s="101"/>
      <c r="O58" s="101"/>
      <c r="P58" s="101"/>
      <c r="Q58" s="101"/>
      <c r="R58" s="101"/>
      <c r="S58" s="101"/>
      <c r="T58" s="101"/>
      <c r="U58" s="101"/>
      <c r="V58" s="101"/>
      <c r="W58" s="101"/>
      <c r="X58" s="101"/>
      <c r="Y58" s="101"/>
      <c r="Z58" s="101"/>
      <c r="AA58" s="101"/>
      <c r="AB58" s="101"/>
      <c r="AC58" s="101"/>
      <c r="AD58" s="101"/>
    </row>
    <row r="59" ht="30.0" customHeight="1">
      <c r="A59" s="141"/>
      <c r="B59" s="101"/>
      <c r="C59" s="101"/>
      <c r="D59" s="101"/>
      <c r="E59" s="101"/>
      <c r="F59" s="101"/>
      <c r="G59" s="101"/>
      <c r="H59" s="101"/>
      <c r="I59" s="101"/>
      <c r="J59" s="142"/>
      <c r="K59" s="101"/>
      <c r="L59" s="101"/>
      <c r="M59" s="101"/>
      <c r="N59" s="101"/>
      <c r="O59" s="101"/>
      <c r="P59" s="101"/>
      <c r="Q59" s="101"/>
      <c r="R59" s="101"/>
      <c r="S59" s="101"/>
      <c r="T59" s="101"/>
      <c r="U59" s="101"/>
      <c r="V59" s="101"/>
      <c r="W59" s="101"/>
      <c r="X59" s="101"/>
      <c r="Y59" s="101"/>
      <c r="Z59" s="101"/>
      <c r="AA59" s="101"/>
      <c r="AB59" s="101"/>
      <c r="AC59" s="101"/>
      <c r="AD59" s="101"/>
    </row>
    <row r="60" ht="30.0" customHeight="1">
      <c r="A60" s="141"/>
      <c r="B60" s="101"/>
      <c r="C60" s="101"/>
      <c r="D60" s="101"/>
      <c r="E60" s="101"/>
      <c r="F60" s="101"/>
      <c r="G60" s="101"/>
      <c r="H60" s="101"/>
      <c r="I60" s="101"/>
      <c r="J60" s="142"/>
      <c r="K60" s="101"/>
      <c r="L60" s="101"/>
      <c r="M60" s="101"/>
      <c r="N60" s="101"/>
      <c r="O60" s="101"/>
      <c r="P60" s="101"/>
      <c r="Q60" s="101"/>
      <c r="R60" s="101"/>
      <c r="S60" s="101"/>
      <c r="T60" s="101"/>
      <c r="U60" s="101"/>
      <c r="V60" s="101"/>
      <c r="W60" s="101"/>
      <c r="X60" s="101"/>
      <c r="Y60" s="101"/>
      <c r="Z60" s="101"/>
      <c r="AA60" s="101"/>
      <c r="AB60" s="101"/>
      <c r="AC60" s="101"/>
      <c r="AD60" s="101"/>
    </row>
    <row r="61" ht="30.0" customHeight="1">
      <c r="A61" s="141"/>
      <c r="B61" s="101"/>
      <c r="C61" s="101"/>
      <c r="D61" s="101"/>
      <c r="E61" s="101"/>
      <c r="F61" s="101"/>
      <c r="G61" s="101"/>
      <c r="H61" s="101"/>
      <c r="I61" s="101"/>
      <c r="J61" s="142"/>
      <c r="K61" s="101"/>
      <c r="L61" s="101"/>
      <c r="M61" s="101"/>
      <c r="N61" s="101"/>
      <c r="O61" s="101"/>
      <c r="P61" s="101"/>
      <c r="Q61" s="101"/>
      <c r="R61" s="101"/>
      <c r="S61" s="101"/>
      <c r="T61" s="101"/>
      <c r="U61" s="101"/>
      <c r="V61" s="101"/>
      <c r="W61" s="101"/>
      <c r="X61" s="101"/>
      <c r="Y61" s="101"/>
      <c r="Z61" s="101"/>
      <c r="AA61" s="101"/>
      <c r="AB61" s="101"/>
      <c r="AC61" s="101"/>
      <c r="AD61" s="101"/>
    </row>
    <row r="62" ht="30.0" customHeight="1">
      <c r="A62" s="141"/>
      <c r="B62" s="101"/>
      <c r="C62" s="101"/>
      <c r="D62" s="101"/>
      <c r="E62" s="101"/>
      <c r="F62" s="101"/>
      <c r="G62" s="101"/>
      <c r="H62" s="101"/>
      <c r="I62" s="101"/>
      <c r="J62" s="142"/>
      <c r="K62" s="101"/>
      <c r="L62" s="101"/>
      <c r="M62" s="101"/>
      <c r="N62" s="101"/>
      <c r="O62" s="101"/>
      <c r="P62" s="101"/>
      <c r="Q62" s="101"/>
      <c r="R62" s="101"/>
      <c r="S62" s="101"/>
      <c r="T62" s="101"/>
      <c r="U62" s="101"/>
      <c r="V62" s="101"/>
      <c r="W62" s="101"/>
      <c r="X62" s="101"/>
      <c r="Y62" s="101"/>
      <c r="Z62" s="101"/>
      <c r="AA62" s="101"/>
      <c r="AB62" s="101"/>
      <c r="AC62" s="101"/>
      <c r="AD62" s="101"/>
    </row>
    <row r="63" ht="30.0" customHeight="1">
      <c r="A63" s="141"/>
      <c r="B63" s="101"/>
      <c r="C63" s="101"/>
      <c r="D63" s="101"/>
      <c r="E63" s="101"/>
      <c r="F63" s="101"/>
      <c r="G63" s="101"/>
      <c r="H63" s="101"/>
      <c r="I63" s="101"/>
      <c r="J63" s="142"/>
      <c r="K63" s="101"/>
      <c r="L63" s="101"/>
      <c r="M63" s="101"/>
      <c r="N63" s="101"/>
      <c r="O63" s="101"/>
      <c r="P63" s="101"/>
      <c r="Q63" s="101"/>
      <c r="R63" s="101"/>
      <c r="S63" s="101"/>
      <c r="T63" s="101"/>
      <c r="U63" s="101"/>
      <c r="V63" s="101"/>
      <c r="W63" s="101"/>
      <c r="X63" s="101"/>
      <c r="Y63" s="101"/>
      <c r="Z63" s="101"/>
      <c r="AA63" s="101"/>
      <c r="AB63" s="101"/>
      <c r="AC63" s="101"/>
      <c r="AD63" s="101"/>
    </row>
    <row r="64" ht="30.0" customHeight="1">
      <c r="A64" s="141"/>
      <c r="B64" s="101"/>
      <c r="C64" s="101"/>
      <c r="D64" s="101"/>
      <c r="E64" s="101"/>
      <c r="F64" s="101"/>
      <c r="G64" s="101"/>
      <c r="H64" s="101"/>
      <c r="I64" s="101"/>
      <c r="J64" s="142"/>
      <c r="K64" s="101"/>
      <c r="L64" s="101"/>
      <c r="M64" s="101"/>
      <c r="N64" s="101"/>
      <c r="O64" s="101"/>
      <c r="P64" s="101"/>
      <c r="Q64" s="101"/>
      <c r="R64" s="101"/>
      <c r="S64" s="101"/>
      <c r="T64" s="101"/>
      <c r="U64" s="101"/>
      <c r="V64" s="101"/>
      <c r="W64" s="101"/>
      <c r="X64" s="101"/>
      <c r="Y64" s="101"/>
      <c r="Z64" s="101"/>
      <c r="AA64" s="101"/>
      <c r="AB64" s="101"/>
      <c r="AC64" s="101"/>
      <c r="AD64" s="101"/>
    </row>
    <row r="65" ht="30.0" customHeight="1">
      <c r="A65" s="141"/>
      <c r="B65" s="101"/>
      <c r="C65" s="101"/>
      <c r="D65" s="101"/>
      <c r="E65" s="101"/>
      <c r="F65" s="101"/>
      <c r="G65" s="101"/>
      <c r="H65" s="101"/>
      <c r="I65" s="101"/>
      <c r="J65" s="142"/>
      <c r="K65" s="101"/>
      <c r="L65" s="101"/>
      <c r="M65" s="101"/>
      <c r="N65" s="101"/>
      <c r="O65" s="101"/>
      <c r="P65" s="101"/>
      <c r="Q65" s="101"/>
      <c r="R65" s="101"/>
      <c r="S65" s="101"/>
      <c r="T65" s="101"/>
      <c r="U65" s="101"/>
      <c r="V65" s="101"/>
      <c r="W65" s="101"/>
      <c r="X65" s="101"/>
      <c r="Y65" s="101"/>
      <c r="Z65" s="101"/>
      <c r="AA65" s="101"/>
      <c r="AB65" s="101"/>
      <c r="AC65" s="101"/>
      <c r="AD65" s="101"/>
    </row>
    <row r="66" ht="30.0" customHeight="1">
      <c r="A66" s="141"/>
      <c r="B66" s="101"/>
      <c r="C66" s="101"/>
      <c r="D66" s="101"/>
      <c r="E66" s="101"/>
      <c r="F66" s="101"/>
      <c r="G66" s="101"/>
      <c r="H66" s="101"/>
      <c r="I66" s="101"/>
      <c r="J66" s="142"/>
      <c r="K66" s="101"/>
      <c r="L66" s="101"/>
      <c r="M66" s="101"/>
      <c r="N66" s="101"/>
      <c r="O66" s="101"/>
      <c r="P66" s="101"/>
      <c r="Q66" s="101"/>
      <c r="R66" s="101"/>
      <c r="S66" s="101"/>
      <c r="T66" s="101"/>
      <c r="U66" s="101"/>
      <c r="V66" s="101"/>
      <c r="W66" s="101"/>
      <c r="X66" s="101"/>
      <c r="Y66" s="101"/>
      <c r="Z66" s="101"/>
      <c r="AA66" s="101"/>
      <c r="AB66" s="101"/>
      <c r="AC66" s="101"/>
      <c r="AD66" s="101"/>
    </row>
    <row r="67" ht="30.0" customHeight="1">
      <c r="A67" s="141"/>
      <c r="B67" s="101"/>
      <c r="C67" s="101"/>
      <c r="D67" s="101"/>
      <c r="E67" s="101"/>
      <c r="F67" s="101"/>
      <c r="G67" s="101"/>
      <c r="H67" s="101"/>
      <c r="I67" s="101"/>
      <c r="J67" s="142"/>
      <c r="K67" s="101"/>
      <c r="L67" s="101"/>
      <c r="M67" s="101"/>
      <c r="N67" s="101"/>
      <c r="O67" s="101"/>
      <c r="P67" s="101"/>
      <c r="Q67" s="101"/>
      <c r="R67" s="101"/>
      <c r="S67" s="101"/>
      <c r="T67" s="101"/>
      <c r="U67" s="101"/>
      <c r="V67" s="101"/>
      <c r="W67" s="101"/>
      <c r="X67" s="101"/>
      <c r="Y67" s="101"/>
      <c r="Z67" s="101"/>
      <c r="AA67" s="101"/>
      <c r="AB67" s="101"/>
      <c r="AC67" s="101"/>
      <c r="AD67" s="101"/>
    </row>
    <row r="68" ht="30.0" customHeight="1">
      <c r="A68" s="141"/>
      <c r="B68" s="101"/>
      <c r="C68" s="101"/>
      <c r="D68" s="101"/>
      <c r="E68" s="101"/>
      <c r="F68" s="101"/>
      <c r="G68" s="101"/>
      <c r="H68" s="101"/>
      <c r="I68" s="101"/>
      <c r="J68" s="142"/>
      <c r="K68" s="101"/>
      <c r="L68" s="101"/>
      <c r="M68" s="101"/>
      <c r="N68" s="101"/>
      <c r="O68" s="101"/>
      <c r="P68" s="101"/>
      <c r="Q68" s="101"/>
      <c r="R68" s="101"/>
      <c r="S68" s="101"/>
      <c r="T68" s="101"/>
      <c r="U68" s="101"/>
      <c r="V68" s="101"/>
      <c r="W68" s="101"/>
      <c r="X68" s="101"/>
      <c r="Y68" s="101"/>
      <c r="Z68" s="101"/>
      <c r="AA68" s="101"/>
      <c r="AB68" s="101"/>
      <c r="AC68" s="101"/>
      <c r="AD68" s="101"/>
    </row>
    <row r="69" ht="30.0" customHeight="1">
      <c r="A69" s="141"/>
      <c r="B69" s="101"/>
      <c r="C69" s="101"/>
      <c r="D69" s="101"/>
      <c r="E69" s="101"/>
      <c r="F69" s="101"/>
      <c r="G69" s="101"/>
      <c r="H69" s="101"/>
      <c r="I69" s="101"/>
      <c r="J69" s="142"/>
      <c r="K69" s="101"/>
      <c r="L69" s="101"/>
      <c r="M69" s="101"/>
      <c r="N69" s="101"/>
      <c r="O69" s="101"/>
      <c r="P69" s="101"/>
      <c r="Q69" s="101"/>
      <c r="R69" s="101"/>
      <c r="S69" s="101"/>
      <c r="T69" s="101"/>
      <c r="U69" s="101"/>
      <c r="V69" s="101"/>
      <c r="W69" s="101"/>
      <c r="X69" s="101"/>
      <c r="Y69" s="101"/>
      <c r="Z69" s="101"/>
      <c r="AA69" s="101"/>
      <c r="AB69" s="101"/>
      <c r="AC69" s="101"/>
      <c r="AD69" s="101"/>
    </row>
    <row r="70" ht="30.0" customHeight="1">
      <c r="A70" s="141"/>
      <c r="B70" s="101"/>
      <c r="C70" s="101"/>
      <c r="D70" s="101"/>
      <c r="E70" s="101"/>
      <c r="F70" s="101"/>
      <c r="G70" s="101"/>
      <c r="H70" s="101"/>
      <c r="I70" s="101"/>
      <c r="J70" s="142"/>
      <c r="K70" s="101"/>
      <c r="L70" s="101"/>
      <c r="M70" s="101"/>
      <c r="N70" s="101"/>
      <c r="O70" s="101"/>
      <c r="P70" s="101"/>
      <c r="Q70" s="101"/>
      <c r="R70" s="101"/>
      <c r="S70" s="101"/>
      <c r="T70" s="101"/>
      <c r="U70" s="101"/>
      <c r="V70" s="101"/>
      <c r="W70" s="101"/>
      <c r="X70" s="101"/>
      <c r="Y70" s="101"/>
      <c r="Z70" s="101"/>
      <c r="AA70" s="101"/>
      <c r="AB70" s="101"/>
      <c r="AC70" s="101"/>
      <c r="AD70" s="101"/>
    </row>
    <row r="71" ht="30.0" customHeight="1">
      <c r="A71" s="141"/>
      <c r="B71" s="101"/>
      <c r="C71" s="101"/>
      <c r="D71" s="101"/>
      <c r="E71" s="101"/>
      <c r="F71" s="101"/>
      <c r="G71" s="101"/>
      <c r="H71" s="101"/>
      <c r="I71" s="101"/>
      <c r="J71" s="142"/>
      <c r="K71" s="101"/>
      <c r="L71" s="101"/>
      <c r="M71" s="101"/>
      <c r="N71" s="101"/>
      <c r="O71" s="101"/>
      <c r="P71" s="101"/>
      <c r="Q71" s="101"/>
      <c r="R71" s="101"/>
      <c r="S71" s="101"/>
      <c r="T71" s="101"/>
      <c r="U71" s="101"/>
      <c r="V71" s="101"/>
      <c r="W71" s="101"/>
      <c r="X71" s="101"/>
      <c r="Y71" s="101"/>
      <c r="Z71" s="101"/>
      <c r="AA71" s="101"/>
      <c r="AB71" s="101"/>
      <c r="AC71" s="101"/>
      <c r="AD71" s="101"/>
    </row>
    <row r="72" ht="30.0" customHeight="1">
      <c r="A72" s="141"/>
      <c r="B72" s="101"/>
      <c r="C72" s="101"/>
      <c r="D72" s="101"/>
      <c r="E72" s="101"/>
      <c r="F72" s="101"/>
      <c r="G72" s="101"/>
      <c r="H72" s="101"/>
      <c r="I72" s="101"/>
      <c r="J72" s="142"/>
      <c r="K72" s="101"/>
      <c r="L72" s="101"/>
      <c r="M72" s="101"/>
      <c r="N72" s="101"/>
      <c r="O72" s="101"/>
      <c r="P72" s="101"/>
      <c r="Q72" s="101"/>
      <c r="R72" s="101"/>
      <c r="S72" s="101"/>
      <c r="T72" s="101"/>
      <c r="U72" s="101"/>
      <c r="V72" s="101"/>
      <c r="W72" s="101"/>
      <c r="X72" s="101"/>
      <c r="Y72" s="101"/>
      <c r="Z72" s="101"/>
      <c r="AA72" s="101"/>
      <c r="AB72" s="101"/>
      <c r="AC72" s="101"/>
      <c r="AD72" s="101"/>
    </row>
    <row r="73" ht="30.0" customHeight="1">
      <c r="A73" s="141"/>
      <c r="B73" s="101"/>
      <c r="C73" s="101"/>
      <c r="D73" s="101"/>
      <c r="E73" s="101"/>
      <c r="F73" s="101"/>
      <c r="G73" s="101"/>
      <c r="H73" s="101"/>
      <c r="I73" s="101"/>
      <c r="J73" s="142"/>
      <c r="K73" s="101"/>
      <c r="L73" s="101"/>
      <c r="M73" s="101"/>
      <c r="N73" s="101"/>
      <c r="O73" s="101"/>
      <c r="P73" s="101"/>
      <c r="Q73" s="101"/>
      <c r="R73" s="101"/>
      <c r="S73" s="101"/>
      <c r="T73" s="101"/>
      <c r="U73" s="101"/>
      <c r="V73" s="101"/>
      <c r="W73" s="101"/>
      <c r="X73" s="101"/>
      <c r="Y73" s="101"/>
      <c r="Z73" s="101"/>
      <c r="AA73" s="101"/>
      <c r="AB73" s="101"/>
      <c r="AC73" s="101"/>
      <c r="AD73" s="101"/>
    </row>
    <row r="74" ht="30.0" customHeight="1">
      <c r="A74" s="141"/>
      <c r="B74" s="101"/>
      <c r="C74" s="101"/>
      <c r="D74" s="101"/>
      <c r="E74" s="101"/>
      <c r="F74" s="101"/>
      <c r="G74" s="101"/>
      <c r="H74" s="101"/>
      <c r="I74" s="101"/>
      <c r="J74" s="142"/>
      <c r="K74" s="101"/>
      <c r="L74" s="101"/>
      <c r="M74" s="101"/>
      <c r="N74" s="101"/>
      <c r="O74" s="101"/>
      <c r="P74" s="101"/>
      <c r="Q74" s="101"/>
      <c r="R74" s="101"/>
      <c r="S74" s="101"/>
      <c r="T74" s="101"/>
      <c r="U74" s="101"/>
      <c r="V74" s="101"/>
      <c r="W74" s="101"/>
      <c r="X74" s="101"/>
      <c r="Y74" s="101"/>
      <c r="Z74" s="101"/>
      <c r="AA74" s="101"/>
      <c r="AB74" s="101"/>
      <c r="AC74" s="101"/>
      <c r="AD74" s="101"/>
    </row>
    <row r="75" ht="30.0" customHeight="1">
      <c r="A75" s="141"/>
      <c r="B75" s="101"/>
      <c r="C75" s="101"/>
      <c r="D75" s="101"/>
      <c r="E75" s="101"/>
      <c r="F75" s="101"/>
      <c r="G75" s="101"/>
      <c r="H75" s="101"/>
      <c r="I75" s="101"/>
      <c r="J75" s="142"/>
      <c r="K75" s="101"/>
      <c r="L75" s="101"/>
      <c r="M75" s="101"/>
      <c r="N75" s="101"/>
      <c r="O75" s="101"/>
      <c r="P75" s="101"/>
      <c r="Q75" s="101"/>
      <c r="R75" s="101"/>
      <c r="S75" s="101"/>
      <c r="T75" s="101"/>
      <c r="U75" s="101"/>
      <c r="V75" s="101"/>
      <c r="W75" s="101"/>
      <c r="X75" s="101"/>
      <c r="Y75" s="101"/>
      <c r="Z75" s="101"/>
      <c r="AA75" s="101"/>
      <c r="AB75" s="101"/>
      <c r="AC75" s="101"/>
      <c r="AD75" s="101"/>
    </row>
    <row r="76" ht="30.0" customHeight="1">
      <c r="A76" s="141"/>
      <c r="B76" s="101"/>
      <c r="C76" s="101"/>
      <c r="D76" s="101"/>
      <c r="E76" s="101"/>
      <c r="F76" s="101"/>
      <c r="G76" s="101"/>
      <c r="H76" s="101"/>
      <c r="I76" s="101"/>
      <c r="J76" s="142"/>
      <c r="K76" s="101"/>
      <c r="L76" s="101"/>
      <c r="M76" s="101"/>
      <c r="N76" s="101"/>
      <c r="O76" s="101"/>
      <c r="P76" s="101"/>
      <c r="Q76" s="101"/>
      <c r="R76" s="101"/>
      <c r="S76" s="101"/>
      <c r="T76" s="101"/>
      <c r="U76" s="101"/>
      <c r="V76" s="101"/>
      <c r="W76" s="101"/>
      <c r="X76" s="101"/>
      <c r="Y76" s="101"/>
      <c r="Z76" s="101"/>
      <c r="AA76" s="101"/>
      <c r="AB76" s="101"/>
      <c r="AC76" s="101"/>
      <c r="AD76" s="101"/>
    </row>
    <row r="77" ht="30.0" customHeight="1">
      <c r="A77" s="141"/>
      <c r="B77" s="101"/>
      <c r="C77" s="101"/>
      <c r="D77" s="101"/>
      <c r="E77" s="101"/>
      <c r="F77" s="101"/>
      <c r="G77" s="101"/>
      <c r="H77" s="101"/>
      <c r="I77" s="101"/>
      <c r="J77" s="142"/>
      <c r="K77" s="101"/>
      <c r="L77" s="101"/>
      <c r="M77" s="101"/>
      <c r="N77" s="101"/>
      <c r="O77" s="101"/>
      <c r="P77" s="101"/>
      <c r="Q77" s="101"/>
      <c r="R77" s="101"/>
      <c r="S77" s="101"/>
      <c r="T77" s="101"/>
      <c r="U77" s="101"/>
      <c r="V77" s="101"/>
      <c r="W77" s="101"/>
      <c r="X77" s="101"/>
      <c r="Y77" s="101"/>
      <c r="Z77" s="101"/>
      <c r="AA77" s="101"/>
      <c r="AB77" s="101"/>
      <c r="AC77" s="101"/>
      <c r="AD77" s="101"/>
    </row>
    <row r="78" ht="30.0" customHeight="1">
      <c r="A78" s="141"/>
      <c r="B78" s="101"/>
      <c r="C78" s="101"/>
      <c r="D78" s="101"/>
      <c r="E78" s="101"/>
      <c r="F78" s="101"/>
      <c r="G78" s="101"/>
      <c r="H78" s="101"/>
      <c r="I78" s="101"/>
      <c r="J78" s="142"/>
      <c r="K78" s="101"/>
      <c r="L78" s="101"/>
      <c r="M78" s="101"/>
      <c r="N78" s="101"/>
      <c r="O78" s="101"/>
      <c r="P78" s="101"/>
      <c r="Q78" s="101"/>
      <c r="R78" s="101"/>
      <c r="S78" s="101"/>
      <c r="T78" s="101"/>
      <c r="U78" s="101"/>
      <c r="V78" s="101"/>
      <c r="W78" s="101"/>
      <c r="X78" s="101"/>
      <c r="Y78" s="101"/>
      <c r="Z78" s="101"/>
      <c r="AA78" s="101"/>
      <c r="AB78" s="101"/>
      <c r="AC78" s="101"/>
      <c r="AD78" s="101"/>
    </row>
    <row r="79" ht="30.0" customHeight="1">
      <c r="A79" s="141"/>
      <c r="B79" s="101"/>
      <c r="C79" s="101"/>
      <c r="D79" s="101"/>
      <c r="E79" s="101"/>
      <c r="F79" s="101"/>
      <c r="G79" s="101"/>
      <c r="H79" s="101"/>
      <c r="I79" s="101"/>
      <c r="J79" s="142"/>
      <c r="K79" s="101"/>
      <c r="L79" s="101"/>
      <c r="M79" s="101"/>
      <c r="N79" s="101"/>
      <c r="O79" s="101"/>
      <c r="P79" s="101"/>
      <c r="Q79" s="101"/>
      <c r="R79" s="101"/>
      <c r="S79" s="101"/>
      <c r="T79" s="101"/>
      <c r="U79" s="101"/>
      <c r="V79" s="101"/>
      <c r="W79" s="101"/>
      <c r="X79" s="101"/>
      <c r="Y79" s="101"/>
      <c r="Z79" s="101"/>
      <c r="AA79" s="101"/>
      <c r="AB79" s="101"/>
      <c r="AC79" s="101"/>
      <c r="AD79" s="101"/>
    </row>
    <row r="80" ht="30.0" customHeight="1">
      <c r="A80" s="141"/>
      <c r="B80" s="101"/>
      <c r="C80" s="101"/>
      <c r="D80" s="101"/>
      <c r="E80" s="101"/>
      <c r="F80" s="101"/>
      <c r="G80" s="101"/>
      <c r="H80" s="101"/>
      <c r="I80" s="101"/>
      <c r="J80" s="142"/>
      <c r="K80" s="101"/>
      <c r="L80" s="101"/>
      <c r="M80" s="101"/>
      <c r="N80" s="101"/>
      <c r="O80" s="101"/>
      <c r="P80" s="101"/>
      <c r="Q80" s="101"/>
      <c r="R80" s="101"/>
      <c r="S80" s="101"/>
      <c r="T80" s="101"/>
      <c r="U80" s="101"/>
      <c r="V80" s="101"/>
      <c r="W80" s="101"/>
      <c r="X80" s="101"/>
      <c r="Y80" s="101"/>
      <c r="Z80" s="101"/>
      <c r="AA80" s="101"/>
      <c r="AB80" s="101"/>
      <c r="AC80" s="101"/>
      <c r="AD80" s="101"/>
    </row>
    <row r="81" ht="30.0" customHeight="1">
      <c r="A81" s="141"/>
      <c r="B81" s="101"/>
      <c r="C81" s="101"/>
      <c r="D81" s="101"/>
      <c r="E81" s="101"/>
      <c r="F81" s="101"/>
      <c r="G81" s="101"/>
      <c r="H81" s="101"/>
      <c r="I81" s="101"/>
      <c r="J81" s="142"/>
      <c r="K81" s="101"/>
      <c r="L81" s="101"/>
      <c r="M81" s="101"/>
      <c r="N81" s="101"/>
      <c r="O81" s="101"/>
      <c r="P81" s="101"/>
      <c r="Q81" s="101"/>
      <c r="R81" s="101"/>
      <c r="S81" s="101"/>
      <c r="T81" s="101"/>
      <c r="U81" s="101"/>
      <c r="V81" s="101"/>
      <c r="W81" s="101"/>
      <c r="X81" s="101"/>
      <c r="Y81" s="101"/>
      <c r="Z81" s="101"/>
      <c r="AA81" s="101"/>
      <c r="AB81" s="101"/>
      <c r="AC81" s="101"/>
      <c r="AD81" s="101"/>
    </row>
    <row r="82" ht="30.0" customHeight="1">
      <c r="A82" s="141"/>
      <c r="B82" s="101"/>
      <c r="C82" s="101"/>
      <c r="D82" s="101"/>
      <c r="E82" s="101"/>
      <c r="F82" s="101"/>
      <c r="G82" s="101"/>
      <c r="H82" s="101"/>
      <c r="I82" s="101"/>
      <c r="J82" s="142"/>
      <c r="K82" s="101"/>
      <c r="L82" s="101"/>
      <c r="M82" s="101"/>
      <c r="N82" s="101"/>
      <c r="O82" s="101"/>
      <c r="P82" s="101"/>
      <c r="Q82" s="101"/>
      <c r="R82" s="101"/>
      <c r="S82" s="101"/>
      <c r="T82" s="101"/>
      <c r="U82" s="101"/>
      <c r="V82" s="101"/>
      <c r="W82" s="101"/>
      <c r="X82" s="101"/>
      <c r="Y82" s="101"/>
      <c r="Z82" s="101"/>
      <c r="AA82" s="101"/>
      <c r="AB82" s="101"/>
      <c r="AC82" s="101"/>
      <c r="AD82" s="101"/>
    </row>
    <row r="83" ht="30.0" customHeight="1">
      <c r="A83" s="141"/>
      <c r="B83" s="101"/>
      <c r="C83" s="101"/>
      <c r="D83" s="101"/>
      <c r="E83" s="101"/>
      <c r="F83" s="101"/>
      <c r="G83" s="101"/>
      <c r="H83" s="101"/>
      <c r="I83" s="101"/>
      <c r="J83" s="142"/>
      <c r="K83" s="101"/>
      <c r="L83" s="101"/>
      <c r="M83" s="101"/>
      <c r="N83" s="101"/>
      <c r="O83" s="101"/>
      <c r="P83" s="101"/>
      <c r="Q83" s="101"/>
      <c r="R83" s="101"/>
      <c r="S83" s="101"/>
      <c r="T83" s="101"/>
      <c r="U83" s="101"/>
      <c r="V83" s="101"/>
      <c r="W83" s="101"/>
      <c r="X83" s="101"/>
      <c r="Y83" s="101"/>
      <c r="Z83" s="101"/>
      <c r="AA83" s="101"/>
      <c r="AB83" s="101"/>
      <c r="AC83" s="101"/>
      <c r="AD83" s="101"/>
    </row>
    <row r="84" ht="30.0" customHeight="1">
      <c r="A84" s="141"/>
      <c r="B84" s="101"/>
      <c r="C84" s="101"/>
      <c r="D84" s="101"/>
      <c r="E84" s="101"/>
      <c r="F84" s="101"/>
      <c r="G84" s="101"/>
      <c r="H84" s="101"/>
      <c r="I84" s="101"/>
      <c r="J84" s="142"/>
      <c r="K84" s="101"/>
      <c r="L84" s="101"/>
      <c r="M84" s="101"/>
      <c r="N84" s="101"/>
      <c r="O84" s="101"/>
      <c r="P84" s="101"/>
      <c r="Q84" s="101"/>
      <c r="R84" s="101"/>
      <c r="S84" s="101"/>
      <c r="T84" s="101"/>
      <c r="U84" s="101"/>
      <c r="V84" s="101"/>
      <c r="W84" s="101"/>
      <c r="X84" s="101"/>
      <c r="Y84" s="101"/>
      <c r="Z84" s="101"/>
      <c r="AA84" s="101"/>
      <c r="AB84" s="101"/>
      <c r="AC84" s="101"/>
      <c r="AD84" s="101"/>
    </row>
    <row r="85" ht="30.0" customHeight="1">
      <c r="A85" s="141"/>
      <c r="B85" s="101"/>
      <c r="C85" s="101"/>
      <c r="D85" s="101"/>
      <c r="E85" s="101"/>
      <c r="F85" s="101"/>
      <c r="G85" s="101"/>
      <c r="H85" s="101"/>
      <c r="I85" s="101"/>
      <c r="J85" s="142"/>
      <c r="K85" s="101"/>
      <c r="L85" s="101"/>
      <c r="M85" s="101"/>
      <c r="N85" s="101"/>
      <c r="O85" s="101"/>
      <c r="P85" s="101"/>
      <c r="Q85" s="101"/>
      <c r="R85" s="101"/>
      <c r="S85" s="101"/>
      <c r="T85" s="101"/>
      <c r="U85" s="101"/>
      <c r="V85" s="101"/>
      <c r="W85" s="101"/>
      <c r="X85" s="101"/>
      <c r="Y85" s="101"/>
      <c r="Z85" s="101"/>
      <c r="AA85" s="101"/>
      <c r="AB85" s="101"/>
      <c r="AC85" s="101"/>
      <c r="AD85" s="101"/>
    </row>
    <row r="86" ht="30.0" customHeight="1">
      <c r="A86" s="141"/>
      <c r="B86" s="101"/>
      <c r="C86" s="101"/>
      <c r="D86" s="101"/>
      <c r="E86" s="101"/>
      <c r="F86" s="101"/>
      <c r="G86" s="101"/>
      <c r="H86" s="101"/>
      <c r="I86" s="101"/>
      <c r="J86" s="142"/>
      <c r="K86" s="101"/>
      <c r="L86" s="101"/>
      <c r="M86" s="101"/>
      <c r="N86" s="101"/>
      <c r="O86" s="101"/>
      <c r="P86" s="101"/>
      <c r="Q86" s="101"/>
      <c r="R86" s="101"/>
      <c r="S86" s="101"/>
      <c r="T86" s="101"/>
      <c r="U86" s="101"/>
      <c r="V86" s="101"/>
      <c r="W86" s="101"/>
      <c r="X86" s="101"/>
      <c r="Y86" s="101"/>
      <c r="Z86" s="101"/>
      <c r="AA86" s="101"/>
      <c r="AB86" s="101"/>
      <c r="AC86" s="101"/>
      <c r="AD86" s="101"/>
    </row>
    <row r="87" ht="30.0" customHeight="1">
      <c r="A87" s="141"/>
      <c r="B87" s="101"/>
      <c r="C87" s="101"/>
      <c r="D87" s="101"/>
      <c r="E87" s="101"/>
      <c r="F87" s="101"/>
      <c r="G87" s="101"/>
      <c r="H87" s="101"/>
      <c r="I87" s="101"/>
      <c r="J87" s="142"/>
      <c r="K87" s="101"/>
      <c r="L87" s="101"/>
      <c r="M87" s="101"/>
      <c r="N87" s="101"/>
      <c r="O87" s="101"/>
      <c r="P87" s="101"/>
      <c r="Q87" s="101"/>
      <c r="R87" s="101"/>
      <c r="S87" s="101"/>
      <c r="T87" s="101"/>
      <c r="U87" s="101"/>
      <c r="V87" s="101"/>
      <c r="W87" s="101"/>
      <c r="X87" s="101"/>
      <c r="Y87" s="101"/>
      <c r="Z87" s="101"/>
      <c r="AA87" s="101"/>
      <c r="AB87" s="101"/>
      <c r="AC87" s="101"/>
      <c r="AD87" s="101"/>
    </row>
    <row r="88" ht="30.0" customHeight="1">
      <c r="A88" s="141"/>
      <c r="B88" s="101"/>
      <c r="C88" s="101"/>
      <c r="D88" s="101"/>
      <c r="E88" s="101"/>
      <c r="F88" s="101"/>
      <c r="G88" s="101"/>
      <c r="H88" s="101"/>
      <c r="I88" s="101"/>
      <c r="J88" s="142"/>
      <c r="K88" s="101"/>
      <c r="L88" s="101"/>
      <c r="M88" s="101"/>
      <c r="N88" s="101"/>
      <c r="O88" s="101"/>
      <c r="P88" s="101"/>
      <c r="Q88" s="101"/>
      <c r="R88" s="101"/>
      <c r="S88" s="101"/>
      <c r="T88" s="101"/>
      <c r="U88" s="101"/>
      <c r="V88" s="101"/>
      <c r="W88" s="101"/>
      <c r="X88" s="101"/>
      <c r="Y88" s="101"/>
      <c r="Z88" s="101"/>
      <c r="AA88" s="101"/>
      <c r="AB88" s="101"/>
      <c r="AC88" s="101"/>
      <c r="AD88" s="101"/>
    </row>
    <row r="89" ht="30.0" customHeight="1">
      <c r="A89" s="141"/>
      <c r="B89" s="101"/>
      <c r="C89" s="101"/>
      <c r="D89" s="101"/>
      <c r="E89" s="101"/>
      <c r="F89" s="101"/>
      <c r="G89" s="101"/>
      <c r="H89" s="101"/>
      <c r="I89" s="101"/>
      <c r="J89" s="142"/>
      <c r="K89" s="101"/>
      <c r="L89" s="101"/>
      <c r="M89" s="101"/>
      <c r="N89" s="101"/>
      <c r="O89" s="101"/>
      <c r="P89" s="101"/>
      <c r="Q89" s="101"/>
      <c r="R89" s="101"/>
      <c r="S89" s="101"/>
      <c r="T89" s="101"/>
      <c r="U89" s="101"/>
      <c r="V89" s="101"/>
      <c r="W89" s="101"/>
      <c r="X89" s="101"/>
      <c r="Y89" s="101"/>
      <c r="Z89" s="101"/>
      <c r="AA89" s="101"/>
      <c r="AB89" s="101"/>
      <c r="AC89" s="101"/>
      <c r="AD89" s="101"/>
    </row>
    <row r="90" ht="30.0" customHeight="1">
      <c r="A90" s="141"/>
      <c r="B90" s="101"/>
      <c r="C90" s="101"/>
      <c r="D90" s="101"/>
      <c r="E90" s="101"/>
      <c r="F90" s="101"/>
      <c r="G90" s="101"/>
      <c r="H90" s="101"/>
      <c r="I90" s="101"/>
      <c r="J90" s="142"/>
      <c r="K90" s="101"/>
      <c r="L90" s="101"/>
      <c r="M90" s="101"/>
      <c r="N90" s="101"/>
      <c r="O90" s="101"/>
      <c r="P90" s="101"/>
      <c r="Q90" s="101"/>
      <c r="R90" s="101"/>
      <c r="S90" s="101"/>
      <c r="T90" s="101"/>
      <c r="U90" s="101"/>
      <c r="V90" s="101"/>
      <c r="W90" s="101"/>
      <c r="X90" s="101"/>
      <c r="Y90" s="101"/>
      <c r="Z90" s="101"/>
      <c r="AA90" s="101"/>
      <c r="AB90" s="101"/>
      <c r="AC90" s="101"/>
      <c r="AD90" s="101"/>
    </row>
    <row r="91" ht="30.0" customHeight="1">
      <c r="A91" s="141"/>
      <c r="B91" s="101"/>
      <c r="C91" s="101"/>
      <c r="D91" s="101"/>
      <c r="E91" s="101"/>
      <c r="F91" s="101"/>
      <c r="G91" s="101"/>
      <c r="H91" s="101"/>
      <c r="I91" s="101"/>
      <c r="J91" s="142"/>
      <c r="K91" s="101"/>
      <c r="L91" s="101"/>
      <c r="M91" s="101"/>
      <c r="N91" s="101"/>
      <c r="O91" s="101"/>
      <c r="P91" s="101"/>
      <c r="Q91" s="101"/>
      <c r="R91" s="101"/>
      <c r="S91" s="101"/>
      <c r="T91" s="101"/>
      <c r="U91" s="101"/>
      <c r="V91" s="101"/>
      <c r="W91" s="101"/>
      <c r="X91" s="101"/>
      <c r="Y91" s="101"/>
      <c r="Z91" s="101"/>
      <c r="AA91" s="101"/>
      <c r="AB91" s="101"/>
      <c r="AC91" s="101"/>
      <c r="AD91" s="101"/>
    </row>
    <row r="92" ht="30.0" customHeight="1">
      <c r="A92" s="141"/>
      <c r="B92" s="101"/>
      <c r="C92" s="101"/>
      <c r="D92" s="101"/>
      <c r="E92" s="101"/>
      <c r="F92" s="101"/>
      <c r="G92" s="101"/>
      <c r="H92" s="101"/>
      <c r="I92" s="101"/>
      <c r="J92" s="142"/>
      <c r="K92" s="101"/>
      <c r="L92" s="101"/>
      <c r="M92" s="101"/>
      <c r="N92" s="101"/>
      <c r="O92" s="101"/>
      <c r="P92" s="101"/>
      <c r="Q92" s="101"/>
      <c r="R92" s="101"/>
      <c r="S92" s="101"/>
      <c r="T92" s="101"/>
      <c r="U92" s="101"/>
      <c r="V92" s="101"/>
      <c r="W92" s="101"/>
      <c r="X92" s="101"/>
      <c r="Y92" s="101"/>
      <c r="Z92" s="101"/>
      <c r="AA92" s="101"/>
      <c r="AB92" s="101"/>
      <c r="AC92" s="101"/>
      <c r="AD92" s="101"/>
    </row>
    <row r="93" ht="30.0" customHeight="1">
      <c r="A93" s="141"/>
      <c r="B93" s="101"/>
      <c r="C93" s="101"/>
      <c r="D93" s="101"/>
      <c r="E93" s="101"/>
      <c r="F93" s="101"/>
      <c r="G93" s="101"/>
      <c r="H93" s="101"/>
      <c r="I93" s="101"/>
      <c r="J93" s="142"/>
      <c r="K93" s="101"/>
      <c r="L93" s="101"/>
      <c r="M93" s="101"/>
      <c r="N93" s="101"/>
      <c r="O93" s="101"/>
      <c r="P93" s="101"/>
      <c r="Q93" s="101"/>
      <c r="R93" s="101"/>
      <c r="S93" s="101"/>
      <c r="T93" s="101"/>
      <c r="U93" s="101"/>
      <c r="V93" s="101"/>
      <c r="W93" s="101"/>
      <c r="X93" s="101"/>
      <c r="Y93" s="101"/>
      <c r="Z93" s="101"/>
      <c r="AA93" s="101"/>
      <c r="AB93" s="101"/>
      <c r="AC93" s="101"/>
      <c r="AD93" s="101"/>
    </row>
    <row r="94" ht="30.0" customHeight="1">
      <c r="A94" s="141"/>
      <c r="B94" s="101"/>
      <c r="C94" s="101"/>
      <c r="D94" s="101"/>
      <c r="E94" s="101"/>
      <c r="F94" s="101"/>
      <c r="G94" s="101"/>
      <c r="H94" s="101"/>
      <c r="I94" s="101"/>
      <c r="J94" s="142"/>
      <c r="K94" s="101"/>
      <c r="L94" s="101"/>
      <c r="M94" s="101"/>
      <c r="N94" s="101"/>
      <c r="O94" s="101"/>
      <c r="P94" s="101"/>
      <c r="Q94" s="101"/>
      <c r="R94" s="101"/>
      <c r="S94" s="101"/>
      <c r="T94" s="101"/>
      <c r="U94" s="101"/>
      <c r="V94" s="101"/>
      <c r="W94" s="101"/>
      <c r="X94" s="101"/>
      <c r="Y94" s="101"/>
      <c r="Z94" s="101"/>
      <c r="AA94" s="101"/>
      <c r="AB94" s="101"/>
      <c r="AC94" s="101"/>
      <c r="AD94" s="101"/>
    </row>
    <row r="95" ht="30.0" customHeight="1">
      <c r="A95" s="141"/>
      <c r="B95" s="101"/>
      <c r="C95" s="101"/>
      <c r="D95" s="101"/>
      <c r="E95" s="101"/>
      <c r="F95" s="101"/>
      <c r="G95" s="101"/>
      <c r="H95" s="101"/>
      <c r="I95" s="101"/>
      <c r="J95" s="142"/>
      <c r="K95" s="101"/>
      <c r="L95" s="101"/>
      <c r="M95" s="101"/>
      <c r="N95" s="101"/>
      <c r="O95" s="101"/>
      <c r="P95" s="101"/>
      <c r="Q95" s="101"/>
      <c r="R95" s="101"/>
      <c r="S95" s="101"/>
      <c r="T95" s="101"/>
      <c r="U95" s="101"/>
      <c r="V95" s="101"/>
      <c r="W95" s="101"/>
      <c r="X95" s="101"/>
      <c r="Y95" s="101"/>
      <c r="Z95" s="101"/>
      <c r="AA95" s="101"/>
      <c r="AB95" s="101"/>
      <c r="AC95" s="101"/>
      <c r="AD95" s="101"/>
    </row>
    <row r="96" ht="30.0" customHeight="1">
      <c r="A96" s="141"/>
      <c r="B96" s="101"/>
      <c r="C96" s="101"/>
      <c r="D96" s="101"/>
      <c r="E96" s="101"/>
      <c r="F96" s="101"/>
      <c r="G96" s="101"/>
      <c r="H96" s="101"/>
      <c r="I96" s="101"/>
      <c r="J96" s="142"/>
      <c r="K96" s="101"/>
      <c r="L96" s="101"/>
      <c r="M96" s="101"/>
      <c r="N96" s="101"/>
      <c r="O96" s="101"/>
      <c r="P96" s="101"/>
      <c r="Q96" s="101"/>
      <c r="R96" s="101"/>
      <c r="S96" s="101"/>
      <c r="T96" s="101"/>
      <c r="U96" s="101"/>
      <c r="V96" s="101"/>
      <c r="W96" s="101"/>
      <c r="X96" s="101"/>
      <c r="Y96" s="101"/>
      <c r="Z96" s="101"/>
      <c r="AA96" s="101"/>
      <c r="AB96" s="101"/>
      <c r="AC96" s="101"/>
      <c r="AD96" s="101"/>
    </row>
    <row r="97" ht="30.0" customHeight="1">
      <c r="A97" s="141"/>
      <c r="B97" s="101"/>
      <c r="C97" s="101"/>
      <c r="D97" s="101"/>
      <c r="E97" s="101"/>
      <c r="F97" s="101"/>
      <c r="G97" s="101"/>
      <c r="H97" s="101"/>
      <c r="I97" s="101"/>
      <c r="J97" s="142"/>
      <c r="K97" s="101"/>
      <c r="L97" s="101"/>
      <c r="M97" s="101"/>
      <c r="N97" s="101"/>
      <c r="O97" s="101"/>
      <c r="P97" s="101"/>
      <c r="Q97" s="101"/>
      <c r="R97" s="101"/>
      <c r="S97" s="101"/>
      <c r="T97" s="101"/>
      <c r="U97" s="101"/>
      <c r="V97" s="101"/>
      <c r="W97" s="101"/>
      <c r="X97" s="101"/>
      <c r="Y97" s="101"/>
      <c r="Z97" s="101"/>
      <c r="AA97" s="101"/>
      <c r="AB97" s="101"/>
      <c r="AC97" s="101"/>
      <c r="AD97" s="101"/>
    </row>
    <row r="98" ht="30.0" customHeight="1">
      <c r="A98" s="141"/>
      <c r="B98" s="101"/>
      <c r="C98" s="101"/>
      <c r="D98" s="101"/>
      <c r="E98" s="101"/>
      <c r="F98" s="101"/>
      <c r="G98" s="101"/>
      <c r="H98" s="101"/>
      <c r="I98" s="101"/>
      <c r="J98" s="142"/>
      <c r="K98" s="101"/>
      <c r="L98" s="101"/>
      <c r="M98" s="101"/>
      <c r="N98" s="101"/>
      <c r="O98" s="101"/>
      <c r="P98" s="101"/>
      <c r="Q98" s="101"/>
      <c r="R98" s="101"/>
      <c r="S98" s="101"/>
      <c r="T98" s="101"/>
      <c r="U98" s="101"/>
      <c r="V98" s="101"/>
      <c r="W98" s="101"/>
      <c r="X98" s="101"/>
      <c r="Y98" s="101"/>
      <c r="Z98" s="101"/>
      <c r="AA98" s="101"/>
      <c r="AB98" s="101"/>
      <c r="AC98" s="101"/>
      <c r="AD98" s="101"/>
    </row>
    <row r="99" ht="30.0" customHeight="1">
      <c r="A99" s="141"/>
      <c r="B99" s="101"/>
      <c r="C99" s="101"/>
      <c r="D99" s="101"/>
      <c r="E99" s="101"/>
      <c r="F99" s="101"/>
      <c r="G99" s="101"/>
      <c r="H99" s="101"/>
      <c r="I99" s="101"/>
      <c r="J99" s="142"/>
      <c r="K99" s="101"/>
      <c r="L99" s="101"/>
      <c r="M99" s="101"/>
      <c r="N99" s="101"/>
      <c r="O99" s="101"/>
      <c r="P99" s="101"/>
      <c r="Q99" s="101"/>
      <c r="R99" s="101"/>
      <c r="S99" s="101"/>
      <c r="T99" s="101"/>
      <c r="U99" s="101"/>
      <c r="V99" s="101"/>
      <c r="W99" s="101"/>
      <c r="X99" s="101"/>
      <c r="Y99" s="101"/>
      <c r="Z99" s="101"/>
      <c r="AA99" s="101"/>
      <c r="AB99" s="101"/>
      <c r="AC99" s="101"/>
      <c r="AD99" s="101"/>
    </row>
    <row r="100" ht="30.0" customHeight="1">
      <c r="A100" s="141"/>
      <c r="B100" s="101"/>
      <c r="C100" s="101"/>
      <c r="D100" s="101"/>
      <c r="E100" s="101"/>
      <c r="F100" s="101"/>
      <c r="G100" s="101"/>
      <c r="H100" s="101"/>
      <c r="I100" s="101"/>
      <c r="J100" s="142"/>
      <c r="K100" s="101"/>
      <c r="L100" s="101"/>
      <c r="M100" s="101"/>
      <c r="N100" s="101"/>
      <c r="O100" s="101"/>
      <c r="P100" s="101"/>
      <c r="Q100" s="101"/>
      <c r="R100" s="101"/>
      <c r="S100" s="101"/>
      <c r="T100" s="101"/>
      <c r="U100" s="101"/>
      <c r="V100" s="101"/>
      <c r="W100" s="101"/>
      <c r="X100" s="101"/>
      <c r="Y100" s="101"/>
      <c r="Z100" s="101"/>
      <c r="AA100" s="101"/>
      <c r="AB100" s="101"/>
      <c r="AC100" s="101"/>
      <c r="AD100" s="101"/>
    </row>
    <row r="101" ht="30.0" customHeight="1">
      <c r="A101" s="141"/>
      <c r="B101" s="101"/>
      <c r="C101" s="101"/>
      <c r="D101" s="101"/>
      <c r="E101" s="101"/>
      <c r="F101" s="101"/>
      <c r="G101" s="101"/>
      <c r="H101" s="101"/>
      <c r="I101" s="101"/>
      <c r="J101" s="142"/>
      <c r="K101" s="101"/>
      <c r="L101" s="101"/>
      <c r="M101" s="101"/>
      <c r="N101" s="101"/>
      <c r="O101" s="101"/>
      <c r="P101" s="101"/>
      <c r="Q101" s="101"/>
      <c r="R101" s="101"/>
      <c r="S101" s="101"/>
      <c r="T101" s="101"/>
      <c r="U101" s="101"/>
      <c r="V101" s="101"/>
      <c r="W101" s="101"/>
      <c r="X101" s="101"/>
      <c r="Y101" s="101"/>
      <c r="Z101" s="101"/>
      <c r="AA101" s="101"/>
      <c r="AB101" s="101"/>
      <c r="AC101" s="101"/>
      <c r="AD101" s="101"/>
    </row>
    <row r="102" ht="30.0" customHeight="1">
      <c r="A102" s="141"/>
      <c r="B102" s="101"/>
      <c r="C102" s="101"/>
      <c r="D102" s="101"/>
      <c r="E102" s="101"/>
      <c r="F102" s="101"/>
      <c r="G102" s="101"/>
      <c r="H102" s="101"/>
      <c r="I102" s="101"/>
      <c r="J102" s="142"/>
      <c r="K102" s="101"/>
      <c r="L102" s="101"/>
      <c r="M102" s="101"/>
      <c r="N102" s="101"/>
      <c r="O102" s="101"/>
      <c r="P102" s="101"/>
      <c r="Q102" s="101"/>
      <c r="R102" s="101"/>
      <c r="S102" s="101"/>
      <c r="T102" s="101"/>
      <c r="U102" s="101"/>
      <c r="V102" s="101"/>
      <c r="W102" s="101"/>
      <c r="X102" s="101"/>
      <c r="Y102" s="101"/>
      <c r="Z102" s="101"/>
      <c r="AA102" s="101"/>
      <c r="AB102" s="101"/>
      <c r="AC102" s="101"/>
      <c r="AD102" s="101"/>
    </row>
    <row r="103" ht="30.0" customHeight="1">
      <c r="A103" s="141"/>
      <c r="B103" s="101"/>
      <c r="C103" s="101"/>
      <c r="D103" s="101"/>
      <c r="E103" s="101"/>
      <c r="F103" s="101"/>
      <c r="G103" s="101"/>
      <c r="H103" s="101"/>
      <c r="I103" s="101"/>
      <c r="J103" s="142"/>
      <c r="K103" s="101"/>
      <c r="L103" s="101"/>
      <c r="M103" s="101"/>
      <c r="N103" s="101"/>
      <c r="O103" s="101"/>
      <c r="P103" s="101"/>
      <c r="Q103" s="101"/>
      <c r="R103" s="101"/>
      <c r="S103" s="101"/>
      <c r="T103" s="101"/>
      <c r="U103" s="101"/>
      <c r="V103" s="101"/>
      <c r="W103" s="101"/>
      <c r="X103" s="101"/>
      <c r="Y103" s="101"/>
      <c r="Z103" s="101"/>
      <c r="AA103" s="101"/>
      <c r="AB103" s="101"/>
      <c r="AC103" s="101"/>
      <c r="AD103" s="101"/>
    </row>
    <row r="104" ht="30.0" customHeight="1">
      <c r="A104" s="141"/>
      <c r="B104" s="101"/>
      <c r="C104" s="101"/>
      <c r="D104" s="101"/>
      <c r="E104" s="101"/>
      <c r="F104" s="101"/>
      <c r="G104" s="101"/>
      <c r="H104" s="101"/>
      <c r="I104" s="101"/>
      <c r="J104" s="142"/>
      <c r="K104" s="101"/>
      <c r="L104" s="101"/>
      <c r="M104" s="101"/>
      <c r="N104" s="101"/>
      <c r="O104" s="101"/>
      <c r="P104" s="101"/>
      <c r="Q104" s="101"/>
      <c r="R104" s="101"/>
      <c r="S104" s="101"/>
      <c r="T104" s="101"/>
      <c r="U104" s="101"/>
      <c r="V104" s="101"/>
      <c r="W104" s="101"/>
      <c r="X104" s="101"/>
      <c r="Y104" s="101"/>
      <c r="Z104" s="101"/>
      <c r="AA104" s="101"/>
      <c r="AB104" s="101"/>
      <c r="AC104" s="101"/>
      <c r="AD104" s="101"/>
    </row>
    <row r="105" ht="30.0" customHeight="1">
      <c r="A105" s="141"/>
      <c r="B105" s="101"/>
      <c r="C105" s="101"/>
      <c r="D105" s="101"/>
      <c r="E105" s="101"/>
      <c r="F105" s="101"/>
      <c r="G105" s="101"/>
      <c r="H105" s="101"/>
      <c r="I105" s="101"/>
      <c r="J105" s="142"/>
      <c r="K105" s="101"/>
      <c r="L105" s="101"/>
      <c r="M105" s="101"/>
      <c r="N105" s="101"/>
      <c r="O105" s="101"/>
      <c r="P105" s="101"/>
      <c r="Q105" s="101"/>
      <c r="R105" s="101"/>
      <c r="S105" s="101"/>
      <c r="T105" s="101"/>
      <c r="U105" s="101"/>
      <c r="V105" s="101"/>
      <c r="W105" s="101"/>
      <c r="X105" s="101"/>
      <c r="Y105" s="101"/>
      <c r="Z105" s="101"/>
      <c r="AA105" s="101"/>
      <c r="AB105" s="101"/>
      <c r="AC105" s="101"/>
      <c r="AD105" s="101"/>
    </row>
    <row r="106" ht="30.0" customHeight="1">
      <c r="A106" s="141"/>
      <c r="B106" s="101"/>
      <c r="C106" s="101"/>
      <c r="D106" s="101"/>
      <c r="E106" s="101"/>
      <c r="F106" s="101"/>
      <c r="G106" s="101"/>
      <c r="H106" s="101"/>
      <c r="I106" s="101"/>
      <c r="J106" s="142"/>
      <c r="K106" s="101"/>
      <c r="L106" s="101"/>
      <c r="M106" s="101"/>
      <c r="N106" s="101"/>
      <c r="O106" s="101"/>
      <c r="P106" s="101"/>
      <c r="Q106" s="101"/>
      <c r="R106" s="101"/>
      <c r="S106" s="101"/>
      <c r="T106" s="101"/>
      <c r="U106" s="101"/>
      <c r="V106" s="101"/>
      <c r="W106" s="101"/>
      <c r="X106" s="101"/>
      <c r="Y106" s="101"/>
      <c r="Z106" s="101"/>
      <c r="AA106" s="101"/>
      <c r="AB106" s="101"/>
      <c r="AC106" s="101"/>
      <c r="AD106" s="101"/>
    </row>
    <row r="107" ht="30.0" customHeight="1">
      <c r="A107" s="141"/>
      <c r="B107" s="101"/>
      <c r="C107" s="101"/>
      <c r="D107" s="101"/>
      <c r="E107" s="101"/>
      <c r="F107" s="101"/>
      <c r="G107" s="101"/>
      <c r="H107" s="101"/>
      <c r="I107" s="101"/>
      <c r="J107" s="142"/>
      <c r="K107" s="101"/>
      <c r="L107" s="101"/>
      <c r="M107" s="101"/>
      <c r="N107" s="101"/>
      <c r="O107" s="101"/>
      <c r="P107" s="101"/>
      <c r="Q107" s="101"/>
      <c r="R107" s="101"/>
      <c r="S107" s="101"/>
      <c r="T107" s="101"/>
      <c r="U107" s="101"/>
      <c r="V107" s="101"/>
      <c r="W107" s="101"/>
      <c r="X107" s="101"/>
      <c r="Y107" s="101"/>
      <c r="Z107" s="101"/>
      <c r="AA107" s="101"/>
      <c r="AB107" s="101"/>
      <c r="AC107" s="101"/>
      <c r="AD107" s="101"/>
    </row>
    <row r="108" ht="30.0" customHeight="1">
      <c r="A108" s="141"/>
      <c r="B108" s="101"/>
      <c r="C108" s="101"/>
      <c r="D108" s="101"/>
      <c r="E108" s="101"/>
      <c r="F108" s="101"/>
      <c r="G108" s="101"/>
      <c r="H108" s="101"/>
      <c r="I108" s="101"/>
      <c r="J108" s="142"/>
      <c r="K108" s="101"/>
      <c r="L108" s="101"/>
      <c r="M108" s="101"/>
      <c r="N108" s="101"/>
      <c r="O108" s="101"/>
      <c r="P108" s="101"/>
      <c r="Q108" s="101"/>
      <c r="R108" s="101"/>
      <c r="S108" s="101"/>
      <c r="T108" s="101"/>
      <c r="U108" s="101"/>
      <c r="V108" s="101"/>
      <c r="W108" s="101"/>
      <c r="X108" s="101"/>
      <c r="Y108" s="101"/>
      <c r="Z108" s="101"/>
      <c r="AA108" s="101"/>
      <c r="AB108" s="101"/>
      <c r="AC108" s="101"/>
      <c r="AD108" s="101"/>
    </row>
    <row r="109" ht="30.0" customHeight="1">
      <c r="A109" s="141"/>
      <c r="B109" s="101"/>
      <c r="C109" s="101"/>
      <c r="D109" s="101"/>
      <c r="E109" s="101"/>
      <c r="F109" s="101"/>
      <c r="G109" s="101"/>
      <c r="H109" s="101"/>
      <c r="I109" s="101"/>
      <c r="J109" s="142"/>
      <c r="K109" s="101"/>
      <c r="L109" s="101"/>
      <c r="M109" s="101"/>
      <c r="N109" s="101"/>
      <c r="O109" s="101"/>
      <c r="P109" s="101"/>
      <c r="Q109" s="101"/>
      <c r="R109" s="101"/>
      <c r="S109" s="101"/>
      <c r="T109" s="101"/>
      <c r="U109" s="101"/>
      <c r="V109" s="101"/>
      <c r="W109" s="101"/>
      <c r="X109" s="101"/>
      <c r="Y109" s="101"/>
      <c r="Z109" s="101"/>
      <c r="AA109" s="101"/>
      <c r="AB109" s="101"/>
      <c r="AC109" s="101"/>
      <c r="AD109" s="101"/>
    </row>
    <row r="110" ht="30.0" customHeight="1">
      <c r="A110" s="141"/>
      <c r="B110" s="101"/>
      <c r="C110" s="101"/>
      <c r="D110" s="101"/>
      <c r="E110" s="101"/>
      <c r="F110" s="101"/>
      <c r="G110" s="101"/>
      <c r="H110" s="101"/>
      <c r="I110" s="101"/>
      <c r="J110" s="142"/>
      <c r="K110" s="101"/>
      <c r="L110" s="101"/>
      <c r="M110" s="101"/>
      <c r="N110" s="101"/>
      <c r="O110" s="101"/>
      <c r="P110" s="101"/>
      <c r="Q110" s="101"/>
      <c r="R110" s="101"/>
      <c r="S110" s="101"/>
      <c r="T110" s="101"/>
      <c r="U110" s="101"/>
      <c r="V110" s="101"/>
      <c r="W110" s="101"/>
      <c r="X110" s="101"/>
      <c r="Y110" s="101"/>
      <c r="Z110" s="101"/>
      <c r="AA110" s="101"/>
      <c r="AB110" s="101"/>
      <c r="AC110" s="101"/>
      <c r="AD110" s="101"/>
    </row>
    <row r="111" ht="30.0" customHeight="1">
      <c r="A111" s="141"/>
      <c r="B111" s="101"/>
      <c r="C111" s="101"/>
      <c r="D111" s="101"/>
      <c r="E111" s="101"/>
      <c r="F111" s="101"/>
      <c r="G111" s="101"/>
      <c r="H111" s="101"/>
      <c r="I111" s="101"/>
      <c r="J111" s="142"/>
      <c r="K111" s="101"/>
      <c r="L111" s="101"/>
      <c r="M111" s="101"/>
      <c r="N111" s="101"/>
      <c r="O111" s="101"/>
      <c r="P111" s="101"/>
      <c r="Q111" s="101"/>
      <c r="R111" s="101"/>
      <c r="S111" s="101"/>
      <c r="T111" s="101"/>
      <c r="U111" s="101"/>
      <c r="V111" s="101"/>
      <c r="W111" s="101"/>
      <c r="X111" s="101"/>
      <c r="Y111" s="101"/>
      <c r="Z111" s="101"/>
      <c r="AA111" s="101"/>
      <c r="AB111" s="101"/>
      <c r="AC111" s="101"/>
      <c r="AD111" s="101"/>
    </row>
    <row r="112" ht="30.0" customHeight="1">
      <c r="A112" s="141"/>
      <c r="B112" s="101"/>
      <c r="C112" s="101"/>
      <c r="D112" s="101"/>
      <c r="E112" s="101"/>
      <c r="F112" s="101"/>
      <c r="G112" s="101"/>
      <c r="H112" s="101"/>
      <c r="I112" s="101"/>
      <c r="J112" s="142"/>
      <c r="K112" s="101"/>
      <c r="L112" s="101"/>
      <c r="M112" s="101"/>
      <c r="N112" s="101"/>
      <c r="O112" s="101"/>
      <c r="P112" s="101"/>
      <c r="Q112" s="101"/>
      <c r="R112" s="101"/>
      <c r="S112" s="101"/>
      <c r="T112" s="101"/>
      <c r="U112" s="101"/>
      <c r="V112" s="101"/>
      <c r="W112" s="101"/>
      <c r="X112" s="101"/>
      <c r="Y112" s="101"/>
      <c r="Z112" s="101"/>
      <c r="AA112" s="101"/>
      <c r="AB112" s="101"/>
      <c r="AC112" s="101"/>
      <c r="AD112" s="101"/>
    </row>
    <row r="113" ht="30.0" customHeight="1">
      <c r="A113" s="141"/>
      <c r="B113" s="101"/>
      <c r="C113" s="101"/>
      <c r="D113" s="101"/>
      <c r="E113" s="101"/>
      <c r="F113" s="101"/>
      <c r="G113" s="101"/>
      <c r="H113" s="101"/>
      <c r="I113" s="101"/>
      <c r="J113" s="142"/>
      <c r="K113" s="101"/>
      <c r="L113" s="101"/>
      <c r="M113" s="101"/>
      <c r="N113" s="101"/>
      <c r="O113" s="101"/>
      <c r="P113" s="101"/>
      <c r="Q113" s="101"/>
      <c r="R113" s="101"/>
      <c r="S113" s="101"/>
      <c r="T113" s="101"/>
      <c r="U113" s="101"/>
      <c r="V113" s="101"/>
      <c r="W113" s="101"/>
      <c r="X113" s="101"/>
      <c r="Y113" s="101"/>
      <c r="Z113" s="101"/>
      <c r="AA113" s="101"/>
      <c r="AB113" s="101"/>
      <c r="AC113" s="101"/>
      <c r="AD113" s="101"/>
    </row>
    <row r="114" ht="30.0" customHeight="1">
      <c r="A114" s="141"/>
      <c r="B114" s="101"/>
      <c r="C114" s="101"/>
      <c r="D114" s="101"/>
      <c r="E114" s="101"/>
      <c r="F114" s="101"/>
      <c r="G114" s="101"/>
      <c r="H114" s="101"/>
      <c r="I114" s="101"/>
      <c r="J114" s="142"/>
      <c r="K114" s="101"/>
      <c r="L114" s="101"/>
      <c r="M114" s="101"/>
      <c r="N114" s="101"/>
      <c r="O114" s="101"/>
      <c r="P114" s="101"/>
      <c r="Q114" s="101"/>
      <c r="R114" s="101"/>
      <c r="S114" s="101"/>
      <c r="T114" s="101"/>
      <c r="U114" s="101"/>
      <c r="V114" s="101"/>
      <c r="W114" s="101"/>
      <c r="X114" s="101"/>
      <c r="Y114" s="101"/>
      <c r="Z114" s="101"/>
      <c r="AA114" s="101"/>
      <c r="AB114" s="101"/>
      <c r="AC114" s="101"/>
      <c r="AD114" s="101"/>
    </row>
    <row r="115" ht="30.0" customHeight="1">
      <c r="A115" s="141"/>
      <c r="B115" s="101"/>
      <c r="C115" s="101"/>
      <c r="D115" s="101"/>
      <c r="E115" s="101"/>
      <c r="F115" s="101"/>
      <c r="G115" s="101"/>
      <c r="H115" s="101"/>
      <c r="I115" s="101"/>
      <c r="J115" s="142"/>
      <c r="K115" s="101"/>
      <c r="L115" s="101"/>
      <c r="M115" s="101"/>
      <c r="N115" s="101"/>
      <c r="O115" s="101"/>
      <c r="P115" s="101"/>
      <c r="Q115" s="101"/>
      <c r="R115" s="101"/>
      <c r="S115" s="101"/>
      <c r="T115" s="101"/>
      <c r="U115" s="101"/>
      <c r="V115" s="101"/>
      <c r="W115" s="101"/>
      <c r="X115" s="101"/>
      <c r="Y115" s="101"/>
      <c r="Z115" s="101"/>
      <c r="AA115" s="101"/>
      <c r="AB115" s="101"/>
      <c r="AC115" s="101"/>
      <c r="AD115" s="101"/>
    </row>
    <row r="116" ht="30.0" customHeight="1">
      <c r="A116" s="141"/>
      <c r="B116" s="101"/>
      <c r="C116" s="101"/>
      <c r="D116" s="101"/>
      <c r="E116" s="101"/>
      <c r="F116" s="101"/>
      <c r="G116" s="101"/>
      <c r="H116" s="101"/>
      <c r="I116" s="101"/>
      <c r="J116" s="142"/>
      <c r="K116" s="101"/>
      <c r="L116" s="101"/>
      <c r="M116" s="101"/>
      <c r="N116" s="101"/>
      <c r="O116" s="101"/>
      <c r="P116" s="101"/>
      <c r="Q116" s="101"/>
      <c r="R116" s="101"/>
      <c r="S116" s="101"/>
      <c r="T116" s="101"/>
      <c r="U116" s="101"/>
      <c r="V116" s="101"/>
      <c r="W116" s="101"/>
      <c r="X116" s="101"/>
      <c r="Y116" s="101"/>
      <c r="Z116" s="101"/>
      <c r="AA116" s="101"/>
      <c r="AB116" s="101"/>
      <c r="AC116" s="101"/>
      <c r="AD116" s="101"/>
    </row>
    <row r="117" ht="30.0" customHeight="1">
      <c r="A117" s="141"/>
      <c r="B117" s="101"/>
      <c r="C117" s="101"/>
      <c r="D117" s="101"/>
      <c r="E117" s="101"/>
      <c r="F117" s="101"/>
      <c r="G117" s="101"/>
      <c r="H117" s="101"/>
      <c r="I117" s="101"/>
      <c r="J117" s="142"/>
      <c r="K117" s="101"/>
      <c r="L117" s="101"/>
      <c r="M117" s="101"/>
      <c r="N117" s="101"/>
      <c r="O117" s="101"/>
      <c r="P117" s="101"/>
      <c r="Q117" s="101"/>
      <c r="R117" s="101"/>
      <c r="S117" s="101"/>
      <c r="T117" s="101"/>
      <c r="U117" s="101"/>
      <c r="V117" s="101"/>
      <c r="W117" s="101"/>
      <c r="X117" s="101"/>
      <c r="Y117" s="101"/>
      <c r="Z117" s="101"/>
      <c r="AA117" s="101"/>
      <c r="AB117" s="101"/>
      <c r="AC117" s="101"/>
      <c r="AD117" s="101"/>
    </row>
    <row r="118" ht="30.0" customHeight="1">
      <c r="A118" s="141"/>
      <c r="B118" s="101"/>
      <c r="C118" s="101"/>
      <c r="D118" s="101"/>
      <c r="E118" s="101"/>
      <c r="F118" s="101"/>
      <c r="G118" s="101"/>
      <c r="H118" s="101"/>
      <c r="I118" s="101"/>
      <c r="J118" s="142"/>
      <c r="K118" s="101"/>
      <c r="L118" s="101"/>
      <c r="M118" s="101"/>
      <c r="N118" s="101"/>
      <c r="O118" s="101"/>
      <c r="P118" s="101"/>
      <c r="Q118" s="101"/>
      <c r="R118" s="101"/>
      <c r="S118" s="101"/>
      <c r="T118" s="101"/>
      <c r="U118" s="101"/>
      <c r="V118" s="101"/>
      <c r="W118" s="101"/>
      <c r="X118" s="101"/>
      <c r="Y118" s="101"/>
      <c r="Z118" s="101"/>
      <c r="AA118" s="101"/>
      <c r="AB118" s="101"/>
      <c r="AC118" s="101"/>
      <c r="AD118" s="101"/>
    </row>
    <row r="119" ht="30.0" customHeight="1">
      <c r="A119" s="141"/>
      <c r="B119" s="101"/>
      <c r="C119" s="101"/>
      <c r="D119" s="101"/>
      <c r="E119" s="101"/>
      <c r="F119" s="101"/>
      <c r="G119" s="101"/>
      <c r="H119" s="101"/>
      <c r="I119" s="101"/>
      <c r="J119" s="142"/>
      <c r="K119" s="101"/>
      <c r="L119" s="101"/>
      <c r="M119" s="101"/>
      <c r="N119" s="101"/>
      <c r="O119" s="101"/>
      <c r="P119" s="101"/>
      <c r="Q119" s="101"/>
      <c r="R119" s="101"/>
      <c r="S119" s="101"/>
      <c r="T119" s="101"/>
      <c r="U119" s="101"/>
      <c r="V119" s="101"/>
      <c r="W119" s="101"/>
      <c r="X119" s="101"/>
      <c r="Y119" s="101"/>
      <c r="Z119" s="101"/>
      <c r="AA119" s="101"/>
      <c r="AB119" s="101"/>
      <c r="AC119" s="101"/>
      <c r="AD119" s="101"/>
    </row>
    <row r="120" ht="30.0" customHeight="1">
      <c r="A120" s="141"/>
      <c r="B120" s="101"/>
      <c r="C120" s="101"/>
      <c r="D120" s="101"/>
      <c r="E120" s="101"/>
      <c r="F120" s="101"/>
      <c r="G120" s="101"/>
      <c r="H120" s="101"/>
      <c r="I120" s="101"/>
      <c r="J120" s="142"/>
      <c r="K120" s="101"/>
      <c r="L120" s="101"/>
      <c r="M120" s="101"/>
      <c r="N120" s="101"/>
      <c r="O120" s="101"/>
      <c r="P120" s="101"/>
      <c r="Q120" s="101"/>
      <c r="R120" s="101"/>
      <c r="S120" s="101"/>
      <c r="T120" s="101"/>
      <c r="U120" s="101"/>
      <c r="V120" s="101"/>
      <c r="W120" s="101"/>
      <c r="X120" s="101"/>
      <c r="Y120" s="101"/>
      <c r="Z120" s="101"/>
      <c r="AA120" s="101"/>
      <c r="AB120" s="101"/>
      <c r="AC120" s="101"/>
      <c r="AD120" s="101"/>
    </row>
    <row r="121" ht="30.0" customHeight="1">
      <c r="A121" s="141"/>
      <c r="B121" s="101"/>
      <c r="C121" s="101"/>
      <c r="D121" s="101"/>
      <c r="E121" s="101"/>
      <c r="F121" s="101"/>
      <c r="G121" s="101"/>
      <c r="H121" s="101"/>
      <c r="I121" s="101"/>
      <c r="J121" s="142"/>
      <c r="K121" s="101"/>
      <c r="L121" s="101"/>
      <c r="M121" s="101"/>
      <c r="N121" s="101"/>
      <c r="O121" s="101"/>
      <c r="P121" s="101"/>
      <c r="Q121" s="101"/>
      <c r="R121" s="101"/>
      <c r="S121" s="101"/>
      <c r="T121" s="101"/>
      <c r="U121" s="101"/>
      <c r="V121" s="101"/>
      <c r="W121" s="101"/>
      <c r="X121" s="101"/>
      <c r="Y121" s="101"/>
      <c r="Z121" s="101"/>
      <c r="AA121" s="101"/>
      <c r="AB121" s="101"/>
      <c r="AC121" s="101"/>
      <c r="AD121" s="101"/>
    </row>
    <row r="122" ht="30.0" customHeight="1">
      <c r="A122" s="141"/>
      <c r="B122" s="101"/>
      <c r="C122" s="101"/>
      <c r="D122" s="101"/>
      <c r="E122" s="101"/>
      <c r="F122" s="101"/>
      <c r="G122" s="101"/>
      <c r="H122" s="101"/>
      <c r="I122" s="101"/>
      <c r="J122" s="142"/>
      <c r="K122" s="101"/>
      <c r="L122" s="101"/>
      <c r="M122" s="101"/>
      <c r="N122" s="101"/>
      <c r="O122" s="101"/>
      <c r="P122" s="101"/>
      <c r="Q122" s="101"/>
      <c r="R122" s="101"/>
      <c r="S122" s="101"/>
      <c r="T122" s="101"/>
      <c r="U122" s="101"/>
      <c r="V122" s="101"/>
      <c r="W122" s="101"/>
      <c r="X122" s="101"/>
      <c r="Y122" s="101"/>
      <c r="Z122" s="101"/>
      <c r="AA122" s="101"/>
      <c r="AB122" s="101"/>
      <c r="AC122" s="101"/>
      <c r="AD122" s="101"/>
    </row>
    <row r="123" ht="30.0" customHeight="1">
      <c r="A123" s="141"/>
      <c r="B123" s="101"/>
      <c r="C123" s="101"/>
      <c r="D123" s="101"/>
      <c r="E123" s="101"/>
      <c r="F123" s="101"/>
      <c r="G123" s="101"/>
      <c r="H123" s="101"/>
      <c r="I123" s="101"/>
      <c r="J123" s="142"/>
      <c r="K123" s="101"/>
      <c r="L123" s="101"/>
      <c r="M123" s="101"/>
      <c r="N123" s="101"/>
      <c r="O123" s="101"/>
      <c r="P123" s="101"/>
      <c r="Q123" s="101"/>
      <c r="R123" s="101"/>
      <c r="S123" s="101"/>
      <c r="T123" s="101"/>
      <c r="U123" s="101"/>
      <c r="V123" s="101"/>
      <c r="W123" s="101"/>
      <c r="X123" s="101"/>
      <c r="Y123" s="101"/>
      <c r="Z123" s="101"/>
      <c r="AA123" s="101"/>
      <c r="AB123" s="101"/>
      <c r="AC123" s="101"/>
      <c r="AD123" s="101"/>
    </row>
    <row r="124" ht="30.0" customHeight="1">
      <c r="A124" s="141"/>
      <c r="B124" s="101"/>
      <c r="C124" s="101"/>
      <c r="D124" s="101"/>
      <c r="E124" s="101"/>
      <c r="F124" s="101"/>
      <c r="G124" s="101"/>
      <c r="H124" s="101"/>
      <c r="I124" s="101"/>
      <c r="J124" s="142"/>
      <c r="K124" s="101"/>
      <c r="L124" s="101"/>
      <c r="M124" s="101"/>
      <c r="N124" s="101"/>
      <c r="O124" s="101"/>
      <c r="P124" s="101"/>
      <c r="Q124" s="101"/>
      <c r="R124" s="101"/>
      <c r="S124" s="101"/>
      <c r="T124" s="101"/>
      <c r="U124" s="101"/>
      <c r="V124" s="101"/>
      <c r="W124" s="101"/>
      <c r="X124" s="101"/>
      <c r="Y124" s="101"/>
      <c r="Z124" s="101"/>
      <c r="AA124" s="101"/>
      <c r="AB124" s="101"/>
      <c r="AC124" s="101"/>
      <c r="AD124" s="101"/>
    </row>
    <row r="125" ht="30.0" customHeight="1">
      <c r="A125" s="141"/>
      <c r="B125" s="101"/>
      <c r="C125" s="101"/>
      <c r="D125" s="101"/>
      <c r="E125" s="101"/>
      <c r="F125" s="101"/>
      <c r="G125" s="101"/>
      <c r="H125" s="101"/>
      <c r="I125" s="101"/>
      <c r="J125" s="142"/>
      <c r="K125" s="101"/>
      <c r="L125" s="101"/>
      <c r="M125" s="101"/>
      <c r="N125" s="101"/>
      <c r="O125" s="101"/>
      <c r="P125" s="101"/>
      <c r="Q125" s="101"/>
      <c r="R125" s="101"/>
      <c r="S125" s="101"/>
      <c r="T125" s="101"/>
      <c r="U125" s="101"/>
      <c r="V125" s="101"/>
      <c r="W125" s="101"/>
      <c r="X125" s="101"/>
      <c r="Y125" s="101"/>
      <c r="Z125" s="101"/>
      <c r="AA125" s="101"/>
      <c r="AB125" s="101"/>
      <c r="AC125" s="101"/>
      <c r="AD125" s="101"/>
    </row>
    <row r="126" ht="30.0" customHeight="1">
      <c r="A126" s="141"/>
      <c r="B126" s="101"/>
      <c r="C126" s="101"/>
      <c r="D126" s="101"/>
      <c r="E126" s="101"/>
      <c r="F126" s="101"/>
      <c r="G126" s="101"/>
      <c r="H126" s="101"/>
      <c r="I126" s="101"/>
      <c r="J126" s="142"/>
      <c r="K126" s="101"/>
      <c r="L126" s="101"/>
      <c r="M126" s="101"/>
      <c r="N126" s="101"/>
      <c r="O126" s="101"/>
      <c r="P126" s="101"/>
      <c r="Q126" s="101"/>
      <c r="R126" s="101"/>
      <c r="S126" s="101"/>
      <c r="T126" s="101"/>
      <c r="U126" s="101"/>
      <c r="V126" s="101"/>
      <c r="W126" s="101"/>
      <c r="X126" s="101"/>
      <c r="Y126" s="101"/>
      <c r="Z126" s="101"/>
      <c r="AA126" s="101"/>
      <c r="AB126" s="101"/>
      <c r="AC126" s="101"/>
      <c r="AD126" s="101"/>
    </row>
    <row r="127" ht="30.0" customHeight="1">
      <c r="A127" s="141"/>
      <c r="B127" s="101"/>
      <c r="C127" s="101"/>
      <c r="D127" s="101"/>
      <c r="E127" s="101"/>
      <c r="F127" s="101"/>
      <c r="G127" s="101"/>
      <c r="H127" s="101"/>
      <c r="I127" s="101"/>
      <c r="J127" s="142"/>
      <c r="K127" s="101"/>
      <c r="L127" s="101"/>
      <c r="M127" s="101"/>
      <c r="N127" s="101"/>
      <c r="O127" s="101"/>
      <c r="P127" s="101"/>
      <c r="Q127" s="101"/>
      <c r="R127" s="101"/>
      <c r="S127" s="101"/>
      <c r="T127" s="101"/>
      <c r="U127" s="101"/>
      <c r="V127" s="101"/>
      <c r="W127" s="101"/>
      <c r="X127" s="101"/>
      <c r="Y127" s="101"/>
      <c r="Z127" s="101"/>
      <c r="AA127" s="101"/>
      <c r="AB127" s="101"/>
      <c r="AC127" s="101"/>
      <c r="AD127" s="101"/>
    </row>
    <row r="128" ht="30.0" customHeight="1">
      <c r="A128" s="141"/>
      <c r="B128" s="101"/>
      <c r="C128" s="101"/>
      <c r="D128" s="101"/>
      <c r="E128" s="101"/>
      <c r="F128" s="101"/>
      <c r="G128" s="101"/>
      <c r="H128" s="101"/>
      <c r="I128" s="101"/>
      <c r="J128" s="142"/>
      <c r="K128" s="101"/>
      <c r="L128" s="101"/>
      <c r="M128" s="101"/>
      <c r="N128" s="101"/>
      <c r="O128" s="101"/>
      <c r="P128" s="101"/>
      <c r="Q128" s="101"/>
      <c r="R128" s="101"/>
      <c r="S128" s="101"/>
      <c r="T128" s="101"/>
      <c r="U128" s="101"/>
      <c r="V128" s="101"/>
      <c r="W128" s="101"/>
      <c r="X128" s="101"/>
      <c r="Y128" s="101"/>
      <c r="Z128" s="101"/>
      <c r="AA128" s="101"/>
      <c r="AB128" s="101"/>
      <c r="AC128" s="101"/>
      <c r="AD128" s="101"/>
    </row>
    <row r="129" ht="30.0" customHeight="1">
      <c r="A129" s="141"/>
      <c r="B129" s="101"/>
      <c r="C129" s="101"/>
      <c r="D129" s="101"/>
      <c r="E129" s="101"/>
      <c r="F129" s="101"/>
      <c r="G129" s="101"/>
      <c r="H129" s="101"/>
      <c r="I129" s="101"/>
      <c r="J129" s="142"/>
      <c r="K129" s="101"/>
      <c r="L129" s="101"/>
      <c r="M129" s="101"/>
      <c r="N129" s="101"/>
      <c r="O129" s="101"/>
      <c r="P129" s="101"/>
      <c r="Q129" s="101"/>
      <c r="R129" s="101"/>
      <c r="S129" s="101"/>
      <c r="T129" s="101"/>
      <c r="U129" s="101"/>
      <c r="V129" s="101"/>
      <c r="W129" s="101"/>
      <c r="X129" s="101"/>
      <c r="Y129" s="101"/>
      <c r="Z129" s="101"/>
      <c r="AA129" s="101"/>
      <c r="AB129" s="101"/>
      <c r="AC129" s="101"/>
      <c r="AD129" s="101"/>
    </row>
    <row r="130" ht="30.0" customHeight="1">
      <c r="A130" s="141"/>
      <c r="B130" s="101"/>
      <c r="C130" s="101"/>
      <c r="D130" s="101"/>
      <c r="E130" s="101"/>
      <c r="F130" s="101"/>
      <c r="G130" s="101"/>
      <c r="H130" s="101"/>
      <c r="I130" s="101"/>
      <c r="J130" s="142"/>
      <c r="K130" s="101"/>
      <c r="L130" s="101"/>
      <c r="M130" s="101"/>
      <c r="N130" s="101"/>
      <c r="O130" s="101"/>
      <c r="P130" s="101"/>
      <c r="Q130" s="101"/>
      <c r="R130" s="101"/>
      <c r="S130" s="101"/>
      <c r="T130" s="101"/>
      <c r="U130" s="101"/>
      <c r="V130" s="101"/>
      <c r="W130" s="101"/>
      <c r="X130" s="101"/>
      <c r="Y130" s="101"/>
      <c r="Z130" s="101"/>
      <c r="AA130" s="101"/>
      <c r="AB130" s="101"/>
      <c r="AC130" s="101"/>
      <c r="AD130" s="101"/>
    </row>
    <row r="131" ht="30.0" customHeight="1">
      <c r="A131" s="141"/>
      <c r="B131" s="101"/>
      <c r="C131" s="101"/>
      <c r="D131" s="101"/>
      <c r="E131" s="101"/>
      <c r="F131" s="101"/>
      <c r="G131" s="101"/>
      <c r="H131" s="101"/>
      <c r="I131" s="101"/>
      <c r="J131" s="142"/>
      <c r="K131" s="101"/>
      <c r="L131" s="101"/>
      <c r="M131" s="101"/>
      <c r="N131" s="101"/>
      <c r="O131" s="101"/>
      <c r="P131" s="101"/>
      <c r="Q131" s="101"/>
      <c r="R131" s="101"/>
      <c r="S131" s="101"/>
      <c r="T131" s="101"/>
      <c r="U131" s="101"/>
      <c r="V131" s="101"/>
      <c r="W131" s="101"/>
      <c r="X131" s="101"/>
      <c r="Y131" s="101"/>
      <c r="Z131" s="101"/>
      <c r="AA131" s="101"/>
      <c r="AB131" s="101"/>
      <c r="AC131" s="101"/>
      <c r="AD131" s="101"/>
    </row>
    <row r="132" ht="30.0" customHeight="1">
      <c r="A132" s="141"/>
      <c r="B132" s="101"/>
      <c r="C132" s="101"/>
      <c r="D132" s="101"/>
      <c r="E132" s="101"/>
      <c r="F132" s="101"/>
      <c r="G132" s="101"/>
      <c r="H132" s="101"/>
      <c r="I132" s="101"/>
      <c r="J132" s="142"/>
      <c r="K132" s="101"/>
      <c r="L132" s="101"/>
      <c r="M132" s="101"/>
      <c r="N132" s="101"/>
      <c r="O132" s="101"/>
      <c r="P132" s="101"/>
      <c r="Q132" s="101"/>
      <c r="R132" s="101"/>
      <c r="S132" s="101"/>
      <c r="T132" s="101"/>
      <c r="U132" s="101"/>
      <c r="V132" s="101"/>
      <c r="W132" s="101"/>
      <c r="X132" s="101"/>
      <c r="Y132" s="101"/>
      <c r="Z132" s="101"/>
      <c r="AA132" s="101"/>
      <c r="AB132" s="101"/>
      <c r="AC132" s="101"/>
      <c r="AD132" s="101"/>
    </row>
    <row r="133" ht="30.0" customHeight="1">
      <c r="A133" s="141"/>
      <c r="B133" s="101"/>
      <c r="C133" s="101"/>
      <c r="D133" s="101"/>
      <c r="E133" s="101"/>
      <c r="F133" s="101"/>
      <c r="G133" s="101"/>
      <c r="H133" s="101"/>
      <c r="I133" s="101"/>
      <c r="J133" s="142"/>
      <c r="K133" s="101"/>
      <c r="L133" s="101"/>
      <c r="M133" s="101"/>
      <c r="N133" s="101"/>
      <c r="O133" s="101"/>
      <c r="P133" s="101"/>
      <c r="Q133" s="101"/>
      <c r="R133" s="101"/>
      <c r="S133" s="101"/>
      <c r="T133" s="101"/>
      <c r="U133" s="101"/>
      <c r="V133" s="101"/>
      <c r="W133" s="101"/>
      <c r="X133" s="101"/>
      <c r="Y133" s="101"/>
      <c r="Z133" s="101"/>
      <c r="AA133" s="101"/>
      <c r="AB133" s="101"/>
      <c r="AC133" s="101"/>
      <c r="AD133" s="101"/>
    </row>
    <row r="134" ht="30.0" customHeight="1">
      <c r="A134" s="141"/>
      <c r="B134" s="101"/>
      <c r="C134" s="101"/>
      <c r="D134" s="101"/>
      <c r="E134" s="101"/>
      <c r="F134" s="101"/>
      <c r="G134" s="101"/>
      <c r="H134" s="101"/>
      <c r="I134" s="101"/>
      <c r="J134" s="142"/>
      <c r="K134" s="101"/>
      <c r="L134" s="101"/>
      <c r="M134" s="101"/>
      <c r="N134" s="101"/>
      <c r="O134" s="101"/>
      <c r="P134" s="101"/>
      <c r="Q134" s="101"/>
      <c r="R134" s="101"/>
      <c r="S134" s="101"/>
      <c r="T134" s="101"/>
      <c r="U134" s="101"/>
      <c r="V134" s="101"/>
      <c r="W134" s="101"/>
      <c r="X134" s="101"/>
      <c r="Y134" s="101"/>
      <c r="Z134" s="101"/>
      <c r="AA134" s="101"/>
      <c r="AB134" s="101"/>
      <c r="AC134" s="101"/>
      <c r="AD134" s="101"/>
    </row>
    <row r="135" ht="30.0" customHeight="1">
      <c r="A135" s="141"/>
      <c r="B135" s="101"/>
      <c r="C135" s="101"/>
      <c r="D135" s="101"/>
      <c r="E135" s="101"/>
      <c r="F135" s="101"/>
      <c r="G135" s="101"/>
      <c r="H135" s="101"/>
      <c r="I135" s="101"/>
      <c r="J135" s="142"/>
      <c r="K135" s="101"/>
      <c r="L135" s="101"/>
      <c r="M135" s="101"/>
      <c r="N135" s="101"/>
      <c r="O135" s="101"/>
      <c r="P135" s="101"/>
      <c r="Q135" s="101"/>
      <c r="R135" s="101"/>
      <c r="S135" s="101"/>
      <c r="T135" s="101"/>
      <c r="U135" s="101"/>
      <c r="V135" s="101"/>
      <c r="W135" s="101"/>
      <c r="X135" s="101"/>
      <c r="Y135" s="101"/>
      <c r="Z135" s="101"/>
      <c r="AA135" s="101"/>
      <c r="AB135" s="101"/>
      <c r="AC135" s="101"/>
      <c r="AD135" s="101"/>
    </row>
    <row r="136" ht="30.0" customHeight="1">
      <c r="A136" s="141"/>
      <c r="B136" s="101"/>
      <c r="C136" s="101"/>
      <c r="D136" s="101"/>
      <c r="E136" s="101"/>
      <c r="F136" s="101"/>
      <c r="G136" s="101"/>
      <c r="H136" s="101"/>
      <c r="I136" s="101"/>
      <c r="J136" s="142"/>
      <c r="K136" s="101"/>
      <c r="L136" s="101"/>
      <c r="M136" s="101"/>
      <c r="N136" s="101"/>
      <c r="O136" s="101"/>
      <c r="P136" s="101"/>
      <c r="Q136" s="101"/>
      <c r="R136" s="101"/>
      <c r="S136" s="101"/>
      <c r="T136" s="101"/>
      <c r="U136" s="101"/>
      <c r="V136" s="101"/>
      <c r="W136" s="101"/>
      <c r="X136" s="101"/>
      <c r="Y136" s="101"/>
      <c r="Z136" s="101"/>
      <c r="AA136" s="101"/>
      <c r="AB136" s="101"/>
      <c r="AC136" s="101"/>
      <c r="AD136" s="101"/>
    </row>
    <row r="137" ht="30.0" customHeight="1">
      <c r="A137" s="141"/>
      <c r="B137" s="101"/>
      <c r="C137" s="101"/>
      <c r="D137" s="101"/>
      <c r="E137" s="101"/>
      <c r="F137" s="101"/>
      <c r="G137" s="101"/>
      <c r="H137" s="101"/>
      <c r="I137" s="101"/>
      <c r="J137" s="142"/>
      <c r="K137" s="101"/>
      <c r="L137" s="101"/>
      <c r="M137" s="101"/>
      <c r="N137" s="101"/>
      <c r="O137" s="101"/>
      <c r="P137" s="101"/>
      <c r="Q137" s="101"/>
      <c r="R137" s="101"/>
      <c r="S137" s="101"/>
      <c r="T137" s="101"/>
      <c r="U137" s="101"/>
      <c r="V137" s="101"/>
      <c r="W137" s="101"/>
      <c r="X137" s="101"/>
      <c r="Y137" s="101"/>
      <c r="Z137" s="101"/>
      <c r="AA137" s="101"/>
      <c r="AB137" s="101"/>
      <c r="AC137" s="101"/>
      <c r="AD137" s="101"/>
    </row>
    <row r="138" ht="30.0" customHeight="1">
      <c r="A138" s="141"/>
      <c r="B138" s="101"/>
      <c r="C138" s="101"/>
      <c r="D138" s="101"/>
      <c r="E138" s="101"/>
      <c r="F138" s="101"/>
      <c r="G138" s="101"/>
      <c r="H138" s="101"/>
      <c r="I138" s="101"/>
      <c r="J138" s="142"/>
      <c r="K138" s="101"/>
      <c r="L138" s="101"/>
      <c r="M138" s="101"/>
      <c r="N138" s="101"/>
      <c r="O138" s="101"/>
      <c r="P138" s="101"/>
      <c r="Q138" s="101"/>
      <c r="R138" s="101"/>
      <c r="S138" s="101"/>
      <c r="T138" s="101"/>
      <c r="U138" s="101"/>
      <c r="V138" s="101"/>
      <c r="W138" s="101"/>
      <c r="X138" s="101"/>
      <c r="Y138" s="101"/>
      <c r="Z138" s="101"/>
      <c r="AA138" s="101"/>
      <c r="AB138" s="101"/>
      <c r="AC138" s="101"/>
      <c r="AD138" s="101"/>
    </row>
    <row r="139" ht="30.0" customHeight="1">
      <c r="A139" s="141"/>
      <c r="B139" s="101"/>
      <c r="C139" s="101"/>
      <c r="D139" s="101"/>
      <c r="E139" s="101"/>
      <c r="F139" s="101"/>
      <c r="G139" s="101"/>
      <c r="H139" s="101"/>
      <c r="I139" s="101"/>
      <c r="J139" s="142"/>
      <c r="K139" s="101"/>
      <c r="L139" s="101"/>
      <c r="M139" s="101"/>
      <c r="N139" s="101"/>
      <c r="O139" s="101"/>
      <c r="P139" s="101"/>
      <c r="Q139" s="101"/>
      <c r="R139" s="101"/>
      <c r="S139" s="101"/>
      <c r="T139" s="101"/>
      <c r="U139" s="101"/>
      <c r="V139" s="101"/>
      <c r="W139" s="101"/>
      <c r="X139" s="101"/>
      <c r="Y139" s="101"/>
      <c r="Z139" s="101"/>
      <c r="AA139" s="101"/>
      <c r="AB139" s="101"/>
      <c r="AC139" s="101"/>
      <c r="AD139" s="101"/>
    </row>
    <row r="140" ht="30.0" customHeight="1">
      <c r="A140" s="141"/>
      <c r="B140" s="101"/>
      <c r="C140" s="101"/>
      <c r="D140" s="101"/>
      <c r="E140" s="101"/>
      <c r="F140" s="101"/>
      <c r="G140" s="101"/>
      <c r="H140" s="101"/>
      <c r="I140" s="101"/>
      <c r="J140" s="142"/>
      <c r="K140" s="101"/>
      <c r="L140" s="101"/>
      <c r="M140" s="101"/>
      <c r="N140" s="101"/>
      <c r="O140" s="101"/>
      <c r="P140" s="101"/>
      <c r="Q140" s="101"/>
      <c r="R140" s="101"/>
      <c r="S140" s="101"/>
      <c r="T140" s="101"/>
      <c r="U140" s="101"/>
      <c r="V140" s="101"/>
      <c r="W140" s="101"/>
      <c r="X140" s="101"/>
      <c r="Y140" s="101"/>
      <c r="Z140" s="101"/>
      <c r="AA140" s="101"/>
      <c r="AB140" s="101"/>
      <c r="AC140" s="101"/>
      <c r="AD140" s="101"/>
    </row>
    <row r="141" ht="30.0" customHeight="1">
      <c r="A141" s="141"/>
      <c r="B141" s="101"/>
      <c r="C141" s="101"/>
      <c r="D141" s="101"/>
      <c r="E141" s="101"/>
      <c r="F141" s="101"/>
      <c r="G141" s="101"/>
      <c r="H141" s="101"/>
      <c r="I141" s="101"/>
      <c r="J141" s="142"/>
      <c r="K141" s="101"/>
      <c r="L141" s="101"/>
      <c r="M141" s="101"/>
      <c r="N141" s="101"/>
      <c r="O141" s="101"/>
      <c r="P141" s="101"/>
      <c r="Q141" s="101"/>
      <c r="R141" s="101"/>
      <c r="S141" s="101"/>
      <c r="T141" s="101"/>
      <c r="U141" s="101"/>
      <c r="V141" s="101"/>
      <c r="W141" s="101"/>
      <c r="X141" s="101"/>
      <c r="Y141" s="101"/>
      <c r="Z141" s="101"/>
      <c r="AA141" s="101"/>
      <c r="AB141" s="101"/>
      <c r="AC141" s="101"/>
      <c r="AD141" s="101"/>
    </row>
    <row r="142" ht="30.0" customHeight="1">
      <c r="A142" s="141"/>
      <c r="B142" s="101"/>
      <c r="C142" s="101"/>
      <c r="D142" s="101"/>
      <c r="E142" s="101"/>
      <c r="F142" s="101"/>
      <c r="G142" s="101"/>
      <c r="H142" s="101"/>
      <c r="I142" s="101"/>
      <c r="J142" s="142"/>
      <c r="K142" s="101"/>
      <c r="L142" s="101"/>
      <c r="M142" s="101"/>
      <c r="N142" s="101"/>
      <c r="O142" s="101"/>
      <c r="P142" s="101"/>
      <c r="Q142" s="101"/>
      <c r="R142" s="101"/>
      <c r="S142" s="101"/>
      <c r="T142" s="101"/>
      <c r="U142" s="101"/>
      <c r="V142" s="101"/>
      <c r="W142" s="101"/>
      <c r="X142" s="101"/>
      <c r="Y142" s="101"/>
      <c r="Z142" s="101"/>
      <c r="AA142" s="101"/>
      <c r="AB142" s="101"/>
      <c r="AC142" s="101"/>
      <c r="AD142" s="101"/>
    </row>
    <row r="143" ht="30.0" customHeight="1">
      <c r="A143" s="141"/>
      <c r="B143" s="101"/>
      <c r="C143" s="101"/>
      <c r="D143" s="101"/>
      <c r="E143" s="101"/>
      <c r="F143" s="101"/>
      <c r="G143" s="101"/>
      <c r="H143" s="101"/>
      <c r="I143" s="101"/>
      <c r="J143" s="142"/>
      <c r="K143" s="101"/>
      <c r="L143" s="101"/>
      <c r="M143" s="101"/>
      <c r="N143" s="101"/>
      <c r="O143" s="101"/>
      <c r="P143" s="101"/>
      <c r="Q143" s="101"/>
      <c r="R143" s="101"/>
      <c r="S143" s="101"/>
      <c r="T143" s="101"/>
      <c r="U143" s="101"/>
      <c r="V143" s="101"/>
      <c r="W143" s="101"/>
      <c r="X143" s="101"/>
      <c r="Y143" s="101"/>
      <c r="Z143" s="101"/>
      <c r="AA143" s="101"/>
      <c r="AB143" s="101"/>
      <c r="AC143" s="101"/>
      <c r="AD143" s="101"/>
    </row>
    <row r="144" ht="30.0" customHeight="1">
      <c r="A144" s="141"/>
      <c r="B144" s="101"/>
      <c r="C144" s="101"/>
      <c r="D144" s="101"/>
      <c r="E144" s="101"/>
      <c r="F144" s="101"/>
      <c r="G144" s="101"/>
      <c r="H144" s="101"/>
      <c r="I144" s="101"/>
      <c r="J144" s="142"/>
      <c r="K144" s="101"/>
      <c r="L144" s="101"/>
      <c r="M144" s="101"/>
      <c r="N144" s="101"/>
      <c r="O144" s="101"/>
      <c r="P144" s="101"/>
      <c r="Q144" s="101"/>
      <c r="R144" s="101"/>
      <c r="S144" s="101"/>
      <c r="T144" s="101"/>
      <c r="U144" s="101"/>
      <c r="V144" s="101"/>
      <c r="W144" s="101"/>
      <c r="X144" s="101"/>
      <c r="Y144" s="101"/>
      <c r="Z144" s="101"/>
      <c r="AA144" s="101"/>
      <c r="AB144" s="101"/>
      <c r="AC144" s="101"/>
      <c r="AD144" s="101"/>
    </row>
    <row r="145" ht="30.0" customHeight="1">
      <c r="A145" s="141"/>
      <c r="B145" s="101"/>
      <c r="C145" s="101"/>
      <c r="D145" s="101"/>
      <c r="E145" s="101"/>
      <c r="F145" s="101"/>
      <c r="G145" s="101"/>
      <c r="H145" s="101"/>
      <c r="I145" s="101"/>
      <c r="J145" s="142"/>
      <c r="K145" s="101"/>
      <c r="L145" s="101"/>
      <c r="M145" s="101"/>
      <c r="N145" s="101"/>
      <c r="O145" s="101"/>
      <c r="P145" s="101"/>
      <c r="Q145" s="101"/>
      <c r="R145" s="101"/>
      <c r="S145" s="101"/>
      <c r="T145" s="101"/>
      <c r="U145" s="101"/>
      <c r="V145" s="101"/>
      <c r="W145" s="101"/>
      <c r="X145" s="101"/>
      <c r="Y145" s="101"/>
      <c r="Z145" s="101"/>
      <c r="AA145" s="101"/>
      <c r="AB145" s="101"/>
      <c r="AC145" s="101"/>
      <c r="AD145" s="101"/>
    </row>
    <row r="146" ht="30.0" customHeight="1">
      <c r="A146" s="141"/>
      <c r="B146" s="101"/>
      <c r="C146" s="101"/>
      <c r="D146" s="101"/>
      <c r="E146" s="101"/>
      <c r="F146" s="101"/>
      <c r="G146" s="101"/>
      <c r="H146" s="101"/>
      <c r="I146" s="101"/>
      <c r="J146" s="142"/>
      <c r="K146" s="101"/>
      <c r="L146" s="101"/>
      <c r="M146" s="101"/>
      <c r="N146" s="101"/>
      <c r="O146" s="101"/>
      <c r="P146" s="101"/>
      <c r="Q146" s="101"/>
      <c r="R146" s="101"/>
      <c r="S146" s="101"/>
      <c r="T146" s="101"/>
      <c r="U146" s="101"/>
      <c r="V146" s="101"/>
      <c r="W146" s="101"/>
      <c r="X146" s="101"/>
      <c r="Y146" s="101"/>
      <c r="Z146" s="101"/>
      <c r="AA146" s="101"/>
      <c r="AB146" s="101"/>
      <c r="AC146" s="101"/>
      <c r="AD146" s="101"/>
    </row>
    <row r="147" ht="30.0" customHeight="1">
      <c r="A147" s="141"/>
      <c r="B147" s="101"/>
      <c r="C147" s="101"/>
      <c r="D147" s="101"/>
      <c r="E147" s="101"/>
      <c r="F147" s="101"/>
      <c r="G147" s="101"/>
      <c r="H147" s="101"/>
      <c r="I147" s="101"/>
      <c r="J147" s="142"/>
      <c r="K147" s="101"/>
      <c r="L147" s="101"/>
      <c r="M147" s="101"/>
      <c r="N147" s="101"/>
      <c r="O147" s="101"/>
      <c r="P147" s="101"/>
      <c r="Q147" s="101"/>
      <c r="R147" s="101"/>
      <c r="S147" s="101"/>
      <c r="T147" s="101"/>
      <c r="U147" s="101"/>
      <c r="V147" s="101"/>
      <c r="W147" s="101"/>
      <c r="X147" s="101"/>
      <c r="Y147" s="101"/>
      <c r="Z147" s="101"/>
      <c r="AA147" s="101"/>
      <c r="AB147" s="101"/>
      <c r="AC147" s="101"/>
      <c r="AD147" s="101"/>
    </row>
    <row r="148" ht="30.0" customHeight="1">
      <c r="A148" s="141"/>
      <c r="B148" s="101"/>
      <c r="C148" s="101"/>
      <c r="D148" s="101"/>
      <c r="E148" s="101"/>
      <c r="F148" s="101"/>
      <c r="G148" s="101"/>
      <c r="H148" s="101"/>
      <c r="I148" s="101"/>
      <c r="J148" s="142"/>
      <c r="K148" s="101"/>
      <c r="L148" s="101"/>
      <c r="M148" s="101"/>
      <c r="N148" s="101"/>
      <c r="O148" s="101"/>
      <c r="P148" s="101"/>
      <c r="Q148" s="101"/>
      <c r="R148" s="101"/>
      <c r="S148" s="101"/>
      <c r="T148" s="101"/>
      <c r="U148" s="101"/>
      <c r="V148" s="101"/>
      <c r="W148" s="101"/>
      <c r="X148" s="101"/>
      <c r="Y148" s="101"/>
      <c r="Z148" s="101"/>
      <c r="AA148" s="101"/>
      <c r="AB148" s="101"/>
      <c r="AC148" s="101"/>
      <c r="AD148" s="101"/>
    </row>
    <row r="149" ht="30.0" customHeight="1">
      <c r="A149" s="141"/>
      <c r="B149" s="101"/>
      <c r="C149" s="101"/>
      <c r="D149" s="101"/>
      <c r="E149" s="101"/>
      <c r="F149" s="101"/>
      <c r="G149" s="101"/>
      <c r="H149" s="101"/>
      <c r="I149" s="101"/>
      <c r="J149" s="142"/>
      <c r="K149" s="101"/>
      <c r="L149" s="101"/>
      <c r="M149" s="101"/>
      <c r="N149" s="101"/>
      <c r="O149" s="101"/>
      <c r="P149" s="101"/>
      <c r="Q149" s="101"/>
      <c r="R149" s="101"/>
      <c r="S149" s="101"/>
      <c r="T149" s="101"/>
      <c r="U149" s="101"/>
      <c r="V149" s="101"/>
      <c r="W149" s="101"/>
      <c r="X149" s="101"/>
      <c r="Y149" s="101"/>
      <c r="Z149" s="101"/>
      <c r="AA149" s="101"/>
      <c r="AB149" s="101"/>
      <c r="AC149" s="101"/>
      <c r="AD149" s="101"/>
    </row>
    <row r="150" ht="30.0" customHeight="1">
      <c r="A150" s="141"/>
      <c r="B150" s="101"/>
      <c r="C150" s="101"/>
      <c r="D150" s="101"/>
      <c r="E150" s="101"/>
      <c r="F150" s="101"/>
      <c r="G150" s="101"/>
      <c r="H150" s="101"/>
      <c r="I150" s="101"/>
      <c r="J150" s="142"/>
      <c r="K150" s="101"/>
      <c r="L150" s="101"/>
      <c r="M150" s="101"/>
      <c r="N150" s="101"/>
      <c r="O150" s="101"/>
      <c r="P150" s="101"/>
      <c r="Q150" s="101"/>
      <c r="R150" s="101"/>
      <c r="S150" s="101"/>
      <c r="T150" s="101"/>
      <c r="U150" s="101"/>
      <c r="V150" s="101"/>
      <c r="W150" s="101"/>
      <c r="X150" s="101"/>
      <c r="Y150" s="101"/>
      <c r="Z150" s="101"/>
      <c r="AA150" s="101"/>
      <c r="AB150" s="101"/>
      <c r="AC150" s="101"/>
      <c r="AD150" s="101"/>
    </row>
    <row r="151" ht="30.0" customHeight="1">
      <c r="A151" s="141"/>
      <c r="B151" s="101"/>
      <c r="C151" s="101"/>
      <c r="D151" s="101"/>
      <c r="E151" s="101"/>
      <c r="F151" s="101"/>
      <c r="G151" s="101"/>
      <c r="H151" s="101"/>
      <c r="I151" s="101"/>
      <c r="J151" s="142"/>
      <c r="K151" s="101"/>
      <c r="L151" s="101"/>
      <c r="M151" s="101"/>
      <c r="N151" s="101"/>
      <c r="O151" s="101"/>
      <c r="P151" s="101"/>
      <c r="Q151" s="101"/>
      <c r="R151" s="101"/>
      <c r="S151" s="101"/>
      <c r="T151" s="101"/>
      <c r="U151" s="101"/>
      <c r="V151" s="101"/>
      <c r="W151" s="101"/>
      <c r="X151" s="101"/>
      <c r="Y151" s="101"/>
      <c r="Z151" s="101"/>
      <c r="AA151" s="101"/>
      <c r="AB151" s="101"/>
      <c r="AC151" s="101"/>
      <c r="AD151" s="101"/>
    </row>
    <row r="152" ht="30.0" customHeight="1">
      <c r="A152" s="141"/>
      <c r="B152" s="101"/>
      <c r="C152" s="101"/>
      <c r="D152" s="101"/>
      <c r="E152" s="101"/>
      <c r="F152" s="101"/>
      <c r="G152" s="101"/>
      <c r="H152" s="101"/>
      <c r="I152" s="101"/>
      <c r="J152" s="142"/>
      <c r="K152" s="101"/>
      <c r="L152" s="101"/>
      <c r="M152" s="101"/>
      <c r="N152" s="101"/>
      <c r="O152" s="101"/>
      <c r="P152" s="101"/>
      <c r="Q152" s="101"/>
      <c r="R152" s="101"/>
      <c r="S152" s="101"/>
      <c r="T152" s="101"/>
      <c r="U152" s="101"/>
      <c r="V152" s="101"/>
      <c r="W152" s="101"/>
      <c r="X152" s="101"/>
      <c r="Y152" s="101"/>
      <c r="Z152" s="101"/>
      <c r="AA152" s="101"/>
      <c r="AB152" s="101"/>
      <c r="AC152" s="101"/>
      <c r="AD152" s="101"/>
    </row>
    <row r="153" ht="30.0" customHeight="1">
      <c r="A153" s="141"/>
      <c r="B153" s="101"/>
      <c r="C153" s="101"/>
      <c r="D153" s="101"/>
      <c r="E153" s="101"/>
      <c r="F153" s="101"/>
      <c r="G153" s="101"/>
      <c r="H153" s="101"/>
      <c r="I153" s="101"/>
      <c r="J153" s="142"/>
      <c r="K153" s="101"/>
      <c r="L153" s="101"/>
      <c r="M153" s="101"/>
      <c r="N153" s="101"/>
      <c r="O153" s="101"/>
      <c r="P153" s="101"/>
      <c r="Q153" s="101"/>
      <c r="R153" s="101"/>
      <c r="S153" s="101"/>
      <c r="T153" s="101"/>
      <c r="U153" s="101"/>
      <c r="V153" s="101"/>
      <c r="W153" s="101"/>
      <c r="X153" s="101"/>
      <c r="Y153" s="101"/>
      <c r="Z153" s="101"/>
      <c r="AA153" s="101"/>
      <c r="AB153" s="101"/>
      <c r="AC153" s="101"/>
      <c r="AD153" s="101"/>
    </row>
    <row r="154" ht="30.0" customHeight="1">
      <c r="A154" s="141"/>
      <c r="B154" s="101"/>
      <c r="C154" s="101"/>
      <c r="D154" s="101"/>
      <c r="E154" s="101"/>
      <c r="F154" s="101"/>
      <c r="G154" s="101"/>
      <c r="H154" s="101"/>
      <c r="I154" s="101"/>
      <c r="J154" s="142"/>
      <c r="K154" s="101"/>
      <c r="L154" s="101"/>
      <c r="M154" s="101"/>
      <c r="N154" s="101"/>
      <c r="O154" s="101"/>
      <c r="P154" s="101"/>
      <c r="Q154" s="101"/>
      <c r="R154" s="101"/>
      <c r="S154" s="101"/>
      <c r="T154" s="101"/>
      <c r="U154" s="101"/>
      <c r="V154" s="101"/>
      <c r="W154" s="101"/>
      <c r="X154" s="101"/>
      <c r="Y154" s="101"/>
      <c r="Z154" s="101"/>
      <c r="AA154" s="101"/>
      <c r="AB154" s="101"/>
      <c r="AC154" s="101"/>
      <c r="AD154" s="101"/>
    </row>
    <row r="155" ht="30.0" customHeight="1">
      <c r="A155" s="141"/>
      <c r="B155" s="101"/>
      <c r="C155" s="101"/>
      <c r="D155" s="101"/>
      <c r="E155" s="101"/>
      <c r="F155" s="101"/>
      <c r="G155" s="101"/>
      <c r="H155" s="101"/>
      <c r="I155" s="101"/>
      <c r="J155" s="142"/>
      <c r="K155" s="101"/>
      <c r="L155" s="101"/>
      <c r="M155" s="101"/>
      <c r="N155" s="101"/>
      <c r="O155" s="101"/>
      <c r="P155" s="101"/>
      <c r="Q155" s="101"/>
      <c r="R155" s="101"/>
      <c r="S155" s="101"/>
      <c r="T155" s="101"/>
      <c r="U155" s="101"/>
      <c r="V155" s="101"/>
      <c r="W155" s="101"/>
      <c r="X155" s="101"/>
      <c r="Y155" s="101"/>
      <c r="Z155" s="101"/>
      <c r="AA155" s="101"/>
      <c r="AB155" s="101"/>
      <c r="AC155" s="101"/>
      <c r="AD155" s="101"/>
    </row>
    <row r="156" ht="30.0" customHeight="1">
      <c r="A156" s="141"/>
      <c r="B156" s="101"/>
      <c r="C156" s="101"/>
      <c r="D156" s="101"/>
      <c r="E156" s="101"/>
      <c r="F156" s="101"/>
      <c r="G156" s="101"/>
      <c r="H156" s="101"/>
      <c r="I156" s="101"/>
      <c r="J156" s="142"/>
      <c r="K156" s="101"/>
      <c r="L156" s="101"/>
      <c r="M156" s="101"/>
      <c r="N156" s="101"/>
      <c r="O156" s="101"/>
      <c r="P156" s="101"/>
      <c r="Q156" s="101"/>
      <c r="R156" s="101"/>
      <c r="S156" s="101"/>
      <c r="T156" s="101"/>
      <c r="U156" s="101"/>
      <c r="V156" s="101"/>
      <c r="W156" s="101"/>
      <c r="X156" s="101"/>
      <c r="Y156" s="101"/>
      <c r="Z156" s="101"/>
      <c r="AA156" s="101"/>
      <c r="AB156" s="101"/>
      <c r="AC156" s="101"/>
      <c r="AD156" s="101"/>
    </row>
    <row r="157" ht="30.0" customHeight="1">
      <c r="A157" s="141"/>
      <c r="B157" s="101"/>
      <c r="C157" s="101"/>
      <c r="D157" s="101"/>
      <c r="E157" s="101"/>
      <c r="F157" s="101"/>
      <c r="G157" s="101"/>
      <c r="H157" s="101"/>
      <c r="I157" s="101"/>
      <c r="J157" s="142"/>
      <c r="K157" s="101"/>
      <c r="L157" s="101"/>
      <c r="M157" s="101"/>
      <c r="N157" s="101"/>
      <c r="O157" s="101"/>
      <c r="P157" s="101"/>
      <c r="Q157" s="101"/>
      <c r="R157" s="101"/>
      <c r="S157" s="101"/>
      <c r="T157" s="101"/>
      <c r="U157" s="101"/>
      <c r="V157" s="101"/>
      <c r="W157" s="101"/>
      <c r="X157" s="101"/>
      <c r="Y157" s="101"/>
      <c r="Z157" s="101"/>
      <c r="AA157" s="101"/>
      <c r="AB157" s="101"/>
      <c r="AC157" s="101"/>
      <c r="AD157" s="101"/>
    </row>
    <row r="158" ht="30.0" customHeight="1">
      <c r="A158" s="141"/>
      <c r="B158" s="101"/>
      <c r="C158" s="101"/>
      <c r="D158" s="101"/>
      <c r="E158" s="101"/>
      <c r="F158" s="101"/>
      <c r="G158" s="101"/>
      <c r="H158" s="101"/>
      <c r="I158" s="101"/>
      <c r="J158" s="142"/>
      <c r="K158" s="101"/>
      <c r="L158" s="101"/>
      <c r="M158" s="101"/>
      <c r="N158" s="101"/>
      <c r="O158" s="101"/>
      <c r="P158" s="101"/>
      <c r="Q158" s="101"/>
      <c r="R158" s="101"/>
      <c r="S158" s="101"/>
      <c r="T158" s="101"/>
      <c r="U158" s="101"/>
      <c r="V158" s="101"/>
      <c r="W158" s="101"/>
      <c r="X158" s="101"/>
      <c r="Y158" s="101"/>
      <c r="Z158" s="101"/>
      <c r="AA158" s="101"/>
      <c r="AB158" s="101"/>
      <c r="AC158" s="101"/>
      <c r="AD158" s="101"/>
    </row>
    <row r="159" ht="30.0" customHeight="1">
      <c r="A159" s="141"/>
      <c r="B159" s="101"/>
      <c r="C159" s="101"/>
      <c r="D159" s="101"/>
      <c r="E159" s="101"/>
      <c r="F159" s="101"/>
      <c r="G159" s="101"/>
      <c r="H159" s="101"/>
      <c r="I159" s="101"/>
      <c r="J159" s="142"/>
      <c r="K159" s="101"/>
      <c r="L159" s="101"/>
      <c r="M159" s="101"/>
      <c r="N159" s="101"/>
      <c r="O159" s="101"/>
      <c r="P159" s="101"/>
      <c r="Q159" s="101"/>
      <c r="R159" s="101"/>
      <c r="S159" s="101"/>
      <c r="T159" s="101"/>
      <c r="U159" s="101"/>
      <c r="V159" s="101"/>
      <c r="W159" s="101"/>
      <c r="X159" s="101"/>
      <c r="Y159" s="101"/>
      <c r="Z159" s="101"/>
      <c r="AA159" s="101"/>
      <c r="AB159" s="101"/>
      <c r="AC159" s="101"/>
      <c r="AD159" s="101"/>
    </row>
    <row r="160" ht="30.0" customHeight="1">
      <c r="A160" s="141"/>
      <c r="B160" s="101"/>
      <c r="C160" s="101"/>
      <c r="D160" s="101"/>
      <c r="E160" s="101"/>
      <c r="F160" s="101"/>
      <c r="G160" s="101"/>
      <c r="H160" s="101"/>
      <c r="I160" s="101"/>
      <c r="J160" s="142"/>
      <c r="K160" s="101"/>
      <c r="L160" s="101"/>
      <c r="M160" s="101"/>
      <c r="N160" s="101"/>
      <c r="O160" s="101"/>
      <c r="P160" s="101"/>
      <c r="Q160" s="101"/>
      <c r="R160" s="101"/>
      <c r="S160" s="101"/>
      <c r="T160" s="101"/>
      <c r="U160" s="101"/>
      <c r="V160" s="101"/>
      <c r="W160" s="101"/>
      <c r="X160" s="101"/>
      <c r="Y160" s="101"/>
      <c r="Z160" s="101"/>
      <c r="AA160" s="101"/>
      <c r="AB160" s="101"/>
      <c r="AC160" s="101"/>
      <c r="AD160" s="101"/>
    </row>
    <row r="161" ht="30.0" customHeight="1">
      <c r="A161" s="141"/>
      <c r="B161" s="101"/>
      <c r="C161" s="101"/>
      <c r="D161" s="101"/>
      <c r="E161" s="101"/>
      <c r="F161" s="101"/>
      <c r="G161" s="101"/>
      <c r="H161" s="101"/>
      <c r="I161" s="101"/>
      <c r="J161" s="142"/>
      <c r="K161" s="101"/>
      <c r="L161" s="101"/>
      <c r="M161" s="101"/>
      <c r="N161" s="101"/>
      <c r="O161" s="101"/>
      <c r="P161" s="101"/>
      <c r="Q161" s="101"/>
      <c r="R161" s="101"/>
      <c r="S161" s="101"/>
      <c r="T161" s="101"/>
      <c r="U161" s="101"/>
      <c r="V161" s="101"/>
      <c r="W161" s="101"/>
      <c r="X161" s="101"/>
      <c r="Y161" s="101"/>
      <c r="Z161" s="101"/>
      <c r="AA161" s="101"/>
      <c r="AB161" s="101"/>
      <c r="AC161" s="101"/>
      <c r="AD161" s="101"/>
    </row>
    <row r="162" ht="30.0" customHeight="1">
      <c r="A162" s="141"/>
      <c r="B162" s="101"/>
      <c r="C162" s="101"/>
      <c r="D162" s="101"/>
      <c r="E162" s="101"/>
      <c r="F162" s="101"/>
      <c r="G162" s="101"/>
      <c r="H162" s="101"/>
      <c r="I162" s="101"/>
      <c r="J162" s="142"/>
      <c r="K162" s="101"/>
      <c r="L162" s="101"/>
      <c r="M162" s="101"/>
      <c r="N162" s="101"/>
      <c r="O162" s="101"/>
      <c r="P162" s="101"/>
      <c r="Q162" s="101"/>
      <c r="R162" s="101"/>
      <c r="S162" s="101"/>
      <c r="T162" s="101"/>
      <c r="U162" s="101"/>
      <c r="V162" s="101"/>
      <c r="W162" s="101"/>
      <c r="X162" s="101"/>
      <c r="Y162" s="101"/>
      <c r="Z162" s="101"/>
      <c r="AA162" s="101"/>
      <c r="AB162" s="101"/>
      <c r="AC162" s="101"/>
      <c r="AD162" s="101"/>
    </row>
    <row r="163" ht="30.0" customHeight="1">
      <c r="A163" s="141"/>
      <c r="B163" s="101"/>
      <c r="C163" s="101"/>
      <c r="D163" s="101"/>
      <c r="E163" s="101"/>
      <c r="F163" s="101"/>
      <c r="G163" s="101"/>
      <c r="H163" s="101"/>
      <c r="I163" s="101"/>
      <c r="J163" s="142"/>
      <c r="K163" s="101"/>
      <c r="L163" s="101"/>
      <c r="M163" s="101"/>
      <c r="N163" s="101"/>
      <c r="O163" s="101"/>
      <c r="P163" s="101"/>
      <c r="Q163" s="101"/>
      <c r="R163" s="101"/>
      <c r="S163" s="101"/>
      <c r="T163" s="101"/>
      <c r="U163" s="101"/>
      <c r="V163" s="101"/>
      <c r="W163" s="101"/>
      <c r="X163" s="101"/>
      <c r="Y163" s="101"/>
      <c r="Z163" s="101"/>
      <c r="AA163" s="101"/>
      <c r="AB163" s="101"/>
      <c r="AC163" s="101"/>
      <c r="AD163" s="101"/>
    </row>
    <row r="164" ht="30.0" customHeight="1">
      <c r="A164" s="141"/>
      <c r="B164" s="101"/>
      <c r="C164" s="101"/>
      <c r="D164" s="101"/>
      <c r="E164" s="101"/>
      <c r="F164" s="101"/>
      <c r="G164" s="101"/>
      <c r="H164" s="101"/>
      <c r="I164" s="101"/>
      <c r="J164" s="142"/>
      <c r="K164" s="101"/>
      <c r="L164" s="101"/>
      <c r="M164" s="101"/>
      <c r="N164" s="101"/>
      <c r="O164" s="101"/>
      <c r="P164" s="101"/>
      <c r="Q164" s="101"/>
      <c r="R164" s="101"/>
      <c r="S164" s="101"/>
      <c r="T164" s="101"/>
      <c r="U164" s="101"/>
      <c r="V164" s="101"/>
      <c r="W164" s="101"/>
      <c r="X164" s="101"/>
      <c r="Y164" s="101"/>
      <c r="Z164" s="101"/>
      <c r="AA164" s="101"/>
      <c r="AB164" s="101"/>
      <c r="AC164" s="101"/>
      <c r="AD164" s="101"/>
    </row>
    <row r="165" ht="30.0" customHeight="1">
      <c r="A165" s="141"/>
      <c r="B165" s="101"/>
      <c r="C165" s="101"/>
      <c r="D165" s="101"/>
      <c r="E165" s="101"/>
      <c r="F165" s="101"/>
      <c r="G165" s="101"/>
      <c r="H165" s="101"/>
      <c r="I165" s="101"/>
      <c r="J165" s="142"/>
      <c r="K165" s="101"/>
      <c r="L165" s="101"/>
      <c r="M165" s="101"/>
      <c r="N165" s="101"/>
      <c r="O165" s="101"/>
      <c r="P165" s="101"/>
      <c r="Q165" s="101"/>
      <c r="R165" s="101"/>
      <c r="S165" s="101"/>
      <c r="T165" s="101"/>
      <c r="U165" s="101"/>
      <c r="V165" s="101"/>
      <c r="W165" s="101"/>
      <c r="X165" s="101"/>
      <c r="Y165" s="101"/>
      <c r="Z165" s="101"/>
      <c r="AA165" s="101"/>
      <c r="AB165" s="101"/>
      <c r="AC165" s="101"/>
      <c r="AD165" s="101"/>
    </row>
    <row r="166" ht="30.0" customHeight="1">
      <c r="A166" s="141"/>
      <c r="B166" s="101"/>
      <c r="C166" s="101"/>
      <c r="D166" s="101"/>
      <c r="E166" s="101"/>
      <c r="F166" s="101"/>
      <c r="G166" s="101"/>
      <c r="H166" s="101"/>
      <c r="I166" s="101"/>
      <c r="J166" s="142"/>
      <c r="K166" s="101"/>
      <c r="L166" s="101"/>
      <c r="M166" s="101"/>
      <c r="N166" s="101"/>
      <c r="O166" s="101"/>
      <c r="P166" s="101"/>
      <c r="Q166" s="101"/>
      <c r="R166" s="101"/>
      <c r="S166" s="101"/>
      <c r="T166" s="101"/>
      <c r="U166" s="101"/>
      <c r="V166" s="101"/>
      <c r="W166" s="101"/>
      <c r="X166" s="101"/>
      <c r="Y166" s="101"/>
      <c r="Z166" s="101"/>
      <c r="AA166" s="101"/>
      <c r="AB166" s="101"/>
      <c r="AC166" s="101"/>
      <c r="AD166" s="101"/>
    </row>
    <row r="167" ht="30.0" customHeight="1">
      <c r="A167" s="141"/>
      <c r="B167" s="101"/>
      <c r="C167" s="101"/>
      <c r="D167" s="101"/>
      <c r="E167" s="101"/>
      <c r="F167" s="101"/>
      <c r="G167" s="101"/>
      <c r="H167" s="101"/>
      <c r="I167" s="101"/>
      <c r="J167" s="142"/>
      <c r="K167" s="101"/>
      <c r="L167" s="101"/>
      <c r="M167" s="101"/>
      <c r="N167" s="101"/>
      <c r="O167" s="101"/>
      <c r="P167" s="101"/>
      <c r="Q167" s="101"/>
      <c r="R167" s="101"/>
      <c r="S167" s="101"/>
      <c r="T167" s="101"/>
      <c r="U167" s="101"/>
      <c r="V167" s="101"/>
      <c r="W167" s="101"/>
      <c r="X167" s="101"/>
      <c r="Y167" s="101"/>
      <c r="Z167" s="101"/>
      <c r="AA167" s="101"/>
      <c r="AB167" s="101"/>
      <c r="AC167" s="101"/>
      <c r="AD167" s="101"/>
    </row>
    <row r="168" ht="30.0" customHeight="1">
      <c r="A168" s="141"/>
      <c r="B168" s="101"/>
      <c r="C168" s="101"/>
      <c r="D168" s="101"/>
      <c r="E168" s="101"/>
      <c r="F168" s="101"/>
      <c r="G168" s="101"/>
      <c r="H168" s="101"/>
      <c r="I168" s="101"/>
      <c r="J168" s="142"/>
      <c r="K168" s="101"/>
      <c r="L168" s="101"/>
      <c r="M168" s="101"/>
      <c r="N168" s="101"/>
      <c r="O168" s="101"/>
      <c r="P168" s="101"/>
      <c r="Q168" s="101"/>
      <c r="R168" s="101"/>
      <c r="S168" s="101"/>
      <c r="T168" s="101"/>
      <c r="U168" s="101"/>
      <c r="V168" s="101"/>
      <c r="W168" s="101"/>
      <c r="X168" s="101"/>
      <c r="Y168" s="101"/>
      <c r="Z168" s="101"/>
      <c r="AA168" s="101"/>
      <c r="AB168" s="101"/>
      <c r="AC168" s="101"/>
      <c r="AD168" s="101"/>
    </row>
    <row r="169" ht="30.0" customHeight="1">
      <c r="A169" s="141"/>
      <c r="B169" s="101"/>
      <c r="C169" s="101"/>
      <c r="D169" s="101"/>
      <c r="E169" s="101"/>
      <c r="F169" s="101"/>
      <c r="G169" s="101"/>
      <c r="H169" s="101"/>
      <c r="I169" s="101"/>
      <c r="J169" s="142"/>
      <c r="K169" s="101"/>
      <c r="L169" s="101"/>
      <c r="M169" s="101"/>
      <c r="N169" s="101"/>
      <c r="O169" s="101"/>
      <c r="P169" s="101"/>
      <c r="Q169" s="101"/>
      <c r="R169" s="101"/>
      <c r="S169" s="101"/>
      <c r="T169" s="101"/>
      <c r="U169" s="101"/>
      <c r="V169" s="101"/>
      <c r="W169" s="101"/>
      <c r="X169" s="101"/>
      <c r="Y169" s="101"/>
      <c r="Z169" s="101"/>
      <c r="AA169" s="101"/>
      <c r="AB169" s="101"/>
      <c r="AC169" s="101"/>
      <c r="AD169" s="101"/>
    </row>
    <row r="170" ht="30.0" customHeight="1">
      <c r="A170" s="141"/>
      <c r="B170" s="101"/>
      <c r="C170" s="101"/>
      <c r="D170" s="101"/>
      <c r="E170" s="101"/>
      <c r="F170" s="101"/>
      <c r="G170" s="101"/>
      <c r="H170" s="101"/>
      <c r="I170" s="101"/>
      <c r="J170" s="142"/>
      <c r="K170" s="101"/>
      <c r="L170" s="101"/>
      <c r="M170" s="101"/>
      <c r="N170" s="101"/>
      <c r="O170" s="101"/>
      <c r="P170" s="101"/>
      <c r="Q170" s="101"/>
      <c r="R170" s="101"/>
      <c r="S170" s="101"/>
      <c r="T170" s="101"/>
      <c r="U170" s="101"/>
      <c r="V170" s="101"/>
      <c r="W170" s="101"/>
      <c r="X170" s="101"/>
      <c r="Y170" s="101"/>
      <c r="Z170" s="101"/>
      <c r="AA170" s="101"/>
      <c r="AB170" s="101"/>
      <c r="AC170" s="101"/>
      <c r="AD170" s="101"/>
    </row>
    <row r="171" ht="30.0" customHeight="1">
      <c r="A171" s="141"/>
      <c r="B171" s="101"/>
      <c r="C171" s="101"/>
      <c r="D171" s="101"/>
      <c r="E171" s="101"/>
      <c r="F171" s="101"/>
      <c r="G171" s="101"/>
      <c r="H171" s="101"/>
      <c r="I171" s="101"/>
      <c r="J171" s="142"/>
      <c r="K171" s="101"/>
      <c r="L171" s="101"/>
      <c r="M171" s="101"/>
      <c r="N171" s="101"/>
      <c r="O171" s="101"/>
      <c r="P171" s="101"/>
      <c r="Q171" s="101"/>
      <c r="R171" s="101"/>
      <c r="S171" s="101"/>
      <c r="T171" s="101"/>
      <c r="U171" s="101"/>
      <c r="V171" s="101"/>
      <c r="W171" s="101"/>
      <c r="X171" s="101"/>
      <c r="Y171" s="101"/>
      <c r="Z171" s="101"/>
      <c r="AA171" s="101"/>
      <c r="AB171" s="101"/>
      <c r="AC171" s="101"/>
      <c r="AD171" s="101"/>
    </row>
    <row r="172" ht="30.0" customHeight="1">
      <c r="A172" s="141"/>
      <c r="B172" s="101"/>
      <c r="C172" s="101"/>
      <c r="D172" s="101"/>
      <c r="E172" s="101"/>
      <c r="F172" s="101"/>
      <c r="G172" s="101"/>
      <c r="H172" s="101"/>
      <c r="I172" s="101"/>
      <c r="J172" s="142"/>
      <c r="K172" s="101"/>
      <c r="L172" s="101"/>
      <c r="M172" s="101"/>
      <c r="N172" s="101"/>
      <c r="O172" s="101"/>
      <c r="P172" s="101"/>
      <c r="Q172" s="101"/>
      <c r="R172" s="101"/>
      <c r="S172" s="101"/>
      <c r="T172" s="101"/>
      <c r="U172" s="101"/>
      <c r="V172" s="101"/>
      <c r="W172" s="101"/>
      <c r="X172" s="101"/>
      <c r="Y172" s="101"/>
      <c r="Z172" s="101"/>
      <c r="AA172" s="101"/>
      <c r="AB172" s="101"/>
      <c r="AC172" s="101"/>
      <c r="AD172" s="101"/>
    </row>
    <row r="173" ht="30.0" customHeight="1">
      <c r="A173" s="141"/>
      <c r="B173" s="101"/>
      <c r="C173" s="101"/>
      <c r="D173" s="101"/>
      <c r="E173" s="101"/>
      <c r="F173" s="101"/>
      <c r="G173" s="101"/>
      <c r="H173" s="101"/>
      <c r="I173" s="101"/>
      <c r="J173" s="142"/>
      <c r="K173" s="101"/>
      <c r="L173" s="101"/>
      <c r="M173" s="101"/>
      <c r="N173" s="101"/>
      <c r="O173" s="101"/>
      <c r="P173" s="101"/>
      <c r="Q173" s="101"/>
      <c r="R173" s="101"/>
      <c r="S173" s="101"/>
      <c r="T173" s="101"/>
      <c r="U173" s="101"/>
      <c r="V173" s="101"/>
      <c r="W173" s="101"/>
      <c r="X173" s="101"/>
      <c r="Y173" s="101"/>
      <c r="Z173" s="101"/>
      <c r="AA173" s="101"/>
      <c r="AB173" s="101"/>
      <c r="AC173" s="101"/>
      <c r="AD173" s="101"/>
    </row>
    <row r="174" ht="30.0" customHeight="1">
      <c r="A174" s="141"/>
      <c r="B174" s="101"/>
      <c r="C174" s="101"/>
      <c r="D174" s="101"/>
      <c r="E174" s="101"/>
      <c r="F174" s="101"/>
      <c r="G174" s="101"/>
      <c r="H174" s="101"/>
      <c r="I174" s="101"/>
      <c r="J174" s="142"/>
      <c r="K174" s="101"/>
      <c r="L174" s="101"/>
      <c r="M174" s="101"/>
      <c r="N174" s="101"/>
      <c r="O174" s="101"/>
      <c r="P174" s="101"/>
      <c r="Q174" s="101"/>
      <c r="R174" s="101"/>
      <c r="S174" s="101"/>
      <c r="T174" s="101"/>
      <c r="U174" s="101"/>
      <c r="V174" s="101"/>
      <c r="W174" s="101"/>
      <c r="X174" s="101"/>
      <c r="Y174" s="101"/>
      <c r="Z174" s="101"/>
      <c r="AA174" s="101"/>
      <c r="AB174" s="101"/>
      <c r="AC174" s="101"/>
      <c r="AD174" s="101"/>
    </row>
    <row r="175" ht="30.0" customHeight="1">
      <c r="A175" s="141"/>
      <c r="B175" s="101"/>
      <c r="C175" s="101"/>
      <c r="D175" s="101"/>
      <c r="E175" s="101"/>
      <c r="F175" s="101"/>
      <c r="G175" s="101"/>
      <c r="H175" s="101"/>
      <c r="I175" s="101"/>
      <c r="J175" s="142"/>
      <c r="K175" s="101"/>
      <c r="L175" s="101"/>
      <c r="M175" s="101"/>
      <c r="N175" s="101"/>
      <c r="O175" s="101"/>
      <c r="P175" s="101"/>
      <c r="Q175" s="101"/>
      <c r="R175" s="101"/>
      <c r="S175" s="101"/>
      <c r="T175" s="101"/>
      <c r="U175" s="101"/>
      <c r="V175" s="101"/>
      <c r="W175" s="101"/>
      <c r="X175" s="101"/>
      <c r="Y175" s="101"/>
      <c r="Z175" s="101"/>
      <c r="AA175" s="101"/>
      <c r="AB175" s="101"/>
      <c r="AC175" s="101"/>
      <c r="AD175" s="101"/>
    </row>
    <row r="176" ht="30.0" customHeight="1">
      <c r="A176" s="141"/>
      <c r="B176" s="101"/>
      <c r="C176" s="101"/>
      <c r="D176" s="101"/>
      <c r="E176" s="101"/>
      <c r="F176" s="101"/>
      <c r="G176" s="101"/>
      <c r="H176" s="101"/>
      <c r="I176" s="101"/>
      <c r="J176" s="142"/>
      <c r="K176" s="101"/>
      <c r="L176" s="101"/>
      <c r="M176" s="101"/>
      <c r="N176" s="101"/>
      <c r="O176" s="101"/>
      <c r="P176" s="101"/>
      <c r="Q176" s="101"/>
      <c r="R176" s="101"/>
      <c r="S176" s="101"/>
      <c r="T176" s="101"/>
      <c r="U176" s="101"/>
      <c r="V176" s="101"/>
      <c r="W176" s="101"/>
      <c r="X176" s="101"/>
      <c r="Y176" s="101"/>
      <c r="Z176" s="101"/>
      <c r="AA176" s="101"/>
      <c r="AB176" s="101"/>
      <c r="AC176" s="101"/>
      <c r="AD176" s="101"/>
    </row>
    <row r="177" ht="30.0" customHeight="1">
      <c r="A177" s="141"/>
      <c r="B177" s="101"/>
      <c r="C177" s="101"/>
      <c r="D177" s="101"/>
      <c r="E177" s="101"/>
      <c r="F177" s="101"/>
      <c r="G177" s="101"/>
      <c r="H177" s="101"/>
      <c r="I177" s="101"/>
      <c r="J177" s="142"/>
      <c r="K177" s="101"/>
      <c r="L177" s="101"/>
      <c r="M177" s="101"/>
      <c r="N177" s="101"/>
      <c r="O177" s="101"/>
      <c r="P177" s="101"/>
      <c r="Q177" s="101"/>
      <c r="R177" s="101"/>
      <c r="S177" s="101"/>
      <c r="T177" s="101"/>
      <c r="U177" s="101"/>
      <c r="V177" s="101"/>
      <c r="W177" s="101"/>
      <c r="X177" s="101"/>
      <c r="Y177" s="101"/>
      <c r="Z177" s="101"/>
      <c r="AA177" s="101"/>
      <c r="AB177" s="101"/>
      <c r="AC177" s="101"/>
      <c r="AD177" s="101"/>
    </row>
    <row r="178" ht="30.0" customHeight="1">
      <c r="A178" s="141"/>
      <c r="B178" s="101"/>
      <c r="C178" s="101"/>
      <c r="D178" s="101"/>
      <c r="E178" s="101"/>
      <c r="F178" s="101"/>
      <c r="G178" s="101"/>
      <c r="H178" s="101"/>
      <c r="I178" s="101"/>
      <c r="J178" s="142"/>
      <c r="K178" s="101"/>
      <c r="L178" s="101"/>
      <c r="M178" s="101"/>
      <c r="N178" s="101"/>
      <c r="O178" s="101"/>
      <c r="P178" s="101"/>
      <c r="Q178" s="101"/>
      <c r="R178" s="101"/>
      <c r="S178" s="101"/>
      <c r="T178" s="101"/>
      <c r="U178" s="101"/>
      <c r="V178" s="101"/>
      <c r="W178" s="101"/>
      <c r="X178" s="101"/>
      <c r="Y178" s="101"/>
      <c r="Z178" s="101"/>
      <c r="AA178" s="101"/>
      <c r="AB178" s="101"/>
      <c r="AC178" s="101"/>
      <c r="AD178" s="101"/>
    </row>
    <row r="179" ht="30.0" customHeight="1">
      <c r="A179" s="141"/>
      <c r="B179" s="101"/>
      <c r="C179" s="101"/>
      <c r="D179" s="101"/>
      <c r="E179" s="101"/>
      <c r="F179" s="101"/>
      <c r="G179" s="101"/>
      <c r="H179" s="101"/>
      <c r="I179" s="101"/>
      <c r="J179" s="142"/>
      <c r="K179" s="101"/>
      <c r="L179" s="101"/>
      <c r="M179" s="101"/>
      <c r="N179" s="101"/>
      <c r="O179" s="101"/>
      <c r="P179" s="101"/>
      <c r="Q179" s="101"/>
      <c r="R179" s="101"/>
      <c r="S179" s="101"/>
      <c r="T179" s="101"/>
      <c r="U179" s="101"/>
      <c r="V179" s="101"/>
      <c r="W179" s="101"/>
      <c r="X179" s="101"/>
      <c r="Y179" s="101"/>
      <c r="Z179" s="101"/>
      <c r="AA179" s="101"/>
      <c r="AB179" s="101"/>
      <c r="AC179" s="101"/>
      <c r="AD179" s="101"/>
    </row>
    <row r="180" ht="30.0" customHeight="1">
      <c r="A180" s="141"/>
      <c r="B180" s="101"/>
      <c r="C180" s="101"/>
      <c r="D180" s="101"/>
      <c r="E180" s="101"/>
      <c r="F180" s="101"/>
      <c r="G180" s="101"/>
      <c r="H180" s="101"/>
      <c r="I180" s="101"/>
      <c r="J180" s="142"/>
      <c r="K180" s="101"/>
      <c r="L180" s="101"/>
      <c r="M180" s="101"/>
      <c r="N180" s="101"/>
      <c r="O180" s="101"/>
      <c r="P180" s="101"/>
      <c r="Q180" s="101"/>
      <c r="R180" s="101"/>
      <c r="S180" s="101"/>
      <c r="T180" s="101"/>
      <c r="U180" s="101"/>
      <c r="V180" s="101"/>
      <c r="W180" s="101"/>
      <c r="X180" s="101"/>
      <c r="Y180" s="101"/>
      <c r="Z180" s="101"/>
      <c r="AA180" s="101"/>
      <c r="AB180" s="101"/>
      <c r="AC180" s="101"/>
      <c r="AD180" s="101"/>
    </row>
    <row r="181" ht="30.0" customHeight="1">
      <c r="A181" s="141"/>
      <c r="B181" s="101"/>
      <c r="C181" s="101"/>
      <c r="D181" s="101"/>
      <c r="E181" s="101"/>
      <c r="F181" s="101"/>
      <c r="G181" s="101"/>
      <c r="H181" s="101"/>
      <c r="I181" s="101"/>
      <c r="J181" s="142"/>
      <c r="K181" s="101"/>
      <c r="L181" s="101"/>
      <c r="M181" s="101"/>
      <c r="N181" s="101"/>
      <c r="O181" s="101"/>
      <c r="P181" s="101"/>
      <c r="Q181" s="101"/>
      <c r="R181" s="101"/>
      <c r="S181" s="101"/>
      <c r="T181" s="101"/>
      <c r="U181" s="101"/>
      <c r="V181" s="101"/>
      <c r="W181" s="101"/>
      <c r="X181" s="101"/>
      <c r="Y181" s="101"/>
      <c r="Z181" s="101"/>
      <c r="AA181" s="101"/>
      <c r="AB181" s="101"/>
      <c r="AC181" s="101"/>
      <c r="AD181" s="101"/>
    </row>
    <row r="182" ht="30.0" customHeight="1">
      <c r="A182" s="141"/>
      <c r="B182" s="101"/>
      <c r="C182" s="101"/>
      <c r="D182" s="101"/>
      <c r="E182" s="101"/>
      <c r="F182" s="101"/>
      <c r="G182" s="101"/>
      <c r="H182" s="101"/>
      <c r="I182" s="101"/>
      <c r="J182" s="142"/>
      <c r="K182" s="101"/>
      <c r="L182" s="101"/>
      <c r="M182" s="101"/>
      <c r="N182" s="101"/>
      <c r="O182" s="101"/>
      <c r="P182" s="101"/>
      <c r="Q182" s="101"/>
      <c r="R182" s="101"/>
      <c r="S182" s="101"/>
      <c r="T182" s="101"/>
      <c r="U182" s="101"/>
      <c r="V182" s="101"/>
      <c r="W182" s="101"/>
      <c r="X182" s="101"/>
      <c r="Y182" s="101"/>
      <c r="Z182" s="101"/>
      <c r="AA182" s="101"/>
      <c r="AB182" s="101"/>
      <c r="AC182" s="101"/>
      <c r="AD182" s="101"/>
    </row>
    <row r="183" ht="30.0" customHeight="1">
      <c r="A183" s="141"/>
      <c r="B183" s="101"/>
      <c r="C183" s="101"/>
      <c r="D183" s="101"/>
      <c r="E183" s="101"/>
      <c r="F183" s="101"/>
      <c r="G183" s="101"/>
      <c r="H183" s="101"/>
      <c r="I183" s="101"/>
      <c r="J183" s="142"/>
      <c r="K183" s="101"/>
      <c r="L183" s="101"/>
      <c r="M183" s="101"/>
      <c r="N183" s="101"/>
      <c r="O183" s="101"/>
      <c r="P183" s="101"/>
      <c r="Q183" s="101"/>
      <c r="R183" s="101"/>
      <c r="S183" s="101"/>
      <c r="T183" s="101"/>
      <c r="U183" s="101"/>
      <c r="V183" s="101"/>
      <c r="W183" s="101"/>
      <c r="X183" s="101"/>
      <c r="Y183" s="101"/>
      <c r="Z183" s="101"/>
      <c r="AA183" s="101"/>
      <c r="AB183" s="101"/>
      <c r="AC183" s="101"/>
      <c r="AD183" s="101"/>
    </row>
    <row r="184" ht="30.0" customHeight="1">
      <c r="A184" s="141"/>
      <c r="B184" s="101"/>
      <c r="C184" s="101"/>
      <c r="D184" s="101"/>
      <c r="E184" s="101"/>
      <c r="F184" s="101"/>
      <c r="G184" s="101"/>
      <c r="H184" s="101"/>
      <c r="I184" s="101"/>
      <c r="J184" s="142"/>
      <c r="K184" s="101"/>
      <c r="L184" s="101"/>
      <c r="M184" s="101"/>
      <c r="N184" s="101"/>
      <c r="O184" s="101"/>
      <c r="P184" s="101"/>
      <c r="Q184" s="101"/>
      <c r="R184" s="101"/>
      <c r="S184" s="101"/>
      <c r="T184" s="101"/>
      <c r="U184" s="101"/>
      <c r="V184" s="101"/>
      <c r="W184" s="101"/>
      <c r="X184" s="101"/>
      <c r="Y184" s="101"/>
      <c r="Z184" s="101"/>
      <c r="AA184" s="101"/>
      <c r="AB184" s="101"/>
      <c r="AC184" s="101"/>
      <c r="AD184" s="101"/>
    </row>
    <row r="185" ht="30.0" customHeight="1">
      <c r="A185" s="141"/>
      <c r="B185" s="101"/>
      <c r="C185" s="101"/>
      <c r="D185" s="101"/>
      <c r="E185" s="101"/>
      <c r="F185" s="101"/>
      <c r="G185" s="101"/>
      <c r="H185" s="101"/>
      <c r="I185" s="101"/>
      <c r="J185" s="142"/>
      <c r="K185" s="101"/>
      <c r="L185" s="101"/>
      <c r="M185" s="101"/>
      <c r="N185" s="101"/>
      <c r="O185" s="101"/>
      <c r="P185" s="101"/>
      <c r="Q185" s="101"/>
      <c r="R185" s="101"/>
      <c r="S185" s="101"/>
      <c r="T185" s="101"/>
      <c r="U185" s="101"/>
      <c r="V185" s="101"/>
      <c r="W185" s="101"/>
      <c r="X185" s="101"/>
      <c r="Y185" s="101"/>
      <c r="Z185" s="101"/>
      <c r="AA185" s="101"/>
      <c r="AB185" s="101"/>
      <c r="AC185" s="101"/>
      <c r="AD185" s="101"/>
    </row>
    <row r="186" ht="30.0" customHeight="1">
      <c r="A186" s="141"/>
      <c r="B186" s="101"/>
      <c r="C186" s="101"/>
      <c r="D186" s="101"/>
      <c r="E186" s="101"/>
      <c r="F186" s="101"/>
      <c r="G186" s="101"/>
      <c r="H186" s="101"/>
      <c r="I186" s="101"/>
      <c r="J186" s="142"/>
      <c r="K186" s="101"/>
      <c r="L186" s="101"/>
      <c r="M186" s="101"/>
      <c r="N186" s="101"/>
      <c r="O186" s="101"/>
      <c r="P186" s="101"/>
      <c r="Q186" s="101"/>
      <c r="R186" s="101"/>
      <c r="S186" s="101"/>
      <c r="T186" s="101"/>
      <c r="U186" s="101"/>
      <c r="V186" s="101"/>
      <c r="W186" s="101"/>
      <c r="X186" s="101"/>
      <c r="Y186" s="101"/>
      <c r="Z186" s="101"/>
      <c r="AA186" s="101"/>
      <c r="AB186" s="101"/>
      <c r="AC186" s="101"/>
      <c r="AD186" s="101"/>
    </row>
    <row r="187" ht="30.0" customHeight="1">
      <c r="A187" s="141"/>
      <c r="B187" s="101"/>
      <c r="C187" s="101"/>
      <c r="D187" s="101"/>
      <c r="E187" s="101"/>
      <c r="F187" s="101"/>
      <c r="G187" s="101"/>
      <c r="H187" s="101"/>
      <c r="I187" s="101"/>
      <c r="J187" s="142"/>
      <c r="K187" s="101"/>
      <c r="L187" s="101"/>
      <c r="M187" s="101"/>
      <c r="N187" s="101"/>
      <c r="O187" s="101"/>
      <c r="P187" s="101"/>
      <c r="Q187" s="101"/>
      <c r="R187" s="101"/>
      <c r="S187" s="101"/>
      <c r="T187" s="101"/>
      <c r="U187" s="101"/>
      <c r="V187" s="101"/>
      <c r="W187" s="101"/>
      <c r="X187" s="101"/>
      <c r="Y187" s="101"/>
      <c r="Z187" s="101"/>
      <c r="AA187" s="101"/>
      <c r="AB187" s="101"/>
      <c r="AC187" s="101"/>
      <c r="AD187" s="101"/>
    </row>
    <row r="188" ht="30.0" customHeight="1">
      <c r="A188" s="141"/>
      <c r="B188" s="101"/>
      <c r="C188" s="101"/>
      <c r="D188" s="101"/>
      <c r="E188" s="101"/>
      <c r="F188" s="101"/>
      <c r="G188" s="101"/>
      <c r="H188" s="101"/>
      <c r="I188" s="101"/>
      <c r="J188" s="142"/>
      <c r="K188" s="101"/>
      <c r="L188" s="101"/>
      <c r="M188" s="101"/>
      <c r="N188" s="101"/>
      <c r="O188" s="101"/>
      <c r="P188" s="101"/>
      <c r="Q188" s="101"/>
      <c r="R188" s="101"/>
      <c r="S188" s="101"/>
      <c r="T188" s="101"/>
      <c r="U188" s="101"/>
      <c r="V188" s="101"/>
      <c r="W188" s="101"/>
      <c r="X188" s="101"/>
      <c r="Y188" s="101"/>
      <c r="Z188" s="101"/>
      <c r="AA188" s="101"/>
      <c r="AB188" s="101"/>
      <c r="AC188" s="101"/>
      <c r="AD188" s="101"/>
    </row>
    <row r="189" ht="30.0" customHeight="1">
      <c r="A189" s="141"/>
      <c r="B189" s="101"/>
      <c r="C189" s="101"/>
      <c r="D189" s="101"/>
      <c r="E189" s="101"/>
      <c r="F189" s="101"/>
      <c r="G189" s="101"/>
      <c r="H189" s="101"/>
      <c r="I189" s="101"/>
      <c r="J189" s="142"/>
      <c r="K189" s="101"/>
      <c r="L189" s="101"/>
      <c r="M189" s="101"/>
      <c r="N189" s="101"/>
      <c r="O189" s="101"/>
      <c r="P189" s="101"/>
      <c r="Q189" s="101"/>
      <c r="R189" s="101"/>
      <c r="S189" s="101"/>
      <c r="T189" s="101"/>
      <c r="U189" s="101"/>
      <c r="V189" s="101"/>
      <c r="W189" s="101"/>
      <c r="X189" s="101"/>
      <c r="Y189" s="101"/>
      <c r="Z189" s="101"/>
      <c r="AA189" s="101"/>
      <c r="AB189" s="101"/>
      <c r="AC189" s="101"/>
      <c r="AD189" s="101"/>
    </row>
    <row r="190" ht="30.0" customHeight="1">
      <c r="A190" s="141"/>
      <c r="B190" s="101"/>
      <c r="C190" s="101"/>
      <c r="D190" s="101"/>
      <c r="E190" s="101"/>
      <c r="F190" s="101"/>
      <c r="G190" s="101"/>
      <c r="H190" s="101"/>
      <c r="I190" s="101"/>
      <c r="J190" s="142"/>
      <c r="K190" s="101"/>
      <c r="L190" s="101"/>
      <c r="M190" s="101"/>
      <c r="N190" s="101"/>
      <c r="O190" s="101"/>
      <c r="P190" s="101"/>
      <c r="Q190" s="101"/>
      <c r="R190" s="101"/>
      <c r="S190" s="101"/>
      <c r="T190" s="101"/>
      <c r="U190" s="101"/>
      <c r="V190" s="101"/>
      <c r="W190" s="101"/>
      <c r="X190" s="101"/>
      <c r="Y190" s="101"/>
      <c r="Z190" s="101"/>
      <c r="AA190" s="101"/>
      <c r="AB190" s="101"/>
      <c r="AC190" s="101"/>
      <c r="AD190" s="101"/>
    </row>
    <row r="191" ht="30.0" customHeight="1">
      <c r="A191" s="141"/>
      <c r="B191" s="101"/>
      <c r="C191" s="101"/>
      <c r="D191" s="101"/>
      <c r="E191" s="101"/>
      <c r="F191" s="101"/>
      <c r="G191" s="101"/>
      <c r="H191" s="101"/>
      <c r="I191" s="101"/>
      <c r="J191" s="142"/>
      <c r="K191" s="101"/>
      <c r="L191" s="101"/>
      <c r="M191" s="101"/>
      <c r="N191" s="101"/>
      <c r="O191" s="101"/>
      <c r="P191" s="101"/>
      <c r="Q191" s="101"/>
      <c r="R191" s="101"/>
      <c r="S191" s="101"/>
      <c r="T191" s="101"/>
      <c r="U191" s="101"/>
      <c r="V191" s="101"/>
      <c r="W191" s="101"/>
      <c r="X191" s="101"/>
      <c r="Y191" s="101"/>
      <c r="Z191" s="101"/>
      <c r="AA191" s="101"/>
      <c r="AB191" s="101"/>
      <c r="AC191" s="101"/>
      <c r="AD191" s="101"/>
    </row>
    <row r="192" ht="30.0" customHeight="1">
      <c r="A192" s="141"/>
      <c r="B192" s="101"/>
      <c r="C192" s="101"/>
      <c r="D192" s="101"/>
      <c r="E192" s="101"/>
      <c r="F192" s="101"/>
      <c r="G192" s="101"/>
      <c r="H192" s="101"/>
      <c r="I192" s="101"/>
      <c r="J192" s="142"/>
      <c r="K192" s="101"/>
      <c r="L192" s="101"/>
      <c r="M192" s="101"/>
      <c r="N192" s="101"/>
      <c r="O192" s="101"/>
      <c r="P192" s="101"/>
      <c r="Q192" s="101"/>
      <c r="R192" s="101"/>
      <c r="S192" s="101"/>
      <c r="T192" s="101"/>
      <c r="U192" s="101"/>
      <c r="V192" s="101"/>
      <c r="W192" s="101"/>
      <c r="X192" s="101"/>
      <c r="Y192" s="101"/>
      <c r="Z192" s="101"/>
      <c r="AA192" s="101"/>
      <c r="AB192" s="101"/>
      <c r="AC192" s="101"/>
      <c r="AD192" s="101"/>
    </row>
    <row r="193" ht="30.0" customHeight="1">
      <c r="A193" s="141"/>
      <c r="B193" s="101"/>
      <c r="C193" s="101"/>
      <c r="D193" s="101"/>
      <c r="E193" s="101"/>
      <c r="F193" s="101"/>
      <c r="G193" s="101"/>
      <c r="H193" s="101"/>
      <c r="I193" s="101"/>
      <c r="J193" s="142"/>
      <c r="K193" s="101"/>
      <c r="L193" s="101"/>
      <c r="M193" s="101"/>
      <c r="N193" s="101"/>
      <c r="O193" s="101"/>
      <c r="P193" s="101"/>
      <c r="Q193" s="101"/>
      <c r="R193" s="101"/>
      <c r="S193" s="101"/>
      <c r="T193" s="101"/>
      <c r="U193" s="101"/>
      <c r="V193" s="101"/>
      <c r="W193" s="101"/>
      <c r="X193" s="101"/>
      <c r="Y193" s="101"/>
      <c r="Z193" s="101"/>
      <c r="AA193" s="101"/>
      <c r="AB193" s="101"/>
      <c r="AC193" s="101"/>
      <c r="AD193" s="101"/>
    </row>
    <row r="194" ht="30.0" customHeight="1">
      <c r="A194" s="141"/>
      <c r="B194" s="101"/>
      <c r="C194" s="101"/>
      <c r="D194" s="101"/>
      <c r="E194" s="101"/>
      <c r="F194" s="101"/>
      <c r="G194" s="101"/>
      <c r="H194" s="101"/>
      <c r="I194" s="101"/>
      <c r="J194" s="142"/>
      <c r="K194" s="101"/>
      <c r="L194" s="101"/>
      <c r="M194" s="101"/>
      <c r="N194" s="101"/>
      <c r="O194" s="101"/>
      <c r="P194" s="101"/>
      <c r="Q194" s="101"/>
      <c r="R194" s="101"/>
      <c r="S194" s="101"/>
      <c r="T194" s="101"/>
      <c r="U194" s="101"/>
      <c r="V194" s="101"/>
      <c r="W194" s="101"/>
      <c r="X194" s="101"/>
      <c r="Y194" s="101"/>
      <c r="Z194" s="101"/>
      <c r="AA194" s="101"/>
      <c r="AB194" s="101"/>
      <c r="AC194" s="101"/>
      <c r="AD194" s="101"/>
    </row>
    <row r="195" ht="30.0" customHeight="1">
      <c r="A195" s="141"/>
      <c r="B195" s="101"/>
      <c r="C195" s="101"/>
      <c r="D195" s="101"/>
      <c r="E195" s="101"/>
      <c r="F195" s="101"/>
      <c r="G195" s="101"/>
      <c r="H195" s="101"/>
      <c r="I195" s="101"/>
      <c r="J195" s="142"/>
      <c r="K195" s="101"/>
      <c r="L195" s="101"/>
      <c r="M195" s="101"/>
      <c r="N195" s="101"/>
      <c r="O195" s="101"/>
      <c r="P195" s="101"/>
      <c r="Q195" s="101"/>
      <c r="R195" s="101"/>
      <c r="S195" s="101"/>
      <c r="T195" s="101"/>
      <c r="U195" s="101"/>
      <c r="V195" s="101"/>
      <c r="W195" s="101"/>
      <c r="X195" s="101"/>
      <c r="Y195" s="101"/>
      <c r="Z195" s="101"/>
      <c r="AA195" s="101"/>
      <c r="AB195" s="101"/>
      <c r="AC195" s="101"/>
      <c r="AD195" s="101"/>
    </row>
    <row r="196" ht="30.0" customHeight="1">
      <c r="A196" s="141"/>
      <c r="B196" s="101"/>
      <c r="C196" s="101"/>
      <c r="D196" s="101"/>
      <c r="E196" s="101"/>
      <c r="F196" s="101"/>
      <c r="G196" s="101"/>
      <c r="H196" s="101"/>
      <c r="I196" s="101"/>
      <c r="J196" s="142"/>
      <c r="K196" s="101"/>
      <c r="L196" s="101"/>
      <c r="M196" s="101"/>
      <c r="N196" s="101"/>
      <c r="O196" s="101"/>
      <c r="P196" s="101"/>
      <c r="Q196" s="101"/>
      <c r="R196" s="101"/>
      <c r="S196" s="101"/>
      <c r="T196" s="101"/>
      <c r="U196" s="101"/>
      <c r="V196" s="101"/>
      <c r="W196" s="101"/>
      <c r="X196" s="101"/>
      <c r="Y196" s="101"/>
      <c r="Z196" s="101"/>
      <c r="AA196" s="101"/>
      <c r="AB196" s="101"/>
      <c r="AC196" s="101"/>
      <c r="AD196" s="101"/>
    </row>
    <row r="197" ht="30.0" customHeight="1">
      <c r="A197" s="141"/>
      <c r="B197" s="101"/>
      <c r="C197" s="101"/>
      <c r="D197" s="101"/>
      <c r="E197" s="101"/>
      <c r="F197" s="101"/>
      <c r="G197" s="101"/>
      <c r="H197" s="101"/>
      <c r="I197" s="101"/>
      <c r="J197" s="142"/>
      <c r="K197" s="101"/>
      <c r="L197" s="101"/>
      <c r="M197" s="101"/>
      <c r="N197" s="101"/>
      <c r="O197" s="101"/>
      <c r="P197" s="101"/>
      <c r="Q197" s="101"/>
      <c r="R197" s="101"/>
      <c r="S197" s="101"/>
      <c r="T197" s="101"/>
      <c r="U197" s="101"/>
      <c r="V197" s="101"/>
      <c r="W197" s="101"/>
      <c r="X197" s="101"/>
      <c r="Y197" s="101"/>
      <c r="Z197" s="101"/>
      <c r="AA197" s="101"/>
      <c r="AB197" s="101"/>
      <c r="AC197" s="101"/>
      <c r="AD197" s="101"/>
    </row>
    <row r="198" ht="30.0" customHeight="1">
      <c r="A198" s="141"/>
      <c r="B198" s="101"/>
      <c r="C198" s="101"/>
      <c r="D198" s="101"/>
      <c r="E198" s="101"/>
      <c r="F198" s="101"/>
      <c r="G198" s="101"/>
      <c r="H198" s="101"/>
      <c r="I198" s="101"/>
      <c r="J198" s="142"/>
      <c r="K198" s="101"/>
      <c r="L198" s="101"/>
      <c r="M198" s="101"/>
      <c r="N198" s="101"/>
      <c r="O198" s="101"/>
      <c r="P198" s="101"/>
      <c r="Q198" s="101"/>
      <c r="R198" s="101"/>
      <c r="S198" s="101"/>
      <c r="T198" s="101"/>
      <c r="U198" s="101"/>
      <c r="V198" s="101"/>
      <c r="W198" s="101"/>
      <c r="X198" s="101"/>
      <c r="Y198" s="101"/>
      <c r="Z198" s="101"/>
      <c r="AA198" s="101"/>
      <c r="AB198" s="101"/>
      <c r="AC198" s="101"/>
      <c r="AD198" s="101"/>
    </row>
    <row r="199" ht="30.0" customHeight="1">
      <c r="A199" s="141"/>
      <c r="B199" s="101"/>
      <c r="C199" s="101"/>
      <c r="D199" s="101"/>
      <c r="E199" s="101"/>
      <c r="F199" s="101"/>
      <c r="G199" s="101"/>
      <c r="H199" s="101"/>
      <c r="I199" s="101"/>
      <c r="J199" s="142"/>
      <c r="K199" s="101"/>
      <c r="L199" s="101"/>
      <c r="M199" s="101"/>
      <c r="N199" s="101"/>
      <c r="O199" s="101"/>
      <c r="P199" s="101"/>
      <c r="Q199" s="101"/>
      <c r="R199" s="101"/>
      <c r="S199" s="101"/>
      <c r="T199" s="101"/>
      <c r="U199" s="101"/>
      <c r="V199" s="101"/>
      <c r="W199" s="101"/>
      <c r="X199" s="101"/>
      <c r="Y199" s="101"/>
      <c r="Z199" s="101"/>
      <c r="AA199" s="101"/>
      <c r="AB199" s="101"/>
      <c r="AC199" s="101"/>
      <c r="AD199" s="101"/>
    </row>
    <row r="200" ht="30.0" customHeight="1">
      <c r="A200" s="141"/>
      <c r="B200" s="101"/>
      <c r="C200" s="101"/>
      <c r="D200" s="101"/>
      <c r="E200" s="101"/>
      <c r="F200" s="101"/>
      <c r="G200" s="101"/>
      <c r="H200" s="101"/>
      <c r="I200" s="101"/>
      <c r="J200" s="142"/>
      <c r="K200" s="101"/>
      <c r="L200" s="101"/>
      <c r="M200" s="101"/>
      <c r="N200" s="101"/>
      <c r="O200" s="101"/>
      <c r="P200" s="101"/>
      <c r="Q200" s="101"/>
      <c r="R200" s="101"/>
      <c r="S200" s="101"/>
      <c r="T200" s="101"/>
      <c r="U200" s="101"/>
      <c r="V200" s="101"/>
      <c r="W200" s="101"/>
      <c r="X200" s="101"/>
      <c r="Y200" s="101"/>
      <c r="Z200" s="101"/>
      <c r="AA200" s="101"/>
      <c r="AB200" s="101"/>
      <c r="AC200" s="101"/>
      <c r="AD200" s="101"/>
    </row>
    <row r="201" ht="30.0" customHeight="1">
      <c r="A201" s="141"/>
      <c r="B201" s="101"/>
      <c r="C201" s="101"/>
      <c r="D201" s="101"/>
      <c r="E201" s="101"/>
      <c r="F201" s="101"/>
      <c r="G201" s="101"/>
      <c r="H201" s="101"/>
      <c r="I201" s="101"/>
      <c r="J201" s="142"/>
      <c r="K201" s="101"/>
      <c r="L201" s="101"/>
      <c r="M201" s="101"/>
      <c r="N201" s="101"/>
      <c r="O201" s="101"/>
      <c r="P201" s="101"/>
      <c r="Q201" s="101"/>
      <c r="R201" s="101"/>
      <c r="S201" s="101"/>
      <c r="T201" s="101"/>
      <c r="U201" s="101"/>
      <c r="V201" s="101"/>
      <c r="W201" s="101"/>
      <c r="X201" s="101"/>
      <c r="Y201" s="101"/>
      <c r="Z201" s="101"/>
      <c r="AA201" s="101"/>
      <c r="AB201" s="101"/>
      <c r="AC201" s="101"/>
      <c r="AD201" s="101"/>
    </row>
    <row r="202" ht="30.0" customHeight="1">
      <c r="A202" s="141"/>
      <c r="B202" s="101"/>
      <c r="C202" s="101"/>
      <c r="D202" s="101"/>
      <c r="E202" s="101"/>
      <c r="F202" s="101"/>
      <c r="G202" s="101"/>
      <c r="H202" s="101"/>
      <c r="I202" s="101"/>
      <c r="J202" s="142"/>
      <c r="K202" s="101"/>
      <c r="L202" s="101"/>
      <c r="M202" s="101"/>
      <c r="N202" s="101"/>
      <c r="O202" s="101"/>
      <c r="P202" s="101"/>
      <c r="Q202" s="101"/>
      <c r="R202" s="101"/>
      <c r="S202" s="101"/>
      <c r="T202" s="101"/>
      <c r="U202" s="101"/>
      <c r="V202" s="101"/>
      <c r="W202" s="101"/>
      <c r="X202" s="101"/>
      <c r="Y202" s="101"/>
      <c r="Z202" s="101"/>
      <c r="AA202" s="101"/>
      <c r="AB202" s="101"/>
      <c r="AC202" s="101"/>
      <c r="AD202" s="101"/>
    </row>
    <row r="203" ht="30.0" customHeight="1">
      <c r="A203" s="141"/>
      <c r="B203" s="101"/>
      <c r="C203" s="101"/>
      <c r="D203" s="101"/>
      <c r="E203" s="101"/>
      <c r="F203" s="101"/>
      <c r="G203" s="101"/>
      <c r="H203" s="101"/>
      <c r="I203" s="101"/>
      <c r="J203" s="142"/>
      <c r="K203" s="101"/>
      <c r="L203" s="101"/>
      <c r="M203" s="101"/>
      <c r="N203" s="101"/>
      <c r="O203" s="101"/>
      <c r="P203" s="101"/>
      <c r="Q203" s="101"/>
      <c r="R203" s="101"/>
      <c r="S203" s="101"/>
      <c r="T203" s="101"/>
      <c r="U203" s="101"/>
      <c r="V203" s="101"/>
      <c r="W203" s="101"/>
      <c r="X203" s="101"/>
      <c r="Y203" s="101"/>
      <c r="Z203" s="101"/>
      <c r="AA203" s="101"/>
      <c r="AB203" s="101"/>
      <c r="AC203" s="101"/>
      <c r="AD203" s="101"/>
    </row>
    <row r="204" ht="30.0" customHeight="1">
      <c r="A204" s="141"/>
      <c r="B204" s="101"/>
      <c r="C204" s="101"/>
      <c r="D204" s="101"/>
      <c r="E204" s="101"/>
      <c r="F204" s="101"/>
      <c r="G204" s="101"/>
      <c r="H204" s="101"/>
      <c r="I204" s="101"/>
      <c r="J204" s="142"/>
      <c r="K204" s="101"/>
      <c r="L204" s="101"/>
      <c r="M204" s="101"/>
      <c r="N204" s="101"/>
      <c r="O204" s="101"/>
      <c r="P204" s="101"/>
      <c r="Q204" s="101"/>
      <c r="R204" s="101"/>
      <c r="S204" s="101"/>
      <c r="T204" s="101"/>
      <c r="U204" s="101"/>
      <c r="V204" s="101"/>
      <c r="W204" s="101"/>
      <c r="X204" s="101"/>
      <c r="Y204" s="101"/>
      <c r="Z204" s="101"/>
      <c r="AA204" s="101"/>
      <c r="AB204" s="101"/>
      <c r="AC204" s="101"/>
      <c r="AD204" s="101"/>
    </row>
    <row r="205" ht="30.0" customHeight="1">
      <c r="A205" s="141"/>
      <c r="B205" s="101"/>
      <c r="C205" s="101"/>
      <c r="D205" s="101"/>
      <c r="E205" s="101"/>
      <c r="F205" s="101"/>
      <c r="G205" s="101"/>
      <c r="H205" s="101"/>
      <c r="I205" s="101"/>
      <c r="J205" s="142"/>
      <c r="K205" s="101"/>
      <c r="L205" s="101"/>
      <c r="M205" s="101"/>
      <c r="N205" s="101"/>
      <c r="O205" s="101"/>
      <c r="P205" s="101"/>
      <c r="Q205" s="101"/>
      <c r="R205" s="101"/>
      <c r="S205" s="101"/>
      <c r="T205" s="101"/>
      <c r="U205" s="101"/>
      <c r="V205" s="101"/>
      <c r="W205" s="101"/>
      <c r="X205" s="101"/>
      <c r="Y205" s="101"/>
      <c r="Z205" s="101"/>
      <c r="AA205" s="101"/>
      <c r="AB205" s="101"/>
      <c r="AC205" s="101"/>
      <c r="AD205" s="101"/>
    </row>
    <row r="206" ht="30.0" customHeight="1">
      <c r="A206" s="141"/>
      <c r="B206" s="101"/>
      <c r="C206" s="101"/>
      <c r="D206" s="101"/>
      <c r="E206" s="101"/>
      <c r="F206" s="101"/>
      <c r="G206" s="101"/>
      <c r="H206" s="101"/>
      <c r="I206" s="101"/>
      <c r="J206" s="142"/>
      <c r="K206" s="101"/>
      <c r="L206" s="101"/>
      <c r="M206" s="101"/>
      <c r="N206" s="101"/>
      <c r="O206" s="101"/>
      <c r="P206" s="101"/>
      <c r="Q206" s="101"/>
      <c r="R206" s="101"/>
      <c r="S206" s="101"/>
      <c r="T206" s="101"/>
      <c r="U206" s="101"/>
      <c r="V206" s="101"/>
      <c r="W206" s="101"/>
      <c r="X206" s="101"/>
      <c r="Y206" s="101"/>
      <c r="Z206" s="101"/>
      <c r="AA206" s="101"/>
      <c r="AB206" s="101"/>
      <c r="AC206" s="101"/>
      <c r="AD206" s="101"/>
    </row>
    <row r="207" ht="30.0" customHeight="1">
      <c r="A207" s="141"/>
      <c r="B207" s="101"/>
      <c r="C207" s="101"/>
      <c r="D207" s="101"/>
      <c r="E207" s="101"/>
      <c r="F207" s="101"/>
      <c r="G207" s="101"/>
      <c r="H207" s="101"/>
      <c r="I207" s="101"/>
      <c r="J207" s="142"/>
      <c r="K207" s="101"/>
      <c r="L207" s="101"/>
      <c r="M207" s="101"/>
      <c r="N207" s="101"/>
      <c r="O207" s="101"/>
      <c r="P207" s="101"/>
      <c r="Q207" s="101"/>
      <c r="R207" s="101"/>
      <c r="S207" s="101"/>
      <c r="T207" s="101"/>
      <c r="U207" s="101"/>
      <c r="V207" s="101"/>
      <c r="W207" s="101"/>
      <c r="X207" s="101"/>
      <c r="Y207" s="101"/>
      <c r="Z207" s="101"/>
      <c r="AA207" s="101"/>
      <c r="AB207" s="101"/>
      <c r="AC207" s="101"/>
      <c r="AD207" s="101"/>
    </row>
    <row r="208" ht="30.0" customHeight="1">
      <c r="A208" s="141"/>
      <c r="B208" s="101"/>
      <c r="C208" s="101"/>
      <c r="D208" s="101"/>
      <c r="E208" s="101"/>
      <c r="F208" s="101"/>
      <c r="G208" s="101"/>
      <c r="H208" s="101"/>
      <c r="I208" s="101"/>
      <c r="J208" s="142"/>
      <c r="K208" s="101"/>
      <c r="L208" s="101"/>
      <c r="M208" s="101"/>
      <c r="N208" s="101"/>
      <c r="O208" s="101"/>
      <c r="P208" s="101"/>
      <c r="Q208" s="101"/>
      <c r="R208" s="101"/>
      <c r="S208" s="101"/>
      <c r="T208" s="101"/>
      <c r="U208" s="101"/>
      <c r="V208" s="101"/>
      <c r="W208" s="101"/>
      <c r="X208" s="101"/>
      <c r="Y208" s="101"/>
      <c r="Z208" s="101"/>
      <c r="AA208" s="101"/>
      <c r="AB208" s="101"/>
      <c r="AC208" s="101"/>
      <c r="AD208" s="101"/>
    </row>
    <row r="209" ht="30.0" customHeight="1">
      <c r="A209" s="141"/>
      <c r="B209" s="101"/>
      <c r="C209" s="101"/>
      <c r="D209" s="101"/>
      <c r="E209" s="101"/>
      <c r="F209" s="101"/>
      <c r="G209" s="101"/>
      <c r="H209" s="101"/>
      <c r="I209" s="101"/>
      <c r="J209" s="142"/>
      <c r="K209" s="101"/>
      <c r="L209" s="101"/>
      <c r="M209" s="101"/>
      <c r="N209" s="101"/>
      <c r="O209" s="101"/>
      <c r="P209" s="101"/>
      <c r="Q209" s="101"/>
      <c r="R209" s="101"/>
      <c r="S209" s="101"/>
      <c r="T209" s="101"/>
      <c r="U209" s="101"/>
      <c r="V209" s="101"/>
      <c r="W209" s="101"/>
      <c r="X209" s="101"/>
      <c r="Y209" s="101"/>
      <c r="Z209" s="101"/>
      <c r="AA209" s="101"/>
      <c r="AB209" s="101"/>
      <c r="AC209" s="101"/>
      <c r="AD209" s="101"/>
    </row>
    <row r="210" ht="30.0" customHeight="1">
      <c r="A210" s="141"/>
      <c r="B210" s="101"/>
      <c r="C210" s="101"/>
      <c r="D210" s="101"/>
      <c r="E210" s="101"/>
      <c r="F210" s="101"/>
      <c r="G210" s="101"/>
      <c r="H210" s="101"/>
      <c r="I210" s="101"/>
      <c r="J210" s="142"/>
      <c r="K210" s="101"/>
      <c r="L210" s="101"/>
      <c r="M210" s="101"/>
      <c r="N210" s="101"/>
      <c r="O210" s="101"/>
      <c r="P210" s="101"/>
      <c r="Q210" s="101"/>
      <c r="R210" s="101"/>
      <c r="S210" s="101"/>
      <c r="T210" s="101"/>
      <c r="U210" s="101"/>
      <c r="V210" s="101"/>
      <c r="W210" s="101"/>
      <c r="X210" s="101"/>
      <c r="Y210" s="101"/>
      <c r="Z210" s="101"/>
      <c r="AA210" s="101"/>
      <c r="AB210" s="101"/>
      <c r="AC210" s="101"/>
      <c r="AD210" s="101"/>
    </row>
    <row r="211" ht="30.0" customHeight="1">
      <c r="A211" s="141"/>
      <c r="B211" s="101"/>
      <c r="C211" s="101"/>
      <c r="D211" s="101"/>
      <c r="E211" s="101"/>
      <c r="F211" s="101"/>
      <c r="G211" s="101"/>
      <c r="H211" s="101"/>
      <c r="I211" s="101"/>
      <c r="J211" s="142"/>
      <c r="K211" s="101"/>
      <c r="L211" s="101"/>
      <c r="M211" s="101"/>
      <c r="N211" s="101"/>
      <c r="O211" s="101"/>
      <c r="P211" s="101"/>
      <c r="Q211" s="101"/>
      <c r="R211" s="101"/>
      <c r="S211" s="101"/>
      <c r="T211" s="101"/>
      <c r="U211" s="101"/>
      <c r="V211" s="101"/>
      <c r="W211" s="101"/>
      <c r="X211" s="101"/>
      <c r="Y211" s="101"/>
      <c r="Z211" s="101"/>
      <c r="AA211" s="101"/>
      <c r="AB211" s="101"/>
      <c r="AC211" s="101"/>
      <c r="AD211" s="101"/>
    </row>
    <row r="212" ht="30.0" customHeight="1">
      <c r="A212" s="141"/>
      <c r="B212" s="101"/>
      <c r="C212" s="101"/>
      <c r="D212" s="101"/>
      <c r="E212" s="101"/>
      <c r="F212" s="101"/>
      <c r="G212" s="101"/>
      <c r="H212" s="101"/>
      <c r="I212" s="101"/>
      <c r="J212" s="142"/>
      <c r="K212" s="101"/>
      <c r="L212" s="101"/>
      <c r="M212" s="101"/>
      <c r="N212" s="101"/>
      <c r="O212" s="101"/>
      <c r="P212" s="101"/>
      <c r="Q212" s="101"/>
      <c r="R212" s="101"/>
      <c r="S212" s="101"/>
      <c r="T212" s="101"/>
      <c r="U212" s="101"/>
      <c r="V212" s="101"/>
      <c r="W212" s="101"/>
      <c r="X212" s="101"/>
      <c r="Y212" s="101"/>
      <c r="Z212" s="101"/>
      <c r="AA212" s="101"/>
      <c r="AB212" s="101"/>
      <c r="AC212" s="101"/>
      <c r="AD212" s="101"/>
    </row>
    <row r="213" ht="30.0" customHeight="1">
      <c r="A213" s="141"/>
      <c r="B213" s="101"/>
      <c r="C213" s="101"/>
      <c r="D213" s="101"/>
      <c r="E213" s="101"/>
      <c r="F213" s="101"/>
      <c r="G213" s="101"/>
      <c r="H213" s="101"/>
      <c r="I213" s="101"/>
      <c r="J213" s="142"/>
      <c r="K213" s="101"/>
      <c r="L213" s="101"/>
      <c r="M213" s="101"/>
      <c r="N213" s="101"/>
      <c r="O213" s="101"/>
      <c r="P213" s="101"/>
      <c r="Q213" s="101"/>
      <c r="R213" s="101"/>
      <c r="S213" s="101"/>
      <c r="T213" s="101"/>
      <c r="U213" s="101"/>
      <c r="V213" s="101"/>
      <c r="W213" s="101"/>
      <c r="X213" s="101"/>
      <c r="Y213" s="101"/>
      <c r="Z213" s="101"/>
      <c r="AA213" s="101"/>
      <c r="AB213" s="101"/>
      <c r="AC213" s="101"/>
      <c r="AD213" s="101"/>
    </row>
    <row r="214" ht="30.0" customHeight="1">
      <c r="A214" s="141"/>
      <c r="B214" s="101"/>
      <c r="C214" s="101"/>
      <c r="D214" s="101"/>
      <c r="E214" s="101"/>
      <c r="F214" s="101"/>
      <c r="G214" s="101"/>
      <c r="H214" s="101"/>
      <c r="I214" s="101"/>
      <c r="J214" s="142"/>
      <c r="K214" s="101"/>
      <c r="L214" s="101"/>
      <c r="M214" s="101"/>
      <c r="N214" s="101"/>
      <c r="O214" s="101"/>
      <c r="P214" s="101"/>
      <c r="Q214" s="101"/>
      <c r="R214" s="101"/>
      <c r="S214" s="101"/>
      <c r="T214" s="101"/>
      <c r="U214" s="101"/>
      <c r="V214" s="101"/>
      <c r="W214" s="101"/>
      <c r="X214" s="101"/>
      <c r="Y214" s="101"/>
      <c r="Z214" s="101"/>
      <c r="AA214" s="101"/>
      <c r="AB214" s="101"/>
      <c r="AC214" s="101"/>
      <c r="AD214" s="101"/>
    </row>
    <row r="215" ht="30.0" customHeight="1">
      <c r="A215" s="141"/>
      <c r="B215" s="101"/>
      <c r="C215" s="101"/>
      <c r="D215" s="101"/>
      <c r="E215" s="101"/>
      <c r="F215" s="101"/>
      <c r="G215" s="101"/>
      <c r="H215" s="101"/>
      <c r="I215" s="101"/>
      <c r="J215" s="142"/>
      <c r="K215" s="101"/>
      <c r="L215" s="101"/>
      <c r="M215" s="101"/>
      <c r="N215" s="101"/>
      <c r="O215" s="101"/>
      <c r="P215" s="101"/>
      <c r="Q215" s="101"/>
      <c r="R215" s="101"/>
      <c r="S215" s="101"/>
      <c r="T215" s="101"/>
      <c r="U215" s="101"/>
      <c r="V215" s="101"/>
      <c r="W215" s="101"/>
      <c r="X215" s="101"/>
      <c r="Y215" s="101"/>
      <c r="Z215" s="101"/>
      <c r="AA215" s="101"/>
      <c r="AB215" s="101"/>
      <c r="AC215" s="101"/>
      <c r="AD215" s="101"/>
    </row>
    <row r="216" ht="30.0" customHeight="1">
      <c r="A216" s="141"/>
      <c r="B216" s="101"/>
      <c r="C216" s="101"/>
      <c r="D216" s="101"/>
      <c r="E216" s="101"/>
      <c r="F216" s="101"/>
      <c r="G216" s="101"/>
      <c r="H216" s="101"/>
      <c r="I216" s="101"/>
      <c r="J216" s="142"/>
      <c r="K216" s="101"/>
      <c r="L216" s="101"/>
      <c r="M216" s="101"/>
      <c r="N216" s="101"/>
      <c r="O216" s="101"/>
      <c r="P216" s="101"/>
      <c r="Q216" s="101"/>
      <c r="R216" s="101"/>
      <c r="S216" s="101"/>
      <c r="T216" s="101"/>
      <c r="U216" s="101"/>
      <c r="V216" s="101"/>
      <c r="W216" s="101"/>
      <c r="X216" s="101"/>
      <c r="Y216" s="101"/>
      <c r="Z216" s="101"/>
      <c r="AA216" s="101"/>
      <c r="AB216" s="101"/>
      <c r="AC216" s="101"/>
      <c r="AD216" s="101"/>
    </row>
    <row r="217" ht="30.0" customHeight="1">
      <c r="A217" s="141"/>
      <c r="B217" s="101"/>
      <c r="C217" s="101"/>
      <c r="D217" s="101"/>
      <c r="E217" s="101"/>
      <c r="F217" s="101"/>
      <c r="G217" s="101"/>
      <c r="H217" s="101"/>
      <c r="I217" s="101"/>
      <c r="J217" s="142"/>
      <c r="K217" s="101"/>
      <c r="L217" s="101"/>
      <c r="M217" s="101"/>
      <c r="N217" s="101"/>
      <c r="O217" s="101"/>
      <c r="P217" s="101"/>
      <c r="Q217" s="101"/>
      <c r="R217" s="101"/>
      <c r="S217" s="101"/>
      <c r="T217" s="101"/>
      <c r="U217" s="101"/>
      <c r="V217" s="101"/>
      <c r="W217" s="101"/>
      <c r="X217" s="101"/>
      <c r="Y217" s="101"/>
      <c r="Z217" s="101"/>
      <c r="AA217" s="101"/>
      <c r="AB217" s="101"/>
      <c r="AC217" s="101"/>
      <c r="AD217" s="101"/>
    </row>
    <row r="218" ht="30.0" customHeight="1">
      <c r="A218" s="141"/>
      <c r="B218" s="101"/>
      <c r="C218" s="101"/>
      <c r="D218" s="101"/>
      <c r="E218" s="101"/>
      <c r="F218" s="101"/>
      <c r="G218" s="101"/>
      <c r="H218" s="101"/>
      <c r="I218" s="101"/>
      <c r="J218" s="142"/>
      <c r="K218" s="101"/>
      <c r="L218" s="101"/>
      <c r="M218" s="101"/>
      <c r="N218" s="101"/>
      <c r="O218" s="101"/>
      <c r="P218" s="101"/>
      <c r="Q218" s="101"/>
      <c r="R218" s="101"/>
      <c r="S218" s="101"/>
      <c r="T218" s="101"/>
      <c r="U218" s="101"/>
      <c r="V218" s="101"/>
      <c r="W218" s="101"/>
      <c r="X218" s="101"/>
      <c r="Y218" s="101"/>
      <c r="Z218" s="101"/>
      <c r="AA218" s="101"/>
      <c r="AB218" s="101"/>
      <c r="AC218" s="101"/>
      <c r="AD218" s="101"/>
    </row>
    <row r="219" ht="30.0" customHeight="1">
      <c r="A219" s="141"/>
      <c r="B219" s="101"/>
      <c r="C219" s="101"/>
      <c r="D219" s="101"/>
      <c r="E219" s="101"/>
      <c r="F219" s="101"/>
      <c r="G219" s="101"/>
      <c r="H219" s="101"/>
      <c r="I219" s="101"/>
      <c r="J219" s="142"/>
      <c r="K219" s="101"/>
      <c r="L219" s="101"/>
      <c r="M219" s="101"/>
      <c r="N219" s="101"/>
      <c r="O219" s="101"/>
      <c r="P219" s="101"/>
      <c r="Q219" s="101"/>
      <c r="R219" s="101"/>
      <c r="S219" s="101"/>
      <c r="T219" s="101"/>
      <c r="U219" s="101"/>
      <c r="V219" s="101"/>
      <c r="W219" s="101"/>
      <c r="X219" s="101"/>
      <c r="Y219" s="101"/>
      <c r="Z219" s="101"/>
      <c r="AA219" s="101"/>
      <c r="AB219" s="101"/>
      <c r="AC219" s="101"/>
      <c r="AD219" s="101"/>
    </row>
    <row r="220" ht="30.0" customHeight="1">
      <c r="A220" s="141"/>
      <c r="B220" s="101"/>
      <c r="C220" s="101"/>
      <c r="D220" s="101"/>
      <c r="E220" s="101"/>
      <c r="F220" s="101"/>
      <c r="G220" s="101"/>
      <c r="H220" s="101"/>
      <c r="I220" s="101"/>
      <c r="J220" s="142"/>
      <c r="K220" s="101"/>
      <c r="L220" s="101"/>
      <c r="M220" s="101"/>
      <c r="N220" s="101"/>
      <c r="O220" s="101"/>
      <c r="P220" s="101"/>
      <c r="Q220" s="101"/>
      <c r="R220" s="101"/>
      <c r="S220" s="101"/>
      <c r="T220" s="101"/>
      <c r="U220" s="101"/>
      <c r="V220" s="101"/>
      <c r="W220" s="101"/>
      <c r="X220" s="101"/>
      <c r="Y220" s="101"/>
      <c r="Z220" s="101"/>
      <c r="AA220" s="101"/>
      <c r="AB220" s="101"/>
      <c r="AC220" s="101"/>
      <c r="AD220" s="101"/>
    </row>
    <row r="221" ht="30.0" customHeight="1">
      <c r="A221" s="141"/>
      <c r="B221" s="101"/>
      <c r="C221" s="101"/>
      <c r="D221" s="101"/>
      <c r="E221" s="101"/>
      <c r="F221" s="101"/>
      <c r="G221" s="101"/>
      <c r="H221" s="101"/>
      <c r="I221" s="101"/>
      <c r="J221" s="142"/>
      <c r="K221" s="101"/>
      <c r="L221" s="101"/>
      <c r="M221" s="101"/>
      <c r="N221" s="101"/>
      <c r="O221" s="101"/>
      <c r="P221" s="101"/>
      <c r="Q221" s="101"/>
      <c r="R221" s="101"/>
      <c r="S221" s="101"/>
      <c r="T221" s="101"/>
      <c r="U221" s="101"/>
      <c r="V221" s="101"/>
      <c r="W221" s="101"/>
      <c r="X221" s="101"/>
      <c r="Y221" s="101"/>
      <c r="Z221" s="101"/>
      <c r="AA221" s="101"/>
      <c r="AB221" s="101"/>
      <c r="AC221" s="101"/>
      <c r="AD221" s="101"/>
    </row>
    <row r="222" ht="30.0" customHeight="1">
      <c r="A222" s="141"/>
      <c r="B222" s="101"/>
      <c r="C222" s="101"/>
      <c r="D222" s="101"/>
      <c r="E222" s="101"/>
      <c r="F222" s="101"/>
      <c r="G222" s="101"/>
      <c r="H222" s="101"/>
      <c r="I222" s="101"/>
      <c r="J222" s="142"/>
      <c r="K222" s="101"/>
      <c r="L222" s="101"/>
      <c r="M222" s="101"/>
      <c r="N222" s="101"/>
      <c r="O222" s="101"/>
      <c r="P222" s="101"/>
      <c r="Q222" s="101"/>
      <c r="R222" s="101"/>
      <c r="S222" s="101"/>
      <c r="T222" s="101"/>
      <c r="U222" s="101"/>
      <c r="V222" s="101"/>
      <c r="W222" s="101"/>
      <c r="X222" s="101"/>
      <c r="Y222" s="101"/>
      <c r="Z222" s="101"/>
      <c r="AA222" s="101"/>
      <c r="AB222" s="101"/>
      <c r="AC222" s="101"/>
      <c r="AD222" s="101"/>
    </row>
    <row r="223" ht="30.0" customHeight="1">
      <c r="A223" s="141"/>
      <c r="B223" s="101"/>
      <c r="C223" s="101"/>
      <c r="D223" s="101"/>
      <c r="E223" s="101"/>
      <c r="F223" s="101"/>
      <c r="G223" s="101"/>
      <c r="H223" s="101"/>
      <c r="I223" s="101"/>
      <c r="J223" s="142"/>
      <c r="K223" s="101"/>
      <c r="L223" s="101"/>
      <c r="M223" s="101"/>
      <c r="N223" s="101"/>
      <c r="O223" s="101"/>
      <c r="P223" s="101"/>
      <c r="Q223" s="101"/>
      <c r="R223" s="101"/>
      <c r="S223" s="101"/>
      <c r="T223" s="101"/>
      <c r="U223" s="101"/>
      <c r="V223" s="101"/>
      <c r="W223" s="101"/>
      <c r="X223" s="101"/>
      <c r="Y223" s="101"/>
      <c r="Z223" s="101"/>
      <c r="AA223" s="101"/>
      <c r="AB223" s="101"/>
      <c r="AC223" s="101"/>
      <c r="AD223" s="101"/>
    </row>
    <row r="224" ht="30.0" customHeight="1">
      <c r="A224" s="141"/>
      <c r="B224" s="101"/>
      <c r="C224" s="101"/>
      <c r="D224" s="101"/>
      <c r="E224" s="101"/>
      <c r="F224" s="101"/>
      <c r="G224" s="101"/>
      <c r="H224" s="101"/>
      <c r="I224" s="101"/>
      <c r="J224" s="142"/>
      <c r="K224" s="101"/>
      <c r="L224" s="101"/>
      <c r="M224" s="101"/>
      <c r="N224" s="101"/>
      <c r="O224" s="101"/>
      <c r="P224" s="101"/>
      <c r="Q224" s="101"/>
      <c r="R224" s="101"/>
      <c r="S224" s="101"/>
      <c r="T224" s="101"/>
      <c r="U224" s="101"/>
      <c r="V224" s="101"/>
      <c r="W224" s="101"/>
      <c r="X224" s="101"/>
      <c r="Y224" s="101"/>
      <c r="Z224" s="101"/>
      <c r="AA224" s="101"/>
      <c r="AB224" s="101"/>
      <c r="AC224" s="101"/>
      <c r="AD224" s="101"/>
    </row>
    <row r="225" ht="30.0" customHeight="1">
      <c r="A225" s="141"/>
      <c r="B225" s="101"/>
      <c r="C225" s="101"/>
      <c r="D225" s="101"/>
      <c r="E225" s="101"/>
      <c r="F225" s="101"/>
      <c r="G225" s="101"/>
      <c r="H225" s="101"/>
      <c r="I225" s="101"/>
      <c r="J225" s="142"/>
      <c r="K225" s="101"/>
      <c r="L225" s="101"/>
      <c r="M225" s="101"/>
      <c r="N225" s="101"/>
      <c r="O225" s="101"/>
      <c r="P225" s="101"/>
      <c r="Q225" s="101"/>
      <c r="R225" s="101"/>
      <c r="S225" s="101"/>
      <c r="T225" s="101"/>
      <c r="U225" s="101"/>
      <c r="V225" s="101"/>
      <c r="W225" s="101"/>
      <c r="X225" s="101"/>
      <c r="Y225" s="101"/>
      <c r="Z225" s="101"/>
      <c r="AA225" s="101"/>
      <c r="AB225" s="101"/>
      <c r="AC225" s="101"/>
      <c r="AD225" s="101"/>
    </row>
    <row r="226" ht="30.0" customHeight="1">
      <c r="A226" s="141"/>
      <c r="B226" s="101"/>
      <c r="C226" s="101"/>
      <c r="D226" s="101"/>
      <c r="E226" s="101"/>
      <c r="F226" s="101"/>
      <c r="G226" s="101"/>
      <c r="H226" s="101"/>
      <c r="I226" s="101"/>
      <c r="J226" s="142"/>
      <c r="K226" s="101"/>
      <c r="L226" s="101"/>
      <c r="M226" s="101"/>
      <c r="N226" s="101"/>
      <c r="O226" s="101"/>
      <c r="P226" s="101"/>
      <c r="Q226" s="101"/>
      <c r="R226" s="101"/>
      <c r="S226" s="101"/>
      <c r="T226" s="101"/>
      <c r="U226" s="101"/>
      <c r="V226" s="101"/>
      <c r="W226" s="101"/>
      <c r="X226" s="101"/>
      <c r="Y226" s="101"/>
      <c r="Z226" s="101"/>
      <c r="AA226" s="101"/>
      <c r="AB226" s="101"/>
      <c r="AC226" s="101"/>
      <c r="AD226" s="101"/>
    </row>
    <row r="227" ht="30.0" customHeight="1">
      <c r="A227" s="141"/>
      <c r="B227" s="101"/>
      <c r="C227" s="101"/>
      <c r="D227" s="101"/>
      <c r="E227" s="101"/>
      <c r="F227" s="101"/>
      <c r="G227" s="101"/>
      <c r="H227" s="101"/>
      <c r="I227" s="101"/>
      <c r="J227" s="142"/>
      <c r="K227" s="101"/>
      <c r="L227" s="101"/>
      <c r="M227" s="101"/>
      <c r="N227" s="101"/>
      <c r="O227" s="101"/>
      <c r="P227" s="101"/>
      <c r="Q227" s="101"/>
      <c r="R227" s="101"/>
      <c r="S227" s="101"/>
      <c r="T227" s="101"/>
      <c r="U227" s="101"/>
      <c r="V227" s="101"/>
      <c r="W227" s="101"/>
      <c r="X227" s="101"/>
      <c r="Y227" s="101"/>
      <c r="Z227" s="101"/>
      <c r="AA227" s="101"/>
      <c r="AB227" s="101"/>
      <c r="AC227" s="101"/>
      <c r="AD227" s="101"/>
    </row>
    <row r="228" ht="30.0" customHeight="1">
      <c r="A228" s="141"/>
      <c r="B228" s="101"/>
      <c r="C228" s="101"/>
      <c r="D228" s="101"/>
      <c r="E228" s="101"/>
      <c r="F228" s="101"/>
      <c r="G228" s="101"/>
      <c r="H228" s="101"/>
      <c r="I228" s="101"/>
      <c r="J228" s="142"/>
      <c r="K228" s="101"/>
      <c r="L228" s="101"/>
      <c r="M228" s="101"/>
      <c r="N228" s="101"/>
      <c r="O228" s="101"/>
      <c r="P228" s="101"/>
      <c r="Q228" s="101"/>
      <c r="R228" s="101"/>
      <c r="S228" s="101"/>
      <c r="T228" s="101"/>
      <c r="U228" s="101"/>
      <c r="V228" s="101"/>
      <c r="W228" s="101"/>
      <c r="X228" s="101"/>
      <c r="Y228" s="101"/>
      <c r="Z228" s="101"/>
      <c r="AA228" s="101"/>
      <c r="AB228" s="101"/>
      <c r="AC228" s="101"/>
      <c r="AD228" s="101"/>
    </row>
    <row r="229" ht="30.0" customHeight="1">
      <c r="A229" s="141"/>
      <c r="B229" s="101"/>
      <c r="C229" s="101"/>
      <c r="D229" s="101"/>
      <c r="E229" s="101"/>
      <c r="F229" s="101"/>
      <c r="G229" s="101"/>
      <c r="H229" s="101"/>
      <c r="I229" s="101"/>
      <c r="J229" s="142"/>
      <c r="K229" s="101"/>
      <c r="L229" s="101"/>
      <c r="M229" s="101"/>
      <c r="N229" s="101"/>
      <c r="O229" s="101"/>
      <c r="P229" s="101"/>
      <c r="Q229" s="101"/>
      <c r="R229" s="101"/>
      <c r="S229" s="101"/>
      <c r="T229" s="101"/>
      <c r="U229" s="101"/>
      <c r="V229" s="101"/>
      <c r="W229" s="101"/>
      <c r="X229" s="101"/>
      <c r="Y229" s="101"/>
      <c r="Z229" s="101"/>
      <c r="AA229" s="101"/>
      <c r="AB229" s="101"/>
      <c r="AC229" s="101"/>
      <c r="AD229" s="101"/>
    </row>
    <row r="230" ht="30.0" customHeight="1">
      <c r="A230" s="141"/>
      <c r="B230" s="101"/>
      <c r="C230" s="101"/>
      <c r="D230" s="101"/>
      <c r="E230" s="101"/>
      <c r="F230" s="101"/>
      <c r="G230" s="101"/>
      <c r="H230" s="101"/>
      <c r="I230" s="101"/>
      <c r="J230" s="142"/>
      <c r="K230" s="101"/>
      <c r="L230" s="101"/>
      <c r="M230" s="101"/>
      <c r="N230" s="101"/>
      <c r="O230" s="101"/>
      <c r="P230" s="101"/>
      <c r="Q230" s="101"/>
      <c r="R230" s="101"/>
      <c r="S230" s="101"/>
      <c r="T230" s="101"/>
      <c r="U230" s="101"/>
      <c r="V230" s="101"/>
      <c r="W230" s="101"/>
      <c r="X230" s="101"/>
      <c r="Y230" s="101"/>
      <c r="Z230" s="101"/>
      <c r="AA230" s="101"/>
      <c r="AB230" s="101"/>
      <c r="AC230" s="101"/>
      <c r="AD230" s="101"/>
    </row>
    <row r="231" ht="30.0" customHeight="1">
      <c r="A231" s="141"/>
      <c r="B231" s="101"/>
      <c r="C231" s="101"/>
      <c r="D231" s="101"/>
      <c r="E231" s="101"/>
      <c r="F231" s="101"/>
      <c r="G231" s="101"/>
      <c r="H231" s="101"/>
      <c r="I231" s="101"/>
      <c r="J231" s="142"/>
      <c r="K231" s="101"/>
      <c r="L231" s="101"/>
      <c r="M231" s="101"/>
      <c r="N231" s="101"/>
      <c r="O231" s="101"/>
      <c r="P231" s="101"/>
      <c r="Q231" s="101"/>
      <c r="R231" s="101"/>
      <c r="S231" s="101"/>
      <c r="T231" s="101"/>
      <c r="U231" s="101"/>
      <c r="V231" s="101"/>
      <c r="W231" s="101"/>
      <c r="X231" s="101"/>
      <c r="Y231" s="101"/>
      <c r="Z231" s="101"/>
      <c r="AA231" s="101"/>
      <c r="AB231" s="101"/>
      <c r="AC231" s="101"/>
      <c r="AD231" s="101"/>
    </row>
    <row r="232" ht="30.0" customHeight="1">
      <c r="A232" s="141"/>
      <c r="B232" s="101"/>
      <c r="C232" s="101"/>
      <c r="D232" s="101"/>
      <c r="E232" s="101"/>
      <c r="F232" s="101"/>
      <c r="G232" s="101"/>
      <c r="H232" s="101"/>
      <c r="I232" s="101"/>
      <c r="J232" s="142"/>
      <c r="K232" s="101"/>
      <c r="L232" s="101"/>
      <c r="M232" s="101"/>
      <c r="N232" s="101"/>
      <c r="O232" s="101"/>
      <c r="P232" s="101"/>
      <c r="Q232" s="101"/>
      <c r="R232" s="101"/>
      <c r="S232" s="101"/>
      <c r="T232" s="101"/>
      <c r="U232" s="101"/>
      <c r="V232" s="101"/>
      <c r="W232" s="101"/>
      <c r="X232" s="101"/>
      <c r="Y232" s="101"/>
      <c r="Z232" s="101"/>
      <c r="AA232" s="101"/>
      <c r="AB232" s="101"/>
      <c r="AC232" s="101"/>
      <c r="AD232" s="101"/>
    </row>
    <row r="233" ht="30.0" customHeight="1">
      <c r="A233" s="141"/>
      <c r="B233" s="101"/>
      <c r="C233" s="101"/>
      <c r="D233" s="101"/>
      <c r="E233" s="101"/>
      <c r="F233" s="101"/>
      <c r="G233" s="101"/>
      <c r="H233" s="101"/>
      <c r="I233" s="101"/>
      <c r="J233" s="142"/>
      <c r="K233" s="101"/>
      <c r="L233" s="101"/>
      <c r="M233" s="101"/>
      <c r="N233" s="101"/>
      <c r="O233" s="101"/>
      <c r="P233" s="101"/>
      <c r="Q233" s="101"/>
      <c r="R233" s="101"/>
      <c r="S233" s="101"/>
      <c r="T233" s="101"/>
      <c r="U233" s="101"/>
      <c r="V233" s="101"/>
      <c r="W233" s="101"/>
      <c r="X233" s="101"/>
      <c r="Y233" s="101"/>
      <c r="Z233" s="101"/>
      <c r="AA233" s="101"/>
      <c r="AB233" s="101"/>
      <c r="AC233" s="101"/>
      <c r="AD233" s="101"/>
    </row>
    <row r="234" ht="30.0" customHeight="1">
      <c r="A234" s="141"/>
      <c r="B234" s="101"/>
      <c r="C234" s="101"/>
      <c r="D234" s="101"/>
      <c r="E234" s="101"/>
      <c r="F234" s="101"/>
      <c r="G234" s="101"/>
      <c r="H234" s="101"/>
      <c r="I234" s="101"/>
      <c r="J234" s="142"/>
      <c r="K234" s="101"/>
      <c r="L234" s="101"/>
      <c r="M234" s="101"/>
      <c r="N234" s="101"/>
      <c r="O234" s="101"/>
      <c r="P234" s="101"/>
      <c r="Q234" s="101"/>
      <c r="R234" s="101"/>
      <c r="S234" s="101"/>
      <c r="T234" s="101"/>
      <c r="U234" s="101"/>
      <c r="V234" s="101"/>
      <c r="W234" s="101"/>
      <c r="X234" s="101"/>
      <c r="Y234" s="101"/>
      <c r="Z234" s="101"/>
      <c r="AA234" s="101"/>
      <c r="AB234" s="101"/>
      <c r="AC234" s="101"/>
      <c r="AD234" s="101"/>
    </row>
    <row r="235" ht="30.0" customHeight="1">
      <c r="A235" s="141"/>
      <c r="B235" s="101"/>
      <c r="C235" s="101"/>
      <c r="D235" s="101"/>
      <c r="E235" s="101"/>
      <c r="F235" s="101"/>
      <c r="G235" s="101"/>
      <c r="H235" s="101"/>
      <c r="I235" s="101"/>
      <c r="J235" s="142"/>
      <c r="K235" s="101"/>
      <c r="L235" s="101"/>
      <c r="M235" s="101"/>
      <c r="N235" s="101"/>
      <c r="O235" s="101"/>
      <c r="P235" s="101"/>
      <c r="Q235" s="101"/>
      <c r="R235" s="101"/>
      <c r="S235" s="101"/>
      <c r="T235" s="101"/>
      <c r="U235" s="101"/>
      <c r="V235" s="101"/>
      <c r="W235" s="101"/>
      <c r="X235" s="101"/>
      <c r="Y235" s="101"/>
      <c r="Z235" s="101"/>
      <c r="AA235" s="101"/>
      <c r="AB235" s="101"/>
      <c r="AC235" s="101"/>
      <c r="AD235" s="101"/>
    </row>
    <row r="236" ht="30.0" customHeight="1">
      <c r="A236" s="141"/>
      <c r="B236" s="101"/>
      <c r="C236" s="101"/>
      <c r="D236" s="101"/>
      <c r="E236" s="101"/>
      <c r="F236" s="101"/>
      <c r="G236" s="101"/>
      <c r="H236" s="101"/>
      <c r="I236" s="101"/>
      <c r="J236" s="142"/>
      <c r="K236" s="101"/>
      <c r="L236" s="101"/>
      <c r="M236" s="101"/>
      <c r="N236" s="101"/>
      <c r="O236" s="101"/>
      <c r="P236" s="101"/>
      <c r="Q236" s="101"/>
      <c r="R236" s="101"/>
      <c r="S236" s="101"/>
      <c r="T236" s="101"/>
      <c r="U236" s="101"/>
      <c r="V236" s="101"/>
      <c r="W236" s="101"/>
      <c r="X236" s="101"/>
      <c r="Y236" s="101"/>
      <c r="Z236" s="101"/>
      <c r="AA236" s="101"/>
      <c r="AB236" s="101"/>
      <c r="AC236" s="101"/>
      <c r="AD236" s="101"/>
    </row>
    <row r="237" ht="30.0" customHeight="1">
      <c r="A237" s="141"/>
      <c r="B237" s="101"/>
      <c r="C237" s="101"/>
      <c r="D237" s="101"/>
      <c r="E237" s="101"/>
      <c r="F237" s="101"/>
      <c r="G237" s="101"/>
      <c r="H237" s="101"/>
      <c r="I237" s="101"/>
      <c r="J237" s="142"/>
      <c r="K237" s="101"/>
      <c r="L237" s="101"/>
      <c r="M237" s="101"/>
      <c r="N237" s="101"/>
      <c r="O237" s="101"/>
      <c r="P237" s="101"/>
      <c r="Q237" s="101"/>
      <c r="R237" s="101"/>
      <c r="S237" s="101"/>
      <c r="T237" s="101"/>
      <c r="U237" s="101"/>
      <c r="V237" s="101"/>
      <c r="W237" s="101"/>
      <c r="X237" s="101"/>
      <c r="Y237" s="101"/>
      <c r="Z237" s="101"/>
      <c r="AA237" s="101"/>
      <c r="AB237" s="101"/>
      <c r="AC237" s="101"/>
      <c r="AD237" s="101"/>
    </row>
    <row r="238" ht="30.0" customHeight="1">
      <c r="A238" s="141"/>
      <c r="B238" s="101"/>
      <c r="C238" s="101"/>
      <c r="D238" s="101"/>
      <c r="E238" s="101"/>
      <c r="F238" s="101"/>
      <c r="G238" s="101"/>
      <c r="H238" s="101"/>
      <c r="I238" s="101"/>
      <c r="J238" s="142"/>
      <c r="K238" s="101"/>
      <c r="L238" s="101"/>
      <c r="M238" s="101"/>
      <c r="N238" s="101"/>
      <c r="O238" s="101"/>
      <c r="P238" s="101"/>
      <c r="Q238" s="101"/>
      <c r="R238" s="101"/>
      <c r="S238" s="101"/>
      <c r="T238" s="101"/>
      <c r="U238" s="101"/>
      <c r="V238" s="101"/>
      <c r="W238" s="101"/>
      <c r="X238" s="101"/>
      <c r="Y238" s="101"/>
      <c r="Z238" s="101"/>
      <c r="AA238" s="101"/>
      <c r="AB238" s="101"/>
      <c r="AC238" s="101"/>
      <c r="AD238" s="101"/>
    </row>
    <row r="239" ht="30.0" customHeight="1">
      <c r="A239" s="141"/>
      <c r="B239" s="101"/>
      <c r="C239" s="101"/>
      <c r="D239" s="101"/>
      <c r="E239" s="101"/>
      <c r="F239" s="101"/>
      <c r="G239" s="101"/>
      <c r="H239" s="101"/>
      <c r="I239" s="101"/>
      <c r="J239" s="142"/>
      <c r="K239" s="101"/>
      <c r="L239" s="101"/>
      <c r="M239" s="101"/>
      <c r="N239" s="101"/>
      <c r="O239" s="101"/>
      <c r="P239" s="101"/>
      <c r="Q239" s="101"/>
      <c r="R239" s="101"/>
      <c r="S239" s="101"/>
      <c r="T239" s="101"/>
      <c r="U239" s="101"/>
      <c r="V239" s="101"/>
      <c r="W239" s="101"/>
      <c r="X239" s="101"/>
      <c r="Y239" s="101"/>
      <c r="Z239" s="101"/>
      <c r="AA239" s="101"/>
      <c r="AB239" s="101"/>
      <c r="AC239" s="101"/>
      <c r="AD239" s="101"/>
    </row>
    <row r="240" ht="30.0" customHeight="1">
      <c r="A240" s="141"/>
      <c r="B240" s="101"/>
      <c r="C240" s="101"/>
      <c r="D240" s="101"/>
      <c r="E240" s="101"/>
      <c r="F240" s="101"/>
      <c r="G240" s="101"/>
      <c r="H240" s="101"/>
      <c r="I240" s="101"/>
      <c r="J240" s="142"/>
      <c r="K240" s="101"/>
      <c r="L240" s="101"/>
      <c r="M240" s="101"/>
      <c r="N240" s="101"/>
      <c r="O240" s="101"/>
      <c r="P240" s="101"/>
      <c r="Q240" s="101"/>
      <c r="R240" s="101"/>
      <c r="S240" s="101"/>
      <c r="T240" s="101"/>
      <c r="U240" s="101"/>
      <c r="V240" s="101"/>
      <c r="W240" s="101"/>
      <c r="X240" s="101"/>
      <c r="Y240" s="101"/>
      <c r="Z240" s="101"/>
      <c r="AA240" s="101"/>
      <c r="AB240" s="101"/>
      <c r="AC240" s="101"/>
      <c r="AD240" s="101"/>
    </row>
    <row r="241" ht="30.0" customHeight="1">
      <c r="A241" s="141"/>
      <c r="B241" s="101"/>
      <c r="C241" s="101"/>
      <c r="D241" s="101"/>
      <c r="E241" s="101"/>
      <c r="F241" s="101"/>
      <c r="G241" s="101"/>
      <c r="H241" s="101"/>
      <c r="I241" s="101"/>
      <c r="J241" s="142"/>
      <c r="K241" s="101"/>
      <c r="L241" s="101"/>
      <c r="M241" s="101"/>
      <c r="N241" s="101"/>
      <c r="O241" s="101"/>
      <c r="P241" s="101"/>
      <c r="Q241" s="101"/>
      <c r="R241" s="101"/>
      <c r="S241" s="101"/>
      <c r="T241" s="101"/>
      <c r="U241" s="101"/>
      <c r="V241" s="101"/>
      <c r="W241" s="101"/>
      <c r="X241" s="101"/>
      <c r="Y241" s="101"/>
      <c r="Z241" s="101"/>
      <c r="AA241" s="101"/>
      <c r="AB241" s="101"/>
      <c r="AC241" s="101"/>
      <c r="AD241" s="101"/>
    </row>
    <row r="242" ht="30.0" customHeight="1">
      <c r="A242" s="141"/>
      <c r="B242" s="101"/>
      <c r="C242" s="101"/>
      <c r="D242" s="101"/>
      <c r="E242" s="101"/>
      <c r="F242" s="101"/>
      <c r="G242" s="101"/>
      <c r="H242" s="101"/>
      <c r="I242" s="101"/>
      <c r="J242" s="142"/>
      <c r="K242" s="101"/>
      <c r="L242" s="101"/>
      <c r="M242" s="101"/>
      <c r="N242" s="101"/>
      <c r="O242" s="101"/>
      <c r="P242" s="101"/>
      <c r="Q242" s="101"/>
      <c r="R242" s="101"/>
      <c r="S242" s="101"/>
      <c r="T242" s="101"/>
      <c r="U242" s="101"/>
      <c r="V242" s="101"/>
      <c r="W242" s="101"/>
      <c r="X242" s="101"/>
      <c r="Y242" s="101"/>
      <c r="Z242" s="101"/>
      <c r="AA242" s="101"/>
      <c r="AB242" s="101"/>
      <c r="AC242" s="101"/>
      <c r="AD242" s="101"/>
    </row>
    <row r="243" ht="30.0" customHeight="1">
      <c r="A243" s="141"/>
      <c r="B243" s="101"/>
      <c r="C243" s="101"/>
      <c r="D243" s="101"/>
      <c r="E243" s="101"/>
      <c r="F243" s="101"/>
      <c r="G243" s="101"/>
      <c r="H243" s="101"/>
      <c r="I243" s="101"/>
      <c r="J243" s="142"/>
      <c r="K243" s="101"/>
      <c r="L243" s="101"/>
      <c r="M243" s="101"/>
      <c r="N243" s="101"/>
      <c r="O243" s="101"/>
      <c r="P243" s="101"/>
      <c r="Q243" s="101"/>
      <c r="R243" s="101"/>
      <c r="S243" s="101"/>
      <c r="T243" s="101"/>
      <c r="U243" s="101"/>
      <c r="V243" s="101"/>
      <c r="W243" s="101"/>
      <c r="X243" s="101"/>
      <c r="Y243" s="101"/>
      <c r="Z243" s="101"/>
      <c r="AA243" s="101"/>
      <c r="AB243" s="101"/>
      <c r="AC243" s="101"/>
      <c r="AD243" s="101"/>
    </row>
    <row r="244" ht="30.0" customHeight="1">
      <c r="A244" s="141"/>
      <c r="B244" s="101"/>
      <c r="C244" s="101"/>
      <c r="D244" s="101"/>
      <c r="E244" s="101"/>
      <c r="F244" s="101"/>
      <c r="G244" s="101"/>
      <c r="H244" s="101"/>
      <c r="I244" s="101"/>
      <c r="J244" s="142"/>
      <c r="K244" s="101"/>
      <c r="L244" s="101"/>
      <c r="M244" s="101"/>
      <c r="N244" s="101"/>
      <c r="O244" s="101"/>
      <c r="P244" s="101"/>
      <c r="Q244" s="101"/>
      <c r="R244" s="101"/>
      <c r="S244" s="101"/>
      <c r="T244" s="101"/>
      <c r="U244" s="101"/>
      <c r="V244" s="101"/>
      <c r="W244" s="101"/>
      <c r="X244" s="101"/>
      <c r="Y244" s="101"/>
      <c r="Z244" s="101"/>
      <c r="AA244" s="101"/>
      <c r="AB244" s="101"/>
      <c r="AC244" s="101"/>
      <c r="AD244" s="101"/>
    </row>
    <row r="245" ht="30.0" customHeight="1">
      <c r="A245" s="141"/>
      <c r="B245" s="101"/>
      <c r="C245" s="101"/>
      <c r="D245" s="101"/>
      <c r="E245" s="101"/>
      <c r="F245" s="101"/>
      <c r="G245" s="101"/>
      <c r="H245" s="101"/>
      <c r="I245" s="101"/>
      <c r="J245" s="142"/>
      <c r="K245" s="101"/>
      <c r="L245" s="101"/>
      <c r="M245" s="101"/>
      <c r="N245" s="101"/>
      <c r="O245" s="101"/>
      <c r="P245" s="101"/>
      <c r="Q245" s="101"/>
      <c r="R245" s="101"/>
      <c r="S245" s="101"/>
      <c r="T245" s="101"/>
      <c r="U245" s="101"/>
      <c r="V245" s="101"/>
      <c r="W245" s="101"/>
      <c r="X245" s="101"/>
      <c r="Y245" s="101"/>
      <c r="Z245" s="101"/>
      <c r="AA245" s="101"/>
      <c r="AB245" s="101"/>
      <c r="AC245" s="101"/>
      <c r="AD245" s="101"/>
    </row>
    <row r="246" ht="30.0" customHeight="1">
      <c r="A246" s="141"/>
      <c r="B246" s="101"/>
      <c r="C246" s="101"/>
      <c r="D246" s="101"/>
      <c r="E246" s="101"/>
      <c r="F246" s="101"/>
      <c r="G246" s="101"/>
      <c r="H246" s="101"/>
      <c r="I246" s="101"/>
      <c r="J246" s="142"/>
      <c r="K246" s="101"/>
      <c r="L246" s="101"/>
      <c r="M246" s="101"/>
      <c r="N246" s="101"/>
      <c r="O246" s="101"/>
      <c r="P246" s="101"/>
      <c r="Q246" s="101"/>
      <c r="R246" s="101"/>
      <c r="S246" s="101"/>
      <c r="T246" s="101"/>
      <c r="U246" s="101"/>
      <c r="V246" s="101"/>
      <c r="W246" s="101"/>
      <c r="X246" s="101"/>
      <c r="Y246" s="101"/>
      <c r="Z246" s="101"/>
      <c r="AA246" s="101"/>
      <c r="AB246" s="101"/>
      <c r="AC246" s="101"/>
      <c r="AD246" s="101"/>
    </row>
    <row r="247" ht="30.0" customHeight="1">
      <c r="A247" s="141"/>
      <c r="B247" s="101"/>
      <c r="C247" s="101"/>
      <c r="D247" s="101"/>
      <c r="E247" s="101"/>
      <c r="F247" s="101"/>
      <c r="G247" s="101"/>
      <c r="H247" s="101"/>
      <c r="I247" s="101"/>
      <c r="J247" s="142"/>
      <c r="K247" s="101"/>
      <c r="L247" s="101"/>
      <c r="M247" s="101"/>
      <c r="N247" s="101"/>
      <c r="O247" s="101"/>
      <c r="P247" s="101"/>
      <c r="Q247" s="101"/>
      <c r="R247" s="101"/>
      <c r="S247" s="101"/>
      <c r="T247" s="101"/>
      <c r="U247" s="101"/>
      <c r="V247" s="101"/>
      <c r="W247" s="101"/>
      <c r="X247" s="101"/>
      <c r="Y247" s="101"/>
      <c r="Z247" s="101"/>
      <c r="AA247" s="101"/>
      <c r="AB247" s="101"/>
      <c r="AC247" s="101"/>
      <c r="AD247" s="101"/>
    </row>
    <row r="248" ht="30.0" customHeight="1">
      <c r="A248" s="141"/>
      <c r="B248" s="101"/>
      <c r="C248" s="101"/>
      <c r="D248" s="101"/>
      <c r="E248" s="101"/>
      <c r="F248" s="101"/>
      <c r="G248" s="101"/>
      <c r="H248" s="101"/>
      <c r="I248" s="101"/>
      <c r="J248" s="142"/>
      <c r="K248" s="101"/>
      <c r="L248" s="101"/>
      <c r="M248" s="101"/>
      <c r="N248" s="101"/>
      <c r="O248" s="101"/>
      <c r="P248" s="101"/>
      <c r="Q248" s="101"/>
      <c r="R248" s="101"/>
      <c r="S248" s="101"/>
      <c r="T248" s="101"/>
      <c r="U248" s="101"/>
      <c r="V248" s="101"/>
      <c r="W248" s="101"/>
      <c r="X248" s="101"/>
      <c r="Y248" s="101"/>
      <c r="Z248" s="101"/>
      <c r="AA248" s="101"/>
      <c r="AB248" s="101"/>
      <c r="AC248" s="101"/>
      <c r="AD248" s="101"/>
    </row>
    <row r="249" ht="30.0" customHeight="1">
      <c r="A249" s="141"/>
      <c r="B249" s="101"/>
      <c r="C249" s="101"/>
      <c r="D249" s="101"/>
      <c r="E249" s="101"/>
      <c r="F249" s="101"/>
      <c r="G249" s="101"/>
      <c r="H249" s="101"/>
      <c r="I249" s="101"/>
      <c r="J249" s="142"/>
      <c r="K249" s="101"/>
      <c r="L249" s="101"/>
      <c r="M249" s="101"/>
      <c r="N249" s="101"/>
      <c r="O249" s="101"/>
      <c r="P249" s="101"/>
      <c r="Q249" s="101"/>
      <c r="R249" s="101"/>
      <c r="S249" s="101"/>
      <c r="T249" s="101"/>
      <c r="U249" s="101"/>
      <c r="V249" s="101"/>
      <c r="W249" s="101"/>
      <c r="X249" s="101"/>
      <c r="Y249" s="101"/>
      <c r="Z249" s="101"/>
      <c r="AA249" s="101"/>
      <c r="AB249" s="101"/>
      <c r="AC249" s="101"/>
      <c r="AD249" s="101"/>
    </row>
    <row r="250" ht="30.0" customHeight="1">
      <c r="A250" s="141"/>
      <c r="B250" s="101"/>
      <c r="C250" s="101"/>
      <c r="D250" s="101"/>
      <c r="E250" s="101"/>
      <c r="F250" s="101"/>
      <c r="G250" s="101"/>
      <c r="H250" s="101"/>
      <c r="I250" s="101"/>
      <c r="J250" s="142"/>
      <c r="K250" s="101"/>
      <c r="L250" s="101"/>
      <c r="M250" s="101"/>
      <c r="N250" s="101"/>
      <c r="O250" s="101"/>
      <c r="P250" s="101"/>
      <c r="Q250" s="101"/>
      <c r="R250" s="101"/>
      <c r="S250" s="101"/>
      <c r="T250" s="101"/>
      <c r="U250" s="101"/>
      <c r="V250" s="101"/>
      <c r="W250" s="101"/>
      <c r="X250" s="101"/>
      <c r="Y250" s="101"/>
      <c r="Z250" s="101"/>
      <c r="AA250" s="101"/>
      <c r="AB250" s="101"/>
      <c r="AC250" s="101"/>
      <c r="AD250" s="101"/>
    </row>
    <row r="251" ht="30.0" customHeight="1">
      <c r="A251" s="141"/>
      <c r="B251" s="101"/>
      <c r="C251" s="101"/>
      <c r="D251" s="101"/>
      <c r="E251" s="101"/>
      <c r="F251" s="101"/>
      <c r="G251" s="101"/>
      <c r="H251" s="101"/>
      <c r="I251" s="101"/>
      <c r="J251" s="142"/>
      <c r="K251" s="101"/>
      <c r="L251" s="101"/>
      <c r="M251" s="101"/>
      <c r="N251" s="101"/>
      <c r="O251" s="101"/>
      <c r="P251" s="101"/>
      <c r="Q251" s="101"/>
      <c r="R251" s="101"/>
      <c r="S251" s="101"/>
      <c r="T251" s="101"/>
      <c r="U251" s="101"/>
      <c r="V251" s="101"/>
      <c r="W251" s="101"/>
      <c r="X251" s="101"/>
      <c r="Y251" s="101"/>
      <c r="Z251" s="101"/>
      <c r="AA251" s="101"/>
      <c r="AB251" s="101"/>
      <c r="AC251" s="101"/>
      <c r="AD251" s="101"/>
    </row>
    <row r="252" ht="30.0" customHeight="1">
      <c r="A252" s="141"/>
      <c r="B252" s="101"/>
      <c r="C252" s="101"/>
      <c r="D252" s="101"/>
      <c r="E252" s="101"/>
      <c r="F252" s="101"/>
      <c r="G252" s="101"/>
      <c r="H252" s="101"/>
      <c r="I252" s="101"/>
      <c r="J252" s="142"/>
      <c r="K252" s="101"/>
      <c r="L252" s="101"/>
      <c r="M252" s="101"/>
      <c r="N252" s="101"/>
      <c r="O252" s="101"/>
      <c r="P252" s="101"/>
      <c r="Q252" s="101"/>
      <c r="R252" s="101"/>
      <c r="S252" s="101"/>
      <c r="T252" s="101"/>
      <c r="U252" s="101"/>
      <c r="V252" s="101"/>
      <c r="W252" s="101"/>
      <c r="X252" s="101"/>
      <c r="Y252" s="101"/>
      <c r="Z252" s="101"/>
      <c r="AA252" s="101"/>
      <c r="AB252" s="101"/>
      <c r="AC252" s="101"/>
      <c r="AD252" s="101"/>
    </row>
    <row r="253" ht="30.0" customHeight="1">
      <c r="A253" s="141"/>
      <c r="B253" s="101"/>
      <c r="C253" s="101"/>
      <c r="D253" s="101"/>
      <c r="E253" s="101"/>
      <c r="F253" s="101"/>
      <c r="G253" s="101"/>
      <c r="H253" s="101"/>
      <c r="I253" s="101"/>
      <c r="J253" s="142"/>
      <c r="K253" s="101"/>
      <c r="L253" s="101"/>
      <c r="M253" s="101"/>
      <c r="N253" s="101"/>
      <c r="O253" s="101"/>
      <c r="P253" s="101"/>
      <c r="Q253" s="101"/>
      <c r="R253" s="101"/>
      <c r="S253" s="101"/>
      <c r="T253" s="101"/>
      <c r="U253" s="101"/>
      <c r="V253" s="101"/>
      <c r="W253" s="101"/>
      <c r="X253" s="101"/>
      <c r="Y253" s="101"/>
      <c r="Z253" s="101"/>
      <c r="AA253" s="101"/>
      <c r="AB253" s="101"/>
      <c r="AC253" s="101"/>
      <c r="AD253" s="101"/>
    </row>
    <row r="254" ht="30.0" customHeight="1">
      <c r="A254" s="141"/>
      <c r="B254" s="101"/>
      <c r="C254" s="101"/>
      <c r="D254" s="101"/>
      <c r="E254" s="101"/>
      <c r="F254" s="101"/>
      <c r="G254" s="101"/>
      <c r="H254" s="101"/>
      <c r="I254" s="101"/>
      <c r="J254" s="142"/>
      <c r="K254" s="101"/>
      <c r="L254" s="101"/>
      <c r="M254" s="101"/>
      <c r="N254" s="101"/>
      <c r="O254" s="101"/>
      <c r="P254" s="101"/>
      <c r="Q254" s="101"/>
      <c r="R254" s="101"/>
      <c r="S254" s="101"/>
      <c r="T254" s="101"/>
      <c r="U254" s="101"/>
      <c r="V254" s="101"/>
      <c r="W254" s="101"/>
      <c r="X254" s="101"/>
      <c r="Y254" s="101"/>
      <c r="Z254" s="101"/>
      <c r="AA254" s="101"/>
      <c r="AB254" s="101"/>
      <c r="AC254" s="101"/>
      <c r="AD254" s="101"/>
    </row>
    <row r="255" ht="30.0" customHeight="1">
      <c r="A255" s="141"/>
      <c r="B255" s="101"/>
      <c r="C255" s="101"/>
      <c r="D255" s="101"/>
      <c r="E255" s="101"/>
      <c r="F255" s="101"/>
      <c r="G255" s="101"/>
      <c r="H255" s="101"/>
      <c r="I255" s="101"/>
      <c r="J255" s="142"/>
      <c r="K255" s="101"/>
      <c r="L255" s="101"/>
      <c r="M255" s="101"/>
      <c r="N255" s="101"/>
      <c r="O255" s="101"/>
      <c r="P255" s="101"/>
      <c r="Q255" s="101"/>
      <c r="R255" s="101"/>
      <c r="S255" s="101"/>
      <c r="T255" s="101"/>
      <c r="U255" s="101"/>
      <c r="V255" s="101"/>
      <c r="W255" s="101"/>
      <c r="X255" s="101"/>
      <c r="Y255" s="101"/>
      <c r="Z255" s="101"/>
      <c r="AA255" s="101"/>
      <c r="AB255" s="101"/>
      <c r="AC255" s="101"/>
      <c r="AD255" s="101"/>
    </row>
    <row r="256" ht="30.0" customHeight="1">
      <c r="A256" s="141"/>
      <c r="B256" s="101"/>
      <c r="C256" s="101"/>
      <c r="D256" s="101"/>
      <c r="E256" s="101"/>
      <c r="F256" s="101"/>
      <c r="G256" s="101"/>
      <c r="H256" s="101"/>
      <c r="I256" s="101"/>
      <c r="J256" s="142"/>
      <c r="K256" s="101"/>
      <c r="L256" s="101"/>
      <c r="M256" s="101"/>
      <c r="N256" s="101"/>
      <c r="O256" s="101"/>
      <c r="P256" s="101"/>
      <c r="Q256" s="101"/>
      <c r="R256" s="101"/>
      <c r="S256" s="101"/>
      <c r="T256" s="101"/>
      <c r="U256" s="101"/>
      <c r="V256" s="101"/>
      <c r="W256" s="101"/>
      <c r="X256" s="101"/>
      <c r="Y256" s="101"/>
      <c r="Z256" s="101"/>
      <c r="AA256" s="101"/>
      <c r="AB256" s="101"/>
      <c r="AC256" s="101"/>
      <c r="AD256" s="101"/>
    </row>
    <row r="257" ht="30.0" customHeight="1">
      <c r="A257" s="141"/>
      <c r="B257" s="101"/>
      <c r="C257" s="101"/>
      <c r="D257" s="101"/>
      <c r="E257" s="101"/>
      <c r="F257" s="101"/>
      <c r="G257" s="101"/>
      <c r="H257" s="101"/>
      <c r="I257" s="101"/>
      <c r="J257" s="142"/>
      <c r="K257" s="101"/>
      <c r="L257" s="101"/>
      <c r="M257" s="101"/>
      <c r="N257" s="101"/>
      <c r="O257" s="101"/>
      <c r="P257" s="101"/>
      <c r="Q257" s="101"/>
      <c r="R257" s="101"/>
      <c r="S257" s="101"/>
      <c r="T257" s="101"/>
      <c r="U257" s="101"/>
      <c r="V257" s="101"/>
      <c r="W257" s="101"/>
      <c r="X257" s="101"/>
      <c r="Y257" s="101"/>
      <c r="Z257" s="101"/>
      <c r="AA257" s="101"/>
      <c r="AB257" s="101"/>
      <c r="AC257" s="101"/>
      <c r="AD257" s="101"/>
    </row>
    <row r="258" ht="30.0" customHeight="1">
      <c r="A258" s="141"/>
      <c r="B258" s="101"/>
      <c r="C258" s="101"/>
      <c r="D258" s="101"/>
      <c r="E258" s="101"/>
      <c r="F258" s="101"/>
      <c r="G258" s="101"/>
      <c r="H258" s="101"/>
      <c r="I258" s="101"/>
      <c r="J258" s="142"/>
      <c r="K258" s="101"/>
      <c r="L258" s="101"/>
      <c r="M258" s="101"/>
      <c r="N258" s="101"/>
      <c r="O258" s="101"/>
      <c r="P258" s="101"/>
      <c r="Q258" s="101"/>
      <c r="R258" s="101"/>
      <c r="S258" s="101"/>
      <c r="T258" s="101"/>
      <c r="U258" s="101"/>
      <c r="V258" s="101"/>
      <c r="W258" s="101"/>
      <c r="X258" s="101"/>
      <c r="Y258" s="101"/>
      <c r="Z258" s="101"/>
      <c r="AA258" s="101"/>
      <c r="AB258" s="101"/>
      <c r="AC258" s="101"/>
      <c r="AD258" s="101"/>
    </row>
    <row r="259" ht="30.0" customHeight="1">
      <c r="A259" s="141"/>
      <c r="B259" s="101"/>
      <c r="C259" s="101"/>
      <c r="D259" s="101"/>
      <c r="E259" s="101"/>
      <c r="F259" s="101"/>
      <c r="G259" s="101"/>
      <c r="H259" s="101"/>
      <c r="I259" s="101"/>
      <c r="J259" s="142"/>
      <c r="K259" s="101"/>
      <c r="L259" s="101"/>
      <c r="M259" s="101"/>
      <c r="N259" s="101"/>
      <c r="O259" s="101"/>
      <c r="P259" s="101"/>
      <c r="Q259" s="101"/>
      <c r="R259" s="101"/>
      <c r="S259" s="101"/>
      <c r="T259" s="101"/>
      <c r="U259" s="101"/>
      <c r="V259" s="101"/>
      <c r="W259" s="101"/>
      <c r="X259" s="101"/>
      <c r="Y259" s="101"/>
      <c r="Z259" s="101"/>
      <c r="AA259" s="101"/>
      <c r="AB259" s="101"/>
      <c r="AC259" s="101"/>
      <c r="AD259" s="101"/>
    </row>
    <row r="260" ht="30.0" customHeight="1">
      <c r="A260" s="141"/>
      <c r="B260" s="101"/>
      <c r="C260" s="101"/>
      <c r="D260" s="101"/>
      <c r="E260" s="101"/>
      <c r="F260" s="101"/>
      <c r="G260" s="101"/>
      <c r="H260" s="101"/>
      <c r="I260" s="101"/>
      <c r="J260" s="142"/>
      <c r="K260" s="101"/>
      <c r="L260" s="101"/>
      <c r="M260" s="101"/>
      <c r="N260" s="101"/>
      <c r="O260" s="101"/>
      <c r="P260" s="101"/>
      <c r="Q260" s="101"/>
      <c r="R260" s="101"/>
      <c r="S260" s="101"/>
      <c r="T260" s="101"/>
      <c r="U260" s="101"/>
      <c r="V260" s="101"/>
      <c r="W260" s="101"/>
      <c r="X260" s="101"/>
      <c r="Y260" s="101"/>
      <c r="Z260" s="101"/>
      <c r="AA260" s="101"/>
      <c r="AB260" s="101"/>
      <c r="AC260" s="101"/>
      <c r="AD260" s="101"/>
    </row>
    <row r="261" ht="30.0" customHeight="1">
      <c r="A261" s="141"/>
      <c r="B261" s="101"/>
      <c r="C261" s="101"/>
      <c r="D261" s="101"/>
      <c r="E261" s="101"/>
      <c r="F261" s="101"/>
      <c r="G261" s="101"/>
      <c r="H261" s="101"/>
      <c r="I261" s="101"/>
      <c r="J261" s="142"/>
      <c r="K261" s="101"/>
      <c r="L261" s="101"/>
      <c r="M261" s="101"/>
      <c r="N261" s="101"/>
      <c r="O261" s="101"/>
      <c r="P261" s="101"/>
      <c r="Q261" s="101"/>
      <c r="R261" s="101"/>
      <c r="S261" s="101"/>
      <c r="T261" s="101"/>
      <c r="U261" s="101"/>
      <c r="V261" s="101"/>
      <c r="W261" s="101"/>
      <c r="X261" s="101"/>
      <c r="Y261" s="101"/>
      <c r="Z261" s="101"/>
      <c r="AA261" s="101"/>
      <c r="AB261" s="101"/>
      <c r="AC261" s="101"/>
      <c r="AD261" s="101"/>
    </row>
    <row r="262" ht="30.0" customHeight="1">
      <c r="A262" s="141"/>
      <c r="B262" s="101"/>
      <c r="C262" s="101"/>
      <c r="D262" s="101"/>
      <c r="E262" s="101"/>
      <c r="F262" s="101"/>
      <c r="G262" s="101"/>
      <c r="H262" s="101"/>
      <c r="I262" s="101"/>
      <c r="J262" s="142"/>
      <c r="K262" s="101"/>
      <c r="L262" s="101"/>
      <c r="M262" s="101"/>
      <c r="N262" s="101"/>
      <c r="O262" s="101"/>
      <c r="P262" s="101"/>
      <c r="Q262" s="101"/>
      <c r="R262" s="101"/>
      <c r="S262" s="101"/>
      <c r="T262" s="101"/>
      <c r="U262" s="101"/>
      <c r="V262" s="101"/>
      <c r="W262" s="101"/>
      <c r="X262" s="101"/>
      <c r="Y262" s="101"/>
      <c r="Z262" s="101"/>
      <c r="AA262" s="101"/>
      <c r="AB262" s="101"/>
      <c r="AC262" s="101"/>
      <c r="AD262" s="101"/>
    </row>
    <row r="263" ht="30.0" customHeight="1">
      <c r="A263" s="141"/>
      <c r="B263" s="101"/>
      <c r="C263" s="101"/>
      <c r="D263" s="101"/>
      <c r="E263" s="101"/>
      <c r="F263" s="101"/>
      <c r="G263" s="101"/>
      <c r="H263" s="101"/>
      <c r="I263" s="101"/>
      <c r="J263" s="142"/>
      <c r="K263" s="101"/>
      <c r="L263" s="101"/>
      <c r="M263" s="101"/>
      <c r="N263" s="101"/>
      <c r="O263" s="101"/>
      <c r="P263" s="101"/>
      <c r="Q263" s="101"/>
      <c r="R263" s="101"/>
      <c r="S263" s="101"/>
      <c r="T263" s="101"/>
      <c r="U263" s="101"/>
      <c r="V263" s="101"/>
      <c r="W263" s="101"/>
      <c r="X263" s="101"/>
      <c r="Y263" s="101"/>
      <c r="Z263" s="101"/>
      <c r="AA263" s="101"/>
      <c r="AB263" s="101"/>
      <c r="AC263" s="101"/>
      <c r="AD263" s="101"/>
    </row>
    <row r="264" ht="30.0" customHeight="1">
      <c r="A264" s="141"/>
      <c r="B264" s="101"/>
      <c r="C264" s="101"/>
      <c r="D264" s="101"/>
      <c r="E264" s="101"/>
      <c r="F264" s="101"/>
      <c r="G264" s="101"/>
      <c r="H264" s="101"/>
      <c r="I264" s="101"/>
      <c r="J264" s="142"/>
      <c r="K264" s="101"/>
      <c r="L264" s="101"/>
      <c r="M264" s="101"/>
      <c r="N264" s="101"/>
      <c r="O264" s="101"/>
      <c r="P264" s="101"/>
      <c r="Q264" s="101"/>
      <c r="R264" s="101"/>
      <c r="S264" s="101"/>
      <c r="T264" s="101"/>
      <c r="U264" s="101"/>
      <c r="V264" s="101"/>
      <c r="W264" s="101"/>
      <c r="X264" s="101"/>
      <c r="Y264" s="101"/>
      <c r="Z264" s="101"/>
      <c r="AA264" s="101"/>
      <c r="AB264" s="101"/>
      <c r="AC264" s="101"/>
      <c r="AD264" s="101"/>
    </row>
    <row r="265" ht="30.0" customHeight="1">
      <c r="A265" s="141"/>
      <c r="B265" s="101"/>
      <c r="C265" s="101"/>
      <c r="D265" s="101"/>
      <c r="E265" s="101"/>
      <c r="F265" s="101"/>
      <c r="G265" s="101"/>
      <c r="H265" s="101"/>
      <c r="I265" s="101"/>
      <c r="J265" s="142"/>
      <c r="K265" s="101"/>
      <c r="L265" s="101"/>
      <c r="M265" s="101"/>
      <c r="N265" s="101"/>
      <c r="O265" s="101"/>
      <c r="P265" s="101"/>
      <c r="Q265" s="101"/>
      <c r="R265" s="101"/>
      <c r="S265" s="101"/>
      <c r="T265" s="101"/>
      <c r="U265" s="101"/>
      <c r="V265" s="101"/>
      <c r="W265" s="101"/>
      <c r="X265" s="101"/>
      <c r="Y265" s="101"/>
      <c r="Z265" s="101"/>
      <c r="AA265" s="101"/>
      <c r="AB265" s="101"/>
      <c r="AC265" s="101"/>
      <c r="AD265" s="101"/>
    </row>
    <row r="266" ht="30.0" customHeight="1">
      <c r="A266" s="141"/>
      <c r="B266" s="101"/>
      <c r="C266" s="101"/>
      <c r="D266" s="101"/>
      <c r="E266" s="101"/>
      <c r="F266" s="101"/>
      <c r="G266" s="101"/>
      <c r="H266" s="101"/>
      <c r="I266" s="101"/>
      <c r="J266" s="142"/>
      <c r="K266" s="101"/>
      <c r="L266" s="101"/>
      <c r="M266" s="101"/>
      <c r="N266" s="101"/>
      <c r="O266" s="101"/>
      <c r="P266" s="101"/>
      <c r="Q266" s="101"/>
      <c r="R266" s="101"/>
      <c r="S266" s="101"/>
      <c r="T266" s="101"/>
      <c r="U266" s="101"/>
      <c r="V266" s="101"/>
      <c r="W266" s="101"/>
      <c r="X266" s="101"/>
      <c r="Y266" s="101"/>
      <c r="Z266" s="101"/>
      <c r="AA266" s="101"/>
      <c r="AB266" s="101"/>
      <c r="AC266" s="101"/>
      <c r="AD266" s="101"/>
    </row>
    <row r="267" ht="30.0" customHeight="1">
      <c r="A267" s="141"/>
      <c r="B267" s="101"/>
      <c r="C267" s="101"/>
      <c r="D267" s="101"/>
      <c r="E267" s="101"/>
      <c r="F267" s="101"/>
      <c r="G267" s="101"/>
      <c r="H267" s="101"/>
      <c r="I267" s="101"/>
      <c r="J267" s="142"/>
      <c r="K267" s="101"/>
      <c r="L267" s="101"/>
      <c r="M267" s="101"/>
      <c r="N267" s="101"/>
      <c r="O267" s="101"/>
      <c r="P267" s="101"/>
      <c r="Q267" s="101"/>
      <c r="R267" s="101"/>
      <c r="S267" s="101"/>
      <c r="T267" s="101"/>
      <c r="U267" s="101"/>
      <c r="V267" s="101"/>
      <c r="W267" s="101"/>
      <c r="X267" s="101"/>
      <c r="Y267" s="101"/>
      <c r="Z267" s="101"/>
      <c r="AA267" s="101"/>
      <c r="AB267" s="101"/>
      <c r="AC267" s="101"/>
      <c r="AD267" s="101"/>
    </row>
    <row r="268" ht="30.0" customHeight="1">
      <c r="A268" s="141"/>
      <c r="B268" s="101"/>
      <c r="C268" s="101"/>
      <c r="D268" s="101"/>
      <c r="E268" s="101"/>
      <c r="F268" s="101"/>
      <c r="G268" s="101"/>
      <c r="H268" s="101"/>
      <c r="I268" s="101"/>
      <c r="J268" s="142"/>
      <c r="K268" s="101"/>
      <c r="L268" s="101"/>
      <c r="M268" s="101"/>
      <c r="N268" s="101"/>
      <c r="O268" s="101"/>
      <c r="P268" s="101"/>
      <c r="Q268" s="101"/>
      <c r="R268" s="101"/>
      <c r="S268" s="101"/>
      <c r="T268" s="101"/>
      <c r="U268" s="101"/>
      <c r="V268" s="101"/>
      <c r="W268" s="101"/>
      <c r="X268" s="101"/>
      <c r="Y268" s="101"/>
      <c r="Z268" s="101"/>
      <c r="AA268" s="101"/>
      <c r="AB268" s="101"/>
      <c r="AC268" s="101"/>
      <c r="AD268" s="101"/>
    </row>
    <row r="269" ht="30.0" customHeight="1">
      <c r="A269" s="141"/>
      <c r="B269" s="101"/>
      <c r="C269" s="101"/>
      <c r="D269" s="101"/>
      <c r="E269" s="101"/>
      <c r="F269" s="101"/>
      <c r="G269" s="101"/>
      <c r="H269" s="101"/>
      <c r="I269" s="101"/>
      <c r="J269" s="142"/>
      <c r="K269" s="101"/>
      <c r="L269" s="101"/>
      <c r="M269" s="101"/>
      <c r="N269" s="101"/>
      <c r="O269" s="101"/>
      <c r="P269" s="101"/>
      <c r="Q269" s="101"/>
      <c r="R269" s="101"/>
      <c r="S269" s="101"/>
      <c r="T269" s="101"/>
      <c r="U269" s="101"/>
      <c r="V269" s="101"/>
      <c r="W269" s="101"/>
      <c r="X269" s="101"/>
      <c r="Y269" s="101"/>
      <c r="Z269" s="101"/>
      <c r="AA269" s="101"/>
      <c r="AB269" s="101"/>
      <c r="AC269" s="101"/>
      <c r="AD269" s="101"/>
    </row>
    <row r="270" ht="30.0" customHeight="1">
      <c r="A270" s="141"/>
      <c r="B270" s="101"/>
      <c r="C270" s="101"/>
      <c r="D270" s="101"/>
      <c r="E270" s="101"/>
      <c r="F270" s="101"/>
      <c r="G270" s="101"/>
      <c r="H270" s="101"/>
      <c r="I270" s="101"/>
      <c r="J270" s="142"/>
      <c r="K270" s="101"/>
      <c r="L270" s="101"/>
      <c r="M270" s="101"/>
      <c r="N270" s="101"/>
      <c r="O270" s="101"/>
      <c r="P270" s="101"/>
      <c r="Q270" s="101"/>
      <c r="R270" s="101"/>
      <c r="S270" s="101"/>
      <c r="T270" s="101"/>
      <c r="U270" s="101"/>
      <c r="V270" s="101"/>
      <c r="W270" s="101"/>
      <c r="X270" s="101"/>
      <c r="Y270" s="101"/>
      <c r="Z270" s="101"/>
      <c r="AA270" s="101"/>
      <c r="AB270" s="101"/>
      <c r="AC270" s="101"/>
      <c r="AD270" s="101"/>
    </row>
    <row r="271" ht="30.0" customHeight="1">
      <c r="A271" s="141"/>
      <c r="B271" s="101"/>
      <c r="C271" s="101"/>
      <c r="D271" s="101"/>
      <c r="E271" s="101"/>
      <c r="F271" s="101"/>
      <c r="G271" s="101"/>
      <c r="H271" s="101"/>
      <c r="I271" s="101"/>
      <c r="J271" s="142"/>
      <c r="K271" s="101"/>
      <c r="L271" s="101"/>
      <c r="M271" s="101"/>
      <c r="N271" s="101"/>
      <c r="O271" s="101"/>
      <c r="P271" s="101"/>
      <c r="Q271" s="101"/>
      <c r="R271" s="101"/>
      <c r="S271" s="101"/>
      <c r="T271" s="101"/>
      <c r="U271" s="101"/>
      <c r="V271" s="101"/>
      <c r="W271" s="101"/>
      <c r="X271" s="101"/>
      <c r="Y271" s="101"/>
      <c r="Z271" s="101"/>
      <c r="AA271" s="101"/>
      <c r="AB271" s="101"/>
      <c r="AC271" s="101"/>
      <c r="AD271" s="101"/>
    </row>
    <row r="272" ht="30.0" customHeight="1">
      <c r="A272" s="141"/>
      <c r="B272" s="101"/>
      <c r="C272" s="101"/>
      <c r="D272" s="101"/>
      <c r="E272" s="101"/>
      <c r="F272" s="101"/>
      <c r="G272" s="101"/>
      <c r="H272" s="101"/>
      <c r="I272" s="101"/>
      <c r="J272" s="142"/>
      <c r="K272" s="101"/>
      <c r="L272" s="101"/>
      <c r="M272" s="101"/>
      <c r="N272" s="101"/>
      <c r="O272" s="101"/>
      <c r="P272" s="101"/>
      <c r="Q272" s="101"/>
      <c r="R272" s="101"/>
      <c r="S272" s="101"/>
      <c r="T272" s="101"/>
      <c r="U272" s="101"/>
      <c r="V272" s="101"/>
      <c r="W272" s="101"/>
      <c r="X272" s="101"/>
      <c r="Y272" s="101"/>
      <c r="Z272" s="101"/>
      <c r="AA272" s="101"/>
      <c r="AB272" s="101"/>
      <c r="AC272" s="101"/>
      <c r="AD272" s="101"/>
    </row>
    <row r="273" ht="30.0" customHeight="1">
      <c r="A273" s="141"/>
      <c r="B273" s="101"/>
      <c r="C273" s="101"/>
      <c r="D273" s="101"/>
      <c r="E273" s="101"/>
      <c r="F273" s="101"/>
      <c r="G273" s="101"/>
      <c r="H273" s="101"/>
      <c r="I273" s="101"/>
      <c r="J273" s="142"/>
      <c r="K273" s="101"/>
      <c r="L273" s="101"/>
      <c r="M273" s="101"/>
      <c r="N273" s="101"/>
      <c r="O273" s="101"/>
      <c r="P273" s="101"/>
      <c r="Q273" s="101"/>
      <c r="R273" s="101"/>
      <c r="S273" s="101"/>
      <c r="T273" s="101"/>
      <c r="U273" s="101"/>
      <c r="V273" s="101"/>
      <c r="W273" s="101"/>
      <c r="X273" s="101"/>
      <c r="Y273" s="101"/>
      <c r="Z273" s="101"/>
      <c r="AA273" s="101"/>
      <c r="AB273" s="101"/>
      <c r="AC273" s="101"/>
      <c r="AD273" s="101"/>
    </row>
    <row r="274" ht="30.0" customHeight="1">
      <c r="A274" s="141"/>
      <c r="B274" s="101"/>
      <c r="C274" s="101"/>
      <c r="D274" s="101"/>
      <c r="E274" s="101"/>
      <c r="F274" s="101"/>
      <c r="G274" s="101"/>
      <c r="H274" s="101"/>
      <c r="I274" s="101"/>
      <c r="J274" s="142"/>
      <c r="K274" s="101"/>
      <c r="L274" s="101"/>
      <c r="M274" s="101"/>
      <c r="N274" s="101"/>
      <c r="O274" s="101"/>
      <c r="P274" s="101"/>
      <c r="Q274" s="101"/>
      <c r="R274" s="101"/>
      <c r="S274" s="101"/>
      <c r="T274" s="101"/>
      <c r="U274" s="101"/>
      <c r="V274" s="101"/>
      <c r="W274" s="101"/>
      <c r="X274" s="101"/>
      <c r="Y274" s="101"/>
      <c r="Z274" s="101"/>
      <c r="AA274" s="101"/>
      <c r="AB274" s="101"/>
      <c r="AC274" s="101"/>
      <c r="AD274" s="101"/>
    </row>
    <row r="275" ht="30.0" customHeight="1">
      <c r="A275" s="141"/>
      <c r="B275" s="101"/>
      <c r="C275" s="101"/>
      <c r="D275" s="101"/>
      <c r="E275" s="101"/>
      <c r="F275" s="101"/>
      <c r="G275" s="101"/>
      <c r="H275" s="101"/>
      <c r="I275" s="101"/>
      <c r="J275" s="142"/>
      <c r="K275" s="101"/>
      <c r="L275" s="101"/>
      <c r="M275" s="101"/>
      <c r="N275" s="101"/>
      <c r="O275" s="101"/>
      <c r="P275" s="101"/>
      <c r="Q275" s="101"/>
      <c r="R275" s="101"/>
      <c r="S275" s="101"/>
      <c r="T275" s="101"/>
      <c r="U275" s="101"/>
      <c r="V275" s="101"/>
      <c r="W275" s="101"/>
      <c r="X275" s="101"/>
      <c r="Y275" s="101"/>
      <c r="Z275" s="101"/>
      <c r="AA275" s="101"/>
      <c r="AB275" s="101"/>
      <c r="AC275" s="101"/>
      <c r="AD275" s="101"/>
    </row>
    <row r="276" ht="30.0" customHeight="1">
      <c r="A276" s="141"/>
      <c r="B276" s="101"/>
      <c r="C276" s="101"/>
      <c r="D276" s="101"/>
      <c r="E276" s="101"/>
      <c r="F276" s="101"/>
      <c r="G276" s="101"/>
      <c r="H276" s="101"/>
      <c r="I276" s="101"/>
      <c r="J276" s="142"/>
      <c r="K276" s="101"/>
      <c r="L276" s="101"/>
      <c r="M276" s="101"/>
      <c r="N276" s="101"/>
      <c r="O276" s="101"/>
      <c r="P276" s="101"/>
      <c r="Q276" s="101"/>
      <c r="R276" s="101"/>
      <c r="S276" s="101"/>
      <c r="T276" s="101"/>
      <c r="U276" s="101"/>
      <c r="V276" s="101"/>
      <c r="W276" s="101"/>
      <c r="X276" s="101"/>
      <c r="Y276" s="101"/>
      <c r="Z276" s="101"/>
      <c r="AA276" s="101"/>
      <c r="AB276" s="101"/>
      <c r="AC276" s="101"/>
      <c r="AD276" s="101"/>
    </row>
    <row r="277" ht="30.0" customHeight="1">
      <c r="A277" s="141"/>
      <c r="B277" s="101"/>
      <c r="C277" s="101"/>
      <c r="D277" s="101"/>
      <c r="E277" s="101"/>
      <c r="F277" s="101"/>
      <c r="G277" s="101"/>
      <c r="H277" s="101"/>
      <c r="I277" s="101"/>
      <c r="J277" s="142"/>
      <c r="K277" s="101"/>
      <c r="L277" s="101"/>
      <c r="M277" s="101"/>
      <c r="N277" s="101"/>
      <c r="O277" s="101"/>
      <c r="P277" s="101"/>
      <c r="Q277" s="101"/>
      <c r="R277" s="101"/>
      <c r="S277" s="101"/>
      <c r="T277" s="101"/>
      <c r="U277" s="101"/>
      <c r="V277" s="101"/>
      <c r="W277" s="101"/>
      <c r="X277" s="101"/>
      <c r="Y277" s="101"/>
      <c r="Z277" s="101"/>
      <c r="AA277" s="101"/>
      <c r="AB277" s="101"/>
      <c r="AC277" s="101"/>
      <c r="AD277" s="101"/>
    </row>
    <row r="278" ht="30.0" customHeight="1">
      <c r="A278" s="141"/>
      <c r="B278" s="101"/>
      <c r="C278" s="101"/>
      <c r="D278" s="101"/>
      <c r="E278" s="101"/>
      <c r="F278" s="101"/>
      <c r="G278" s="101"/>
      <c r="H278" s="101"/>
      <c r="I278" s="101"/>
      <c r="J278" s="142"/>
      <c r="K278" s="101"/>
      <c r="L278" s="101"/>
      <c r="M278" s="101"/>
      <c r="N278" s="101"/>
      <c r="O278" s="101"/>
      <c r="P278" s="101"/>
      <c r="Q278" s="101"/>
      <c r="R278" s="101"/>
      <c r="S278" s="101"/>
      <c r="T278" s="101"/>
      <c r="U278" s="101"/>
      <c r="V278" s="101"/>
      <c r="W278" s="101"/>
      <c r="X278" s="101"/>
      <c r="Y278" s="101"/>
      <c r="Z278" s="101"/>
      <c r="AA278" s="101"/>
      <c r="AB278" s="101"/>
      <c r="AC278" s="101"/>
      <c r="AD278" s="101"/>
    </row>
    <row r="279" ht="30.0" customHeight="1">
      <c r="A279" s="141"/>
      <c r="B279" s="101"/>
      <c r="C279" s="101"/>
      <c r="D279" s="101"/>
      <c r="E279" s="101"/>
      <c r="F279" s="101"/>
      <c r="G279" s="101"/>
      <c r="H279" s="101"/>
      <c r="I279" s="101"/>
      <c r="J279" s="142"/>
      <c r="K279" s="101"/>
      <c r="L279" s="101"/>
      <c r="M279" s="101"/>
      <c r="N279" s="101"/>
      <c r="O279" s="101"/>
      <c r="P279" s="101"/>
      <c r="Q279" s="101"/>
      <c r="R279" s="101"/>
      <c r="S279" s="101"/>
      <c r="T279" s="101"/>
      <c r="U279" s="101"/>
      <c r="V279" s="101"/>
      <c r="W279" s="101"/>
      <c r="X279" s="101"/>
      <c r="Y279" s="101"/>
      <c r="Z279" s="101"/>
      <c r="AA279" s="101"/>
      <c r="AB279" s="101"/>
      <c r="AC279" s="101"/>
      <c r="AD279" s="101"/>
    </row>
    <row r="280" ht="30.0" customHeight="1">
      <c r="A280" s="141"/>
      <c r="B280" s="101"/>
      <c r="C280" s="101"/>
      <c r="D280" s="101"/>
      <c r="E280" s="101"/>
      <c r="F280" s="101"/>
      <c r="G280" s="101"/>
      <c r="H280" s="101"/>
      <c r="I280" s="101"/>
      <c r="J280" s="142"/>
      <c r="K280" s="101"/>
      <c r="L280" s="101"/>
      <c r="M280" s="101"/>
      <c r="N280" s="101"/>
      <c r="O280" s="101"/>
      <c r="P280" s="101"/>
      <c r="Q280" s="101"/>
      <c r="R280" s="101"/>
      <c r="S280" s="101"/>
      <c r="T280" s="101"/>
      <c r="U280" s="101"/>
      <c r="V280" s="101"/>
      <c r="W280" s="101"/>
      <c r="X280" s="101"/>
      <c r="Y280" s="101"/>
      <c r="Z280" s="101"/>
      <c r="AA280" s="101"/>
      <c r="AB280" s="101"/>
      <c r="AC280" s="101"/>
      <c r="AD280" s="101"/>
    </row>
    <row r="281" ht="30.0" customHeight="1">
      <c r="A281" s="141"/>
      <c r="B281" s="101"/>
      <c r="C281" s="101"/>
      <c r="D281" s="101"/>
      <c r="E281" s="101"/>
      <c r="F281" s="101"/>
      <c r="G281" s="101"/>
      <c r="H281" s="101"/>
      <c r="I281" s="101"/>
      <c r="J281" s="142"/>
      <c r="K281" s="101"/>
      <c r="L281" s="101"/>
      <c r="M281" s="101"/>
      <c r="N281" s="101"/>
      <c r="O281" s="101"/>
      <c r="P281" s="101"/>
      <c r="Q281" s="101"/>
      <c r="R281" s="101"/>
      <c r="S281" s="101"/>
      <c r="T281" s="101"/>
      <c r="U281" s="101"/>
      <c r="V281" s="101"/>
      <c r="W281" s="101"/>
      <c r="X281" s="101"/>
      <c r="Y281" s="101"/>
      <c r="Z281" s="101"/>
      <c r="AA281" s="101"/>
      <c r="AB281" s="101"/>
      <c r="AC281" s="101"/>
      <c r="AD281" s="101"/>
    </row>
    <row r="282" ht="30.0" customHeight="1">
      <c r="A282" s="141"/>
      <c r="B282" s="101"/>
      <c r="C282" s="101"/>
      <c r="D282" s="101"/>
      <c r="E282" s="101"/>
      <c r="F282" s="101"/>
      <c r="G282" s="101"/>
      <c r="H282" s="101"/>
      <c r="I282" s="101"/>
      <c r="J282" s="142"/>
      <c r="K282" s="101"/>
      <c r="L282" s="101"/>
      <c r="M282" s="101"/>
      <c r="N282" s="101"/>
      <c r="O282" s="101"/>
      <c r="P282" s="101"/>
      <c r="Q282" s="101"/>
      <c r="R282" s="101"/>
      <c r="S282" s="101"/>
      <c r="T282" s="101"/>
      <c r="U282" s="101"/>
      <c r="V282" s="101"/>
      <c r="W282" s="101"/>
      <c r="X282" s="101"/>
      <c r="Y282" s="101"/>
      <c r="Z282" s="101"/>
      <c r="AA282" s="101"/>
      <c r="AB282" s="101"/>
      <c r="AC282" s="101"/>
      <c r="AD282" s="101"/>
    </row>
    <row r="283" ht="30.0" customHeight="1">
      <c r="A283" s="141"/>
      <c r="B283" s="101"/>
      <c r="C283" s="101"/>
      <c r="D283" s="101"/>
      <c r="E283" s="101"/>
      <c r="F283" s="101"/>
      <c r="G283" s="101"/>
      <c r="H283" s="101"/>
      <c r="I283" s="101"/>
      <c r="J283" s="142"/>
      <c r="K283" s="101"/>
      <c r="L283" s="101"/>
      <c r="M283" s="101"/>
      <c r="N283" s="101"/>
      <c r="O283" s="101"/>
      <c r="P283" s="101"/>
      <c r="Q283" s="101"/>
      <c r="R283" s="101"/>
      <c r="S283" s="101"/>
      <c r="T283" s="101"/>
      <c r="U283" s="101"/>
      <c r="V283" s="101"/>
      <c r="W283" s="101"/>
      <c r="X283" s="101"/>
      <c r="Y283" s="101"/>
      <c r="Z283" s="101"/>
      <c r="AA283" s="101"/>
      <c r="AB283" s="101"/>
      <c r="AC283" s="101"/>
      <c r="AD283" s="101"/>
    </row>
    <row r="284" ht="30.0" customHeight="1">
      <c r="A284" s="141"/>
      <c r="B284" s="101"/>
      <c r="C284" s="101"/>
      <c r="D284" s="101"/>
      <c r="E284" s="101"/>
      <c r="F284" s="101"/>
      <c r="G284" s="101"/>
      <c r="H284" s="101"/>
      <c r="I284" s="101"/>
      <c r="J284" s="142"/>
      <c r="K284" s="101"/>
      <c r="L284" s="101"/>
      <c r="M284" s="101"/>
      <c r="N284" s="101"/>
      <c r="O284" s="101"/>
      <c r="P284" s="101"/>
      <c r="Q284" s="101"/>
      <c r="R284" s="101"/>
      <c r="S284" s="101"/>
      <c r="T284" s="101"/>
      <c r="U284" s="101"/>
      <c r="V284" s="101"/>
      <c r="W284" s="101"/>
      <c r="X284" s="101"/>
      <c r="Y284" s="101"/>
      <c r="Z284" s="101"/>
      <c r="AA284" s="101"/>
      <c r="AB284" s="101"/>
      <c r="AC284" s="101"/>
      <c r="AD284" s="101"/>
    </row>
    <row r="285" ht="30.0" customHeight="1">
      <c r="A285" s="141"/>
      <c r="B285" s="101"/>
      <c r="C285" s="101"/>
      <c r="D285" s="101"/>
      <c r="E285" s="101"/>
      <c r="F285" s="101"/>
      <c r="G285" s="101"/>
      <c r="H285" s="101"/>
      <c r="I285" s="101"/>
      <c r="J285" s="142"/>
      <c r="K285" s="101"/>
      <c r="L285" s="101"/>
      <c r="M285" s="101"/>
      <c r="N285" s="101"/>
      <c r="O285" s="101"/>
      <c r="P285" s="101"/>
      <c r="Q285" s="101"/>
      <c r="R285" s="101"/>
      <c r="S285" s="101"/>
      <c r="T285" s="101"/>
      <c r="U285" s="101"/>
      <c r="V285" s="101"/>
      <c r="W285" s="101"/>
      <c r="X285" s="101"/>
      <c r="Y285" s="101"/>
      <c r="Z285" s="101"/>
      <c r="AA285" s="101"/>
      <c r="AB285" s="101"/>
      <c r="AC285" s="101"/>
      <c r="AD285" s="101"/>
    </row>
    <row r="286" ht="30.0" customHeight="1">
      <c r="A286" s="141"/>
      <c r="B286" s="101"/>
      <c r="C286" s="101"/>
      <c r="D286" s="101"/>
      <c r="E286" s="101"/>
      <c r="F286" s="101"/>
      <c r="G286" s="101"/>
      <c r="H286" s="101"/>
      <c r="I286" s="101"/>
      <c r="J286" s="142"/>
      <c r="K286" s="101"/>
      <c r="L286" s="101"/>
      <c r="M286" s="101"/>
      <c r="N286" s="101"/>
      <c r="O286" s="101"/>
      <c r="P286" s="101"/>
      <c r="Q286" s="101"/>
      <c r="R286" s="101"/>
      <c r="S286" s="101"/>
      <c r="T286" s="101"/>
      <c r="U286" s="101"/>
      <c r="V286" s="101"/>
      <c r="W286" s="101"/>
      <c r="X286" s="101"/>
      <c r="Y286" s="101"/>
      <c r="Z286" s="101"/>
      <c r="AA286" s="101"/>
      <c r="AB286" s="101"/>
      <c r="AC286" s="101"/>
      <c r="AD286" s="101"/>
    </row>
    <row r="287" ht="30.0" customHeight="1">
      <c r="A287" s="141"/>
      <c r="B287" s="101"/>
      <c r="C287" s="101"/>
      <c r="D287" s="101"/>
      <c r="E287" s="101"/>
      <c r="F287" s="101"/>
      <c r="G287" s="101"/>
      <c r="H287" s="101"/>
      <c r="I287" s="101"/>
      <c r="J287" s="142"/>
      <c r="K287" s="101"/>
      <c r="L287" s="101"/>
      <c r="M287" s="101"/>
      <c r="N287" s="101"/>
      <c r="O287" s="101"/>
      <c r="P287" s="101"/>
      <c r="Q287" s="101"/>
      <c r="R287" s="101"/>
      <c r="S287" s="101"/>
      <c r="T287" s="101"/>
      <c r="U287" s="101"/>
      <c r="V287" s="101"/>
      <c r="W287" s="101"/>
      <c r="X287" s="101"/>
      <c r="Y287" s="101"/>
      <c r="Z287" s="101"/>
      <c r="AA287" s="101"/>
      <c r="AB287" s="101"/>
      <c r="AC287" s="101"/>
      <c r="AD287" s="101"/>
    </row>
    <row r="288" ht="30.0" customHeight="1">
      <c r="A288" s="141"/>
      <c r="B288" s="101"/>
      <c r="C288" s="101"/>
      <c r="D288" s="101"/>
      <c r="E288" s="101"/>
      <c r="F288" s="101"/>
      <c r="G288" s="101"/>
      <c r="H288" s="101"/>
      <c r="I288" s="101"/>
      <c r="J288" s="142"/>
      <c r="K288" s="101"/>
      <c r="L288" s="101"/>
      <c r="M288" s="101"/>
      <c r="N288" s="101"/>
      <c r="O288" s="101"/>
      <c r="P288" s="101"/>
      <c r="Q288" s="101"/>
      <c r="R288" s="101"/>
      <c r="S288" s="101"/>
      <c r="T288" s="101"/>
      <c r="U288" s="101"/>
      <c r="V288" s="101"/>
      <c r="W288" s="101"/>
      <c r="X288" s="101"/>
      <c r="Y288" s="101"/>
      <c r="Z288" s="101"/>
      <c r="AA288" s="101"/>
      <c r="AB288" s="101"/>
      <c r="AC288" s="101"/>
      <c r="AD288" s="101"/>
    </row>
    <row r="289" ht="30.0" customHeight="1">
      <c r="A289" s="141"/>
      <c r="B289" s="101"/>
      <c r="C289" s="101"/>
      <c r="D289" s="101"/>
      <c r="E289" s="101"/>
      <c r="F289" s="101"/>
      <c r="G289" s="101"/>
      <c r="H289" s="101"/>
      <c r="I289" s="101"/>
      <c r="J289" s="142"/>
      <c r="K289" s="101"/>
      <c r="L289" s="101"/>
      <c r="M289" s="101"/>
      <c r="N289" s="101"/>
      <c r="O289" s="101"/>
      <c r="P289" s="101"/>
      <c r="Q289" s="101"/>
      <c r="R289" s="101"/>
      <c r="S289" s="101"/>
      <c r="T289" s="101"/>
      <c r="U289" s="101"/>
      <c r="V289" s="101"/>
      <c r="W289" s="101"/>
      <c r="X289" s="101"/>
      <c r="Y289" s="101"/>
      <c r="Z289" s="101"/>
      <c r="AA289" s="101"/>
      <c r="AB289" s="101"/>
      <c r="AC289" s="101"/>
      <c r="AD289" s="101"/>
    </row>
    <row r="290" ht="30.0" customHeight="1">
      <c r="A290" s="141"/>
      <c r="B290" s="101"/>
      <c r="C290" s="101"/>
      <c r="D290" s="101"/>
      <c r="E290" s="101"/>
      <c r="F290" s="101"/>
      <c r="G290" s="101"/>
      <c r="H290" s="101"/>
      <c r="I290" s="101"/>
      <c r="J290" s="142"/>
      <c r="K290" s="101"/>
      <c r="L290" s="101"/>
      <c r="M290" s="101"/>
      <c r="N290" s="101"/>
      <c r="O290" s="101"/>
      <c r="P290" s="101"/>
      <c r="Q290" s="101"/>
      <c r="R290" s="101"/>
      <c r="S290" s="101"/>
      <c r="T290" s="101"/>
      <c r="U290" s="101"/>
      <c r="V290" s="101"/>
      <c r="W290" s="101"/>
      <c r="X290" s="101"/>
      <c r="Y290" s="101"/>
      <c r="Z290" s="101"/>
      <c r="AA290" s="101"/>
      <c r="AB290" s="101"/>
      <c r="AC290" s="101"/>
      <c r="AD290" s="101"/>
    </row>
    <row r="291" ht="30.0" customHeight="1">
      <c r="A291" s="141"/>
      <c r="B291" s="101"/>
      <c r="C291" s="101"/>
      <c r="D291" s="101"/>
      <c r="E291" s="101"/>
      <c r="F291" s="101"/>
      <c r="G291" s="101"/>
      <c r="H291" s="101"/>
      <c r="I291" s="101"/>
      <c r="J291" s="142"/>
      <c r="K291" s="101"/>
      <c r="L291" s="101"/>
      <c r="M291" s="101"/>
      <c r="N291" s="101"/>
      <c r="O291" s="101"/>
      <c r="P291" s="101"/>
      <c r="Q291" s="101"/>
      <c r="R291" s="101"/>
      <c r="S291" s="101"/>
      <c r="T291" s="101"/>
      <c r="U291" s="101"/>
      <c r="V291" s="101"/>
      <c r="W291" s="101"/>
      <c r="X291" s="101"/>
      <c r="Y291" s="101"/>
      <c r="Z291" s="101"/>
      <c r="AA291" s="101"/>
      <c r="AB291" s="101"/>
      <c r="AC291" s="101"/>
      <c r="AD291" s="101"/>
    </row>
    <row r="292" ht="30.0" customHeight="1">
      <c r="A292" s="141"/>
      <c r="B292" s="101"/>
      <c r="C292" s="101"/>
      <c r="D292" s="101"/>
      <c r="E292" s="101"/>
      <c r="F292" s="101"/>
      <c r="G292" s="101"/>
      <c r="H292" s="101"/>
      <c r="I292" s="101"/>
      <c r="J292" s="142"/>
      <c r="K292" s="101"/>
      <c r="L292" s="101"/>
      <c r="M292" s="101"/>
      <c r="N292" s="101"/>
      <c r="O292" s="101"/>
      <c r="P292" s="101"/>
      <c r="Q292" s="101"/>
      <c r="R292" s="101"/>
      <c r="S292" s="101"/>
      <c r="T292" s="101"/>
      <c r="U292" s="101"/>
      <c r="V292" s="101"/>
      <c r="W292" s="101"/>
      <c r="X292" s="101"/>
      <c r="Y292" s="101"/>
      <c r="Z292" s="101"/>
      <c r="AA292" s="101"/>
      <c r="AB292" s="101"/>
      <c r="AC292" s="101"/>
      <c r="AD292" s="101"/>
    </row>
    <row r="293" ht="30.0" customHeight="1">
      <c r="A293" s="141"/>
      <c r="B293" s="101"/>
      <c r="C293" s="101"/>
      <c r="D293" s="101"/>
      <c r="E293" s="101"/>
      <c r="F293" s="101"/>
      <c r="G293" s="101"/>
      <c r="H293" s="101"/>
      <c r="I293" s="101"/>
      <c r="J293" s="142"/>
      <c r="K293" s="101"/>
      <c r="L293" s="101"/>
      <c r="M293" s="101"/>
      <c r="N293" s="101"/>
      <c r="O293" s="101"/>
      <c r="P293" s="101"/>
      <c r="Q293" s="101"/>
      <c r="R293" s="101"/>
      <c r="S293" s="101"/>
      <c r="T293" s="101"/>
      <c r="U293" s="101"/>
      <c r="V293" s="101"/>
      <c r="W293" s="101"/>
      <c r="X293" s="101"/>
      <c r="Y293" s="101"/>
      <c r="Z293" s="101"/>
      <c r="AA293" s="101"/>
      <c r="AB293" s="101"/>
      <c r="AC293" s="101"/>
      <c r="AD293" s="101"/>
    </row>
    <row r="294" ht="30.0" customHeight="1">
      <c r="A294" s="141"/>
      <c r="B294" s="101"/>
      <c r="C294" s="101"/>
      <c r="D294" s="101"/>
      <c r="E294" s="101"/>
      <c r="F294" s="101"/>
      <c r="G294" s="101"/>
      <c r="H294" s="101"/>
      <c r="I294" s="101"/>
      <c r="J294" s="142"/>
      <c r="K294" s="101"/>
      <c r="L294" s="101"/>
      <c r="M294" s="101"/>
      <c r="N294" s="101"/>
      <c r="O294" s="101"/>
      <c r="P294" s="101"/>
      <c r="Q294" s="101"/>
      <c r="R294" s="101"/>
      <c r="S294" s="101"/>
      <c r="T294" s="101"/>
      <c r="U294" s="101"/>
      <c r="V294" s="101"/>
      <c r="W294" s="101"/>
      <c r="X294" s="101"/>
      <c r="Y294" s="101"/>
      <c r="Z294" s="101"/>
      <c r="AA294" s="101"/>
      <c r="AB294" s="101"/>
      <c r="AC294" s="101"/>
      <c r="AD294" s="101"/>
    </row>
    <row r="295" ht="30.0" customHeight="1">
      <c r="A295" s="141"/>
      <c r="B295" s="101"/>
      <c r="C295" s="101"/>
      <c r="D295" s="101"/>
      <c r="E295" s="101"/>
      <c r="F295" s="101"/>
      <c r="G295" s="101"/>
      <c r="H295" s="101"/>
      <c r="I295" s="101"/>
      <c r="J295" s="142"/>
      <c r="K295" s="101"/>
      <c r="L295" s="101"/>
      <c r="M295" s="101"/>
      <c r="N295" s="101"/>
      <c r="O295" s="101"/>
      <c r="P295" s="101"/>
      <c r="Q295" s="101"/>
      <c r="R295" s="101"/>
      <c r="S295" s="101"/>
      <c r="T295" s="101"/>
      <c r="U295" s="101"/>
      <c r="V295" s="101"/>
      <c r="W295" s="101"/>
      <c r="X295" s="101"/>
      <c r="Y295" s="101"/>
      <c r="Z295" s="101"/>
      <c r="AA295" s="101"/>
      <c r="AB295" s="101"/>
      <c r="AC295" s="101"/>
      <c r="AD295" s="101"/>
    </row>
    <row r="296" ht="30.0" customHeight="1">
      <c r="A296" s="141"/>
      <c r="B296" s="101"/>
      <c r="C296" s="101"/>
      <c r="D296" s="101"/>
      <c r="E296" s="101"/>
      <c r="F296" s="101"/>
      <c r="G296" s="101"/>
      <c r="H296" s="101"/>
      <c r="I296" s="101"/>
      <c r="J296" s="142"/>
      <c r="K296" s="101"/>
      <c r="L296" s="101"/>
      <c r="M296" s="101"/>
      <c r="N296" s="101"/>
      <c r="O296" s="101"/>
      <c r="P296" s="101"/>
      <c r="Q296" s="101"/>
      <c r="R296" s="101"/>
      <c r="S296" s="101"/>
      <c r="T296" s="101"/>
      <c r="U296" s="101"/>
      <c r="V296" s="101"/>
      <c r="W296" s="101"/>
      <c r="X296" s="101"/>
      <c r="Y296" s="101"/>
      <c r="Z296" s="101"/>
      <c r="AA296" s="101"/>
      <c r="AB296" s="101"/>
      <c r="AC296" s="101"/>
      <c r="AD296" s="101"/>
    </row>
    <row r="297" ht="30.0" customHeight="1">
      <c r="A297" s="141"/>
      <c r="B297" s="101"/>
      <c r="C297" s="101"/>
      <c r="D297" s="101"/>
      <c r="E297" s="101"/>
      <c r="F297" s="101"/>
      <c r="G297" s="101"/>
      <c r="H297" s="101"/>
      <c r="I297" s="101"/>
      <c r="J297" s="142"/>
      <c r="K297" s="101"/>
      <c r="L297" s="101"/>
      <c r="M297" s="101"/>
      <c r="N297" s="101"/>
      <c r="O297" s="101"/>
      <c r="P297" s="101"/>
      <c r="Q297" s="101"/>
      <c r="R297" s="101"/>
      <c r="S297" s="101"/>
      <c r="T297" s="101"/>
      <c r="U297" s="101"/>
      <c r="V297" s="101"/>
      <c r="W297" s="101"/>
      <c r="X297" s="101"/>
      <c r="Y297" s="101"/>
      <c r="Z297" s="101"/>
      <c r="AA297" s="101"/>
      <c r="AB297" s="101"/>
      <c r="AC297" s="101"/>
      <c r="AD297" s="101"/>
    </row>
    <row r="298" ht="30.0" customHeight="1">
      <c r="A298" s="141"/>
      <c r="B298" s="101"/>
      <c r="C298" s="101"/>
      <c r="D298" s="101"/>
      <c r="E298" s="101"/>
      <c r="F298" s="101"/>
      <c r="G298" s="101"/>
      <c r="H298" s="101"/>
      <c r="I298" s="101"/>
      <c r="J298" s="142"/>
      <c r="K298" s="101"/>
      <c r="L298" s="101"/>
      <c r="M298" s="101"/>
      <c r="N298" s="101"/>
      <c r="O298" s="101"/>
      <c r="P298" s="101"/>
      <c r="Q298" s="101"/>
      <c r="R298" s="101"/>
      <c r="S298" s="101"/>
      <c r="T298" s="101"/>
      <c r="U298" s="101"/>
      <c r="V298" s="101"/>
      <c r="W298" s="101"/>
      <c r="X298" s="101"/>
      <c r="Y298" s="101"/>
      <c r="Z298" s="101"/>
      <c r="AA298" s="101"/>
      <c r="AB298" s="101"/>
      <c r="AC298" s="101"/>
      <c r="AD298" s="101"/>
    </row>
    <row r="299" ht="30.0" customHeight="1">
      <c r="A299" s="141"/>
      <c r="B299" s="101"/>
      <c r="C299" s="101"/>
      <c r="D299" s="101"/>
      <c r="E299" s="101"/>
      <c r="F299" s="101"/>
      <c r="G299" s="101"/>
      <c r="H299" s="101"/>
      <c r="I299" s="101"/>
      <c r="J299" s="142"/>
      <c r="K299" s="101"/>
      <c r="L299" s="101"/>
      <c r="M299" s="101"/>
      <c r="N299" s="101"/>
      <c r="O299" s="101"/>
      <c r="P299" s="101"/>
      <c r="Q299" s="101"/>
      <c r="R299" s="101"/>
      <c r="S299" s="101"/>
      <c r="T299" s="101"/>
      <c r="U299" s="101"/>
      <c r="V299" s="101"/>
      <c r="W299" s="101"/>
      <c r="X299" s="101"/>
      <c r="Y299" s="101"/>
      <c r="Z299" s="101"/>
      <c r="AA299" s="101"/>
      <c r="AB299" s="101"/>
      <c r="AC299" s="101"/>
      <c r="AD299" s="101"/>
    </row>
    <row r="300" ht="30.0" customHeight="1">
      <c r="A300" s="141"/>
      <c r="B300" s="101"/>
      <c r="C300" s="101"/>
      <c r="D300" s="101"/>
      <c r="E300" s="101"/>
      <c r="F300" s="101"/>
      <c r="G300" s="101"/>
      <c r="H300" s="101"/>
      <c r="I300" s="101"/>
      <c r="J300" s="142"/>
      <c r="K300" s="101"/>
      <c r="L300" s="101"/>
      <c r="M300" s="101"/>
      <c r="N300" s="101"/>
      <c r="O300" s="101"/>
      <c r="P300" s="101"/>
      <c r="Q300" s="101"/>
      <c r="R300" s="101"/>
      <c r="S300" s="101"/>
      <c r="T300" s="101"/>
      <c r="U300" s="101"/>
      <c r="V300" s="101"/>
      <c r="W300" s="101"/>
      <c r="X300" s="101"/>
      <c r="Y300" s="101"/>
      <c r="Z300" s="101"/>
      <c r="AA300" s="101"/>
      <c r="AB300" s="101"/>
      <c r="AC300" s="101"/>
      <c r="AD300" s="101"/>
    </row>
    <row r="301" ht="30.0" customHeight="1">
      <c r="A301" s="141"/>
      <c r="B301" s="101"/>
      <c r="C301" s="101"/>
      <c r="D301" s="101"/>
      <c r="E301" s="101"/>
      <c r="F301" s="101"/>
      <c r="G301" s="101"/>
      <c r="H301" s="101"/>
      <c r="I301" s="101"/>
      <c r="J301" s="142"/>
      <c r="K301" s="101"/>
      <c r="L301" s="101"/>
      <c r="M301" s="101"/>
      <c r="N301" s="101"/>
      <c r="O301" s="101"/>
      <c r="P301" s="101"/>
      <c r="Q301" s="101"/>
      <c r="R301" s="101"/>
      <c r="S301" s="101"/>
      <c r="T301" s="101"/>
      <c r="U301" s="101"/>
      <c r="V301" s="101"/>
      <c r="W301" s="101"/>
      <c r="X301" s="101"/>
      <c r="Y301" s="101"/>
      <c r="Z301" s="101"/>
      <c r="AA301" s="101"/>
      <c r="AB301" s="101"/>
      <c r="AC301" s="101"/>
      <c r="AD301" s="101"/>
    </row>
    <row r="302" ht="30.0" customHeight="1">
      <c r="A302" s="141"/>
      <c r="B302" s="101"/>
      <c r="C302" s="101"/>
      <c r="D302" s="101"/>
      <c r="E302" s="101"/>
      <c r="F302" s="101"/>
      <c r="G302" s="101"/>
      <c r="H302" s="101"/>
      <c r="I302" s="101"/>
      <c r="J302" s="142"/>
      <c r="K302" s="101"/>
      <c r="L302" s="101"/>
      <c r="M302" s="101"/>
      <c r="N302" s="101"/>
      <c r="O302" s="101"/>
      <c r="P302" s="101"/>
      <c r="Q302" s="101"/>
      <c r="R302" s="101"/>
      <c r="S302" s="101"/>
      <c r="T302" s="101"/>
      <c r="U302" s="101"/>
      <c r="V302" s="101"/>
      <c r="W302" s="101"/>
      <c r="X302" s="101"/>
      <c r="Y302" s="101"/>
      <c r="Z302" s="101"/>
      <c r="AA302" s="101"/>
      <c r="AB302" s="101"/>
      <c r="AC302" s="101"/>
      <c r="AD302" s="101"/>
    </row>
    <row r="303" ht="30.0" customHeight="1">
      <c r="A303" s="141"/>
      <c r="B303" s="101"/>
      <c r="C303" s="101"/>
      <c r="D303" s="101"/>
      <c r="E303" s="101"/>
      <c r="F303" s="101"/>
      <c r="G303" s="101"/>
      <c r="H303" s="101"/>
      <c r="I303" s="101"/>
      <c r="J303" s="142"/>
      <c r="K303" s="101"/>
      <c r="L303" s="101"/>
      <c r="M303" s="101"/>
      <c r="N303" s="101"/>
      <c r="O303" s="101"/>
      <c r="P303" s="101"/>
      <c r="Q303" s="101"/>
      <c r="R303" s="101"/>
      <c r="S303" s="101"/>
      <c r="T303" s="101"/>
      <c r="U303" s="101"/>
      <c r="V303" s="101"/>
      <c r="W303" s="101"/>
      <c r="X303" s="101"/>
      <c r="Y303" s="101"/>
      <c r="Z303" s="101"/>
      <c r="AA303" s="101"/>
      <c r="AB303" s="101"/>
      <c r="AC303" s="101"/>
      <c r="AD303" s="101"/>
    </row>
    <row r="304" ht="30.0" customHeight="1">
      <c r="A304" s="141"/>
      <c r="B304" s="101"/>
      <c r="C304" s="101"/>
      <c r="D304" s="101"/>
      <c r="E304" s="101"/>
      <c r="F304" s="101"/>
      <c r="G304" s="101"/>
      <c r="H304" s="101"/>
      <c r="I304" s="101"/>
      <c r="J304" s="142"/>
      <c r="K304" s="101"/>
      <c r="L304" s="101"/>
      <c r="M304" s="101"/>
      <c r="N304" s="101"/>
      <c r="O304" s="101"/>
      <c r="P304" s="101"/>
      <c r="Q304" s="101"/>
      <c r="R304" s="101"/>
      <c r="S304" s="101"/>
      <c r="T304" s="101"/>
      <c r="U304" s="101"/>
      <c r="V304" s="101"/>
      <c r="W304" s="101"/>
      <c r="X304" s="101"/>
      <c r="Y304" s="101"/>
      <c r="Z304" s="101"/>
      <c r="AA304" s="101"/>
      <c r="AB304" s="101"/>
      <c r="AC304" s="101"/>
      <c r="AD304" s="101"/>
    </row>
    <row r="305" ht="30.0" customHeight="1">
      <c r="A305" s="141"/>
      <c r="B305" s="101"/>
      <c r="C305" s="101"/>
      <c r="D305" s="101"/>
      <c r="E305" s="101"/>
      <c r="F305" s="101"/>
      <c r="G305" s="101"/>
      <c r="H305" s="101"/>
      <c r="I305" s="101"/>
      <c r="J305" s="142"/>
      <c r="K305" s="101"/>
      <c r="L305" s="101"/>
      <c r="M305" s="101"/>
      <c r="N305" s="101"/>
      <c r="O305" s="101"/>
      <c r="P305" s="101"/>
      <c r="Q305" s="101"/>
      <c r="R305" s="101"/>
      <c r="S305" s="101"/>
      <c r="T305" s="101"/>
      <c r="U305" s="101"/>
      <c r="V305" s="101"/>
      <c r="W305" s="101"/>
      <c r="X305" s="101"/>
      <c r="Y305" s="101"/>
      <c r="Z305" s="101"/>
      <c r="AA305" s="101"/>
      <c r="AB305" s="101"/>
      <c r="AC305" s="101"/>
      <c r="AD305" s="101"/>
    </row>
    <row r="306" ht="30.0" customHeight="1">
      <c r="A306" s="141"/>
      <c r="B306" s="101"/>
      <c r="C306" s="101"/>
      <c r="D306" s="101"/>
      <c r="E306" s="101"/>
      <c r="F306" s="101"/>
      <c r="G306" s="101"/>
      <c r="H306" s="101"/>
      <c r="I306" s="101"/>
      <c r="J306" s="142"/>
      <c r="K306" s="101"/>
      <c r="L306" s="101"/>
      <c r="M306" s="101"/>
      <c r="N306" s="101"/>
      <c r="O306" s="101"/>
      <c r="P306" s="101"/>
      <c r="Q306" s="101"/>
      <c r="R306" s="101"/>
      <c r="S306" s="101"/>
      <c r="T306" s="101"/>
      <c r="U306" s="101"/>
      <c r="V306" s="101"/>
      <c r="W306" s="101"/>
      <c r="X306" s="101"/>
      <c r="Y306" s="101"/>
      <c r="Z306" s="101"/>
      <c r="AA306" s="101"/>
      <c r="AB306" s="101"/>
      <c r="AC306" s="101"/>
      <c r="AD306" s="101"/>
    </row>
    <row r="307" ht="30.0" customHeight="1">
      <c r="A307" s="141"/>
      <c r="B307" s="101"/>
      <c r="C307" s="101"/>
      <c r="D307" s="101"/>
      <c r="E307" s="101"/>
      <c r="F307" s="101"/>
      <c r="G307" s="101"/>
      <c r="H307" s="101"/>
      <c r="I307" s="101"/>
      <c r="J307" s="142"/>
      <c r="K307" s="101"/>
      <c r="L307" s="101"/>
      <c r="M307" s="101"/>
      <c r="N307" s="101"/>
      <c r="O307" s="101"/>
      <c r="P307" s="101"/>
      <c r="Q307" s="101"/>
      <c r="R307" s="101"/>
      <c r="S307" s="101"/>
      <c r="T307" s="101"/>
      <c r="U307" s="101"/>
      <c r="V307" s="101"/>
      <c r="W307" s="101"/>
      <c r="X307" s="101"/>
      <c r="Y307" s="101"/>
      <c r="Z307" s="101"/>
      <c r="AA307" s="101"/>
      <c r="AB307" s="101"/>
      <c r="AC307" s="101"/>
      <c r="AD307" s="101"/>
    </row>
    <row r="308" ht="30.0" customHeight="1">
      <c r="A308" s="141"/>
      <c r="B308" s="101"/>
      <c r="C308" s="101"/>
      <c r="D308" s="101"/>
      <c r="E308" s="101"/>
      <c r="F308" s="101"/>
      <c r="G308" s="101"/>
      <c r="H308" s="101"/>
      <c r="I308" s="101"/>
      <c r="J308" s="142"/>
      <c r="K308" s="101"/>
      <c r="L308" s="101"/>
      <c r="M308" s="101"/>
      <c r="N308" s="101"/>
      <c r="O308" s="101"/>
      <c r="P308" s="101"/>
      <c r="Q308" s="101"/>
      <c r="R308" s="101"/>
      <c r="S308" s="101"/>
      <c r="T308" s="101"/>
      <c r="U308" s="101"/>
      <c r="V308" s="101"/>
      <c r="W308" s="101"/>
      <c r="X308" s="101"/>
      <c r="Y308" s="101"/>
      <c r="Z308" s="101"/>
      <c r="AA308" s="101"/>
      <c r="AB308" s="101"/>
      <c r="AC308" s="101"/>
      <c r="AD308" s="101"/>
    </row>
    <row r="309" ht="30.0" customHeight="1">
      <c r="A309" s="141"/>
      <c r="B309" s="101"/>
      <c r="C309" s="101"/>
      <c r="D309" s="101"/>
      <c r="E309" s="101"/>
      <c r="F309" s="101"/>
      <c r="G309" s="101"/>
      <c r="H309" s="101"/>
      <c r="I309" s="101"/>
      <c r="J309" s="142"/>
      <c r="K309" s="101"/>
      <c r="L309" s="101"/>
      <c r="M309" s="101"/>
      <c r="N309" s="101"/>
      <c r="O309" s="101"/>
      <c r="P309" s="101"/>
      <c r="Q309" s="101"/>
      <c r="R309" s="101"/>
      <c r="S309" s="101"/>
      <c r="T309" s="101"/>
      <c r="U309" s="101"/>
      <c r="V309" s="101"/>
      <c r="W309" s="101"/>
      <c r="X309" s="101"/>
      <c r="Y309" s="101"/>
      <c r="Z309" s="101"/>
      <c r="AA309" s="101"/>
      <c r="AB309" s="101"/>
      <c r="AC309" s="101"/>
      <c r="AD309" s="101"/>
    </row>
    <row r="310" ht="30.0" customHeight="1">
      <c r="A310" s="141"/>
      <c r="B310" s="101"/>
      <c r="C310" s="101"/>
      <c r="D310" s="101"/>
      <c r="E310" s="101"/>
      <c r="F310" s="101"/>
      <c r="G310" s="101"/>
      <c r="H310" s="101"/>
      <c r="I310" s="101"/>
      <c r="J310" s="142"/>
      <c r="K310" s="101"/>
      <c r="L310" s="101"/>
      <c r="M310" s="101"/>
      <c r="N310" s="101"/>
      <c r="O310" s="101"/>
      <c r="P310" s="101"/>
      <c r="Q310" s="101"/>
      <c r="R310" s="101"/>
      <c r="S310" s="101"/>
      <c r="T310" s="101"/>
      <c r="U310" s="101"/>
      <c r="V310" s="101"/>
      <c r="W310" s="101"/>
      <c r="X310" s="101"/>
      <c r="Y310" s="101"/>
      <c r="Z310" s="101"/>
      <c r="AA310" s="101"/>
      <c r="AB310" s="101"/>
      <c r="AC310" s="101"/>
      <c r="AD310" s="101"/>
    </row>
    <row r="311" ht="30.0" customHeight="1">
      <c r="A311" s="141"/>
      <c r="B311" s="101"/>
      <c r="C311" s="101"/>
      <c r="D311" s="101"/>
      <c r="E311" s="101"/>
      <c r="F311" s="101"/>
      <c r="G311" s="101"/>
      <c r="H311" s="101"/>
      <c r="I311" s="101"/>
      <c r="J311" s="142"/>
      <c r="K311" s="101"/>
      <c r="L311" s="101"/>
      <c r="M311" s="101"/>
      <c r="N311" s="101"/>
      <c r="O311" s="101"/>
      <c r="P311" s="101"/>
      <c r="Q311" s="101"/>
      <c r="R311" s="101"/>
      <c r="S311" s="101"/>
      <c r="T311" s="101"/>
      <c r="U311" s="101"/>
      <c r="V311" s="101"/>
      <c r="W311" s="101"/>
      <c r="X311" s="101"/>
      <c r="Y311" s="101"/>
      <c r="Z311" s="101"/>
      <c r="AA311" s="101"/>
      <c r="AB311" s="101"/>
      <c r="AC311" s="101"/>
      <c r="AD311" s="101"/>
    </row>
    <row r="312" ht="30.0" customHeight="1">
      <c r="A312" s="141"/>
      <c r="B312" s="101"/>
      <c r="C312" s="101"/>
      <c r="D312" s="101"/>
      <c r="E312" s="101"/>
      <c r="F312" s="101"/>
      <c r="G312" s="101"/>
      <c r="H312" s="101"/>
      <c r="I312" s="101"/>
      <c r="J312" s="142"/>
      <c r="K312" s="101"/>
      <c r="L312" s="101"/>
      <c r="M312" s="101"/>
      <c r="N312" s="101"/>
      <c r="O312" s="101"/>
      <c r="P312" s="101"/>
      <c r="Q312" s="101"/>
      <c r="R312" s="101"/>
      <c r="S312" s="101"/>
      <c r="T312" s="101"/>
      <c r="U312" s="101"/>
      <c r="V312" s="101"/>
      <c r="W312" s="101"/>
      <c r="X312" s="101"/>
      <c r="Y312" s="101"/>
      <c r="Z312" s="101"/>
      <c r="AA312" s="101"/>
      <c r="AB312" s="101"/>
      <c r="AC312" s="101"/>
      <c r="AD312" s="101"/>
    </row>
    <row r="313" ht="30.0" customHeight="1">
      <c r="A313" s="141"/>
      <c r="B313" s="101"/>
      <c r="C313" s="101"/>
      <c r="D313" s="101"/>
      <c r="E313" s="101"/>
      <c r="F313" s="101"/>
      <c r="G313" s="101"/>
      <c r="H313" s="101"/>
      <c r="I313" s="101"/>
      <c r="J313" s="142"/>
      <c r="K313" s="101"/>
      <c r="L313" s="101"/>
      <c r="M313" s="101"/>
      <c r="N313" s="101"/>
      <c r="O313" s="101"/>
      <c r="P313" s="101"/>
      <c r="Q313" s="101"/>
      <c r="R313" s="101"/>
      <c r="S313" s="101"/>
      <c r="T313" s="101"/>
      <c r="U313" s="101"/>
      <c r="V313" s="101"/>
      <c r="W313" s="101"/>
      <c r="X313" s="101"/>
      <c r="Y313" s="101"/>
      <c r="Z313" s="101"/>
      <c r="AA313" s="101"/>
      <c r="AB313" s="101"/>
      <c r="AC313" s="101"/>
      <c r="AD313" s="101"/>
    </row>
    <row r="314" ht="30.0" customHeight="1">
      <c r="A314" s="141"/>
      <c r="B314" s="101"/>
      <c r="C314" s="101"/>
      <c r="D314" s="101"/>
      <c r="E314" s="101"/>
      <c r="F314" s="101"/>
      <c r="G314" s="101"/>
      <c r="H314" s="101"/>
      <c r="I314" s="101"/>
      <c r="J314" s="142"/>
      <c r="K314" s="101"/>
      <c r="L314" s="101"/>
      <c r="M314" s="101"/>
      <c r="N314" s="101"/>
      <c r="O314" s="101"/>
      <c r="P314" s="101"/>
      <c r="Q314" s="101"/>
      <c r="R314" s="101"/>
      <c r="S314" s="101"/>
      <c r="T314" s="101"/>
      <c r="U314" s="101"/>
      <c r="V314" s="101"/>
      <c r="W314" s="101"/>
      <c r="X314" s="101"/>
      <c r="Y314" s="101"/>
      <c r="Z314" s="101"/>
      <c r="AA314" s="101"/>
      <c r="AB314" s="101"/>
      <c r="AC314" s="101"/>
      <c r="AD314" s="101"/>
    </row>
    <row r="315" ht="30.0" customHeight="1">
      <c r="A315" s="141"/>
      <c r="B315" s="101"/>
      <c r="C315" s="101"/>
      <c r="D315" s="101"/>
      <c r="E315" s="101"/>
      <c r="F315" s="101"/>
      <c r="G315" s="101"/>
      <c r="H315" s="101"/>
      <c r="I315" s="101"/>
      <c r="J315" s="142"/>
      <c r="K315" s="101"/>
      <c r="L315" s="101"/>
      <c r="M315" s="101"/>
      <c r="N315" s="101"/>
      <c r="O315" s="101"/>
      <c r="P315" s="101"/>
      <c r="Q315" s="101"/>
      <c r="R315" s="101"/>
      <c r="S315" s="101"/>
      <c r="T315" s="101"/>
      <c r="U315" s="101"/>
      <c r="V315" s="101"/>
      <c r="W315" s="101"/>
      <c r="X315" s="101"/>
      <c r="Y315" s="101"/>
      <c r="Z315" s="101"/>
      <c r="AA315" s="101"/>
      <c r="AB315" s="101"/>
      <c r="AC315" s="101"/>
      <c r="AD315" s="101"/>
    </row>
    <row r="316" ht="30.0" customHeight="1">
      <c r="A316" s="141"/>
      <c r="B316" s="101"/>
      <c r="C316" s="101"/>
      <c r="D316" s="101"/>
      <c r="E316" s="101"/>
      <c r="F316" s="101"/>
      <c r="G316" s="101"/>
      <c r="H316" s="101"/>
      <c r="I316" s="101"/>
      <c r="J316" s="142"/>
      <c r="K316" s="101"/>
      <c r="L316" s="101"/>
      <c r="M316" s="101"/>
      <c r="N316" s="101"/>
      <c r="O316" s="101"/>
      <c r="P316" s="101"/>
      <c r="Q316" s="101"/>
      <c r="R316" s="101"/>
      <c r="S316" s="101"/>
      <c r="T316" s="101"/>
      <c r="U316" s="101"/>
      <c r="V316" s="101"/>
      <c r="W316" s="101"/>
      <c r="X316" s="101"/>
      <c r="Y316" s="101"/>
      <c r="Z316" s="101"/>
      <c r="AA316" s="101"/>
      <c r="AB316" s="101"/>
      <c r="AC316" s="101"/>
      <c r="AD316" s="101"/>
    </row>
    <row r="317" ht="30.0" customHeight="1">
      <c r="A317" s="141"/>
      <c r="B317" s="101"/>
      <c r="C317" s="101"/>
      <c r="D317" s="101"/>
      <c r="E317" s="101"/>
      <c r="F317" s="101"/>
      <c r="G317" s="101"/>
      <c r="H317" s="101"/>
      <c r="I317" s="101"/>
      <c r="J317" s="142"/>
      <c r="K317" s="101"/>
      <c r="L317" s="101"/>
      <c r="M317" s="101"/>
      <c r="N317" s="101"/>
      <c r="O317" s="101"/>
      <c r="P317" s="101"/>
      <c r="Q317" s="101"/>
      <c r="R317" s="101"/>
      <c r="S317" s="101"/>
      <c r="T317" s="101"/>
      <c r="U317" s="101"/>
      <c r="V317" s="101"/>
      <c r="W317" s="101"/>
      <c r="X317" s="101"/>
      <c r="Y317" s="101"/>
      <c r="Z317" s="101"/>
      <c r="AA317" s="101"/>
      <c r="AB317" s="101"/>
      <c r="AC317" s="101"/>
      <c r="AD317" s="101"/>
    </row>
    <row r="318" ht="30.0" customHeight="1">
      <c r="A318" s="141"/>
      <c r="B318" s="101"/>
      <c r="C318" s="101"/>
      <c r="D318" s="101"/>
      <c r="E318" s="101"/>
      <c r="F318" s="101"/>
      <c r="G318" s="101"/>
      <c r="H318" s="101"/>
      <c r="I318" s="101"/>
      <c r="J318" s="142"/>
      <c r="K318" s="101"/>
      <c r="L318" s="101"/>
      <c r="M318" s="101"/>
      <c r="N318" s="101"/>
      <c r="O318" s="101"/>
      <c r="P318" s="101"/>
      <c r="Q318" s="101"/>
      <c r="R318" s="101"/>
      <c r="S318" s="101"/>
      <c r="T318" s="101"/>
      <c r="U318" s="101"/>
      <c r="V318" s="101"/>
      <c r="W318" s="101"/>
      <c r="X318" s="101"/>
      <c r="Y318" s="101"/>
      <c r="Z318" s="101"/>
      <c r="AA318" s="101"/>
      <c r="AB318" s="101"/>
      <c r="AC318" s="101"/>
      <c r="AD318" s="101"/>
    </row>
    <row r="319" ht="30.0" customHeight="1">
      <c r="A319" s="141"/>
      <c r="B319" s="101"/>
      <c r="C319" s="101"/>
      <c r="D319" s="101"/>
      <c r="E319" s="101"/>
      <c r="F319" s="101"/>
      <c r="G319" s="101"/>
      <c r="H319" s="101"/>
      <c r="I319" s="101"/>
      <c r="J319" s="142"/>
      <c r="K319" s="101"/>
      <c r="L319" s="101"/>
      <c r="M319" s="101"/>
      <c r="N319" s="101"/>
      <c r="O319" s="101"/>
      <c r="P319" s="101"/>
      <c r="Q319" s="101"/>
      <c r="R319" s="101"/>
      <c r="S319" s="101"/>
      <c r="T319" s="101"/>
      <c r="U319" s="101"/>
      <c r="V319" s="101"/>
      <c r="W319" s="101"/>
      <c r="X319" s="101"/>
      <c r="Y319" s="101"/>
      <c r="Z319" s="101"/>
      <c r="AA319" s="101"/>
      <c r="AB319" s="101"/>
      <c r="AC319" s="101"/>
      <c r="AD319" s="101"/>
    </row>
    <row r="320" ht="30.0" customHeight="1">
      <c r="A320" s="141"/>
      <c r="B320" s="101"/>
      <c r="C320" s="101"/>
      <c r="D320" s="101"/>
      <c r="E320" s="101"/>
      <c r="F320" s="101"/>
      <c r="G320" s="101"/>
      <c r="H320" s="101"/>
      <c r="I320" s="101"/>
      <c r="J320" s="142"/>
      <c r="K320" s="101"/>
      <c r="L320" s="101"/>
      <c r="M320" s="101"/>
      <c r="N320" s="101"/>
      <c r="O320" s="101"/>
      <c r="P320" s="101"/>
      <c r="Q320" s="101"/>
      <c r="R320" s="101"/>
      <c r="S320" s="101"/>
      <c r="T320" s="101"/>
      <c r="U320" s="101"/>
      <c r="V320" s="101"/>
      <c r="W320" s="101"/>
      <c r="X320" s="101"/>
      <c r="Y320" s="101"/>
      <c r="Z320" s="101"/>
      <c r="AA320" s="101"/>
      <c r="AB320" s="101"/>
      <c r="AC320" s="101"/>
      <c r="AD320" s="101"/>
    </row>
    <row r="321" ht="30.0" customHeight="1">
      <c r="A321" s="141"/>
      <c r="B321" s="101"/>
      <c r="C321" s="101"/>
      <c r="D321" s="101"/>
      <c r="E321" s="101"/>
      <c r="F321" s="101"/>
      <c r="G321" s="101"/>
      <c r="H321" s="101"/>
      <c r="I321" s="101"/>
      <c r="J321" s="142"/>
      <c r="K321" s="101"/>
      <c r="L321" s="101"/>
      <c r="M321" s="101"/>
      <c r="N321" s="101"/>
      <c r="O321" s="101"/>
      <c r="P321" s="101"/>
      <c r="Q321" s="101"/>
      <c r="R321" s="101"/>
      <c r="S321" s="101"/>
      <c r="T321" s="101"/>
      <c r="U321" s="101"/>
      <c r="V321" s="101"/>
      <c r="W321" s="101"/>
      <c r="X321" s="101"/>
      <c r="Y321" s="101"/>
      <c r="Z321" s="101"/>
      <c r="AA321" s="101"/>
      <c r="AB321" s="101"/>
      <c r="AC321" s="101"/>
      <c r="AD321" s="101"/>
    </row>
    <row r="322" ht="30.0" customHeight="1">
      <c r="A322" s="141"/>
      <c r="B322" s="101"/>
      <c r="C322" s="101"/>
      <c r="D322" s="101"/>
      <c r="E322" s="101"/>
      <c r="F322" s="101"/>
      <c r="G322" s="101"/>
      <c r="H322" s="101"/>
      <c r="I322" s="101"/>
      <c r="J322" s="142"/>
      <c r="K322" s="101"/>
      <c r="L322" s="101"/>
      <c r="M322" s="101"/>
      <c r="N322" s="101"/>
      <c r="O322" s="101"/>
      <c r="P322" s="101"/>
      <c r="Q322" s="101"/>
      <c r="R322" s="101"/>
      <c r="S322" s="101"/>
      <c r="T322" s="101"/>
      <c r="U322" s="101"/>
      <c r="V322" s="101"/>
      <c r="W322" s="101"/>
      <c r="X322" s="101"/>
      <c r="Y322" s="101"/>
      <c r="Z322" s="101"/>
      <c r="AA322" s="101"/>
      <c r="AB322" s="101"/>
      <c r="AC322" s="101"/>
      <c r="AD322" s="101"/>
    </row>
    <row r="323" ht="30.0" customHeight="1">
      <c r="A323" s="141"/>
      <c r="B323" s="101"/>
      <c r="C323" s="101"/>
      <c r="D323" s="101"/>
      <c r="E323" s="101"/>
      <c r="F323" s="101"/>
      <c r="G323" s="101"/>
      <c r="H323" s="101"/>
      <c r="I323" s="101"/>
      <c r="J323" s="142"/>
      <c r="K323" s="101"/>
      <c r="L323" s="101"/>
      <c r="M323" s="101"/>
      <c r="N323" s="101"/>
      <c r="O323" s="101"/>
      <c r="P323" s="101"/>
      <c r="Q323" s="101"/>
      <c r="R323" s="101"/>
      <c r="S323" s="101"/>
      <c r="T323" s="101"/>
      <c r="U323" s="101"/>
      <c r="V323" s="101"/>
      <c r="W323" s="101"/>
      <c r="X323" s="101"/>
      <c r="Y323" s="101"/>
      <c r="Z323" s="101"/>
      <c r="AA323" s="101"/>
      <c r="AB323" s="101"/>
      <c r="AC323" s="101"/>
      <c r="AD323" s="101"/>
    </row>
    <row r="324" ht="30.0" customHeight="1">
      <c r="A324" s="141"/>
      <c r="B324" s="101"/>
      <c r="C324" s="101"/>
      <c r="D324" s="101"/>
      <c r="E324" s="101"/>
      <c r="F324" s="101"/>
      <c r="G324" s="101"/>
      <c r="H324" s="101"/>
      <c r="I324" s="101"/>
      <c r="J324" s="142"/>
      <c r="K324" s="101"/>
      <c r="L324" s="101"/>
      <c r="M324" s="101"/>
      <c r="N324" s="101"/>
      <c r="O324" s="101"/>
      <c r="P324" s="101"/>
      <c r="Q324" s="101"/>
      <c r="R324" s="101"/>
      <c r="S324" s="101"/>
      <c r="T324" s="101"/>
      <c r="U324" s="101"/>
      <c r="V324" s="101"/>
      <c r="W324" s="101"/>
      <c r="X324" s="101"/>
      <c r="Y324" s="101"/>
      <c r="Z324" s="101"/>
      <c r="AA324" s="101"/>
      <c r="AB324" s="101"/>
      <c r="AC324" s="101"/>
      <c r="AD324" s="101"/>
    </row>
    <row r="325" ht="30.0" customHeight="1">
      <c r="A325" s="141"/>
      <c r="B325" s="101"/>
      <c r="C325" s="101"/>
      <c r="D325" s="101"/>
      <c r="E325" s="101"/>
      <c r="F325" s="101"/>
      <c r="G325" s="101"/>
      <c r="H325" s="101"/>
      <c r="I325" s="101"/>
      <c r="J325" s="142"/>
      <c r="K325" s="101"/>
      <c r="L325" s="101"/>
      <c r="M325" s="101"/>
      <c r="N325" s="101"/>
      <c r="O325" s="101"/>
      <c r="P325" s="101"/>
      <c r="Q325" s="101"/>
      <c r="R325" s="101"/>
      <c r="S325" s="101"/>
      <c r="T325" s="101"/>
      <c r="U325" s="101"/>
      <c r="V325" s="101"/>
      <c r="W325" s="101"/>
      <c r="X325" s="101"/>
      <c r="Y325" s="101"/>
      <c r="Z325" s="101"/>
      <c r="AA325" s="101"/>
      <c r="AB325" s="101"/>
      <c r="AC325" s="101"/>
      <c r="AD325" s="101"/>
    </row>
    <row r="326" ht="30.0" customHeight="1">
      <c r="A326" s="141"/>
      <c r="B326" s="101"/>
      <c r="C326" s="101"/>
      <c r="D326" s="101"/>
      <c r="E326" s="101"/>
      <c r="F326" s="101"/>
      <c r="G326" s="101"/>
      <c r="H326" s="101"/>
      <c r="I326" s="101"/>
      <c r="J326" s="142"/>
      <c r="K326" s="101"/>
      <c r="L326" s="101"/>
      <c r="M326" s="101"/>
      <c r="N326" s="101"/>
      <c r="O326" s="101"/>
      <c r="P326" s="101"/>
      <c r="Q326" s="101"/>
      <c r="R326" s="101"/>
      <c r="S326" s="101"/>
      <c r="T326" s="101"/>
      <c r="U326" s="101"/>
      <c r="V326" s="101"/>
      <c r="W326" s="101"/>
      <c r="X326" s="101"/>
      <c r="Y326" s="101"/>
      <c r="Z326" s="101"/>
      <c r="AA326" s="101"/>
      <c r="AB326" s="101"/>
      <c r="AC326" s="101"/>
      <c r="AD326" s="101"/>
    </row>
    <row r="327" ht="30.0" customHeight="1">
      <c r="A327" s="141"/>
      <c r="B327" s="101"/>
      <c r="C327" s="101"/>
      <c r="D327" s="101"/>
      <c r="E327" s="101"/>
      <c r="F327" s="101"/>
      <c r="G327" s="101"/>
      <c r="H327" s="101"/>
      <c r="I327" s="101"/>
      <c r="J327" s="142"/>
      <c r="K327" s="101"/>
      <c r="L327" s="101"/>
      <c r="M327" s="101"/>
      <c r="N327" s="101"/>
      <c r="O327" s="101"/>
      <c r="P327" s="101"/>
      <c r="Q327" s="101"/>
      <c r="R327" s="101"/>
      <c r="S327" s="101"/>
      <c r="T327" s="101"/>
      <c r="U327" s="101"/>
      <c r="V327" s="101"/>
      <c r="W327" s="101"/>
      <c r="X327" s="101"/>
      <c r="Y327" s="101"/>
      <c r="Z327" s="101"/>
      <c r="AA327" s="101"/>
      <c r="AB327" s="101"/>
      <c r="AC327" s="101"/>
      <c r="AD327" s="101"/>
    </row>
    <row r="328" ht="30.0" customHeight="1">
      <c r="A328" s="141"/>
      <c r="B328" s="101"/>
      <c r="C328" s="101"/>
      <c r="D328" s="101"/>
      <c r="E328" s="101"/>
      <c r="F328" s="101"/>
      <c r="G328" s="101"/>
      <c r="H328" s="101"/>
      <c r="I328" s="101"/>
      <c r="J328" s="142"/>
      <c r="K328" s="101"/>
      <c r="L328" s="101"/>
      <c r="M328" s="101"/>
      <c r="N328" s="101"/>
      <c r="O328" s="101"/>
      <c r="P328" s="101"/>
      <c r="Q328" s="101"/>
      <c r="R328" s="101"/>
      <c r="S328" s="101"/>
      <c r="T328" s="101"/>
      <c r="U328" s="101"/>
      <c r="V328" s="101"/>
      <c r="W328" s="101"/>
      <c r="X328" s="101"/>
      <c r="Y328" s="101"/>
      <c r="Z328" s="101"/>
      <c r="AA328" s="101"/>
      <c r="AB328" s="101"/>
      <c r="AC328" s="101"/>
      <c r="AD328" s="101"/>
    </row>
    <row r="329" ht="30.0" customHeight="1">
      <c r="A329" s="141"/>
      <c r="B329" s="101"/>
      <c r="C329" s="101"/>
      <c r="D329" s="101"/>
      <c r="E329" s="101"/>
      <c r="F329" s="101"/>
      <c r="G329" s="101"/>
      <c r="H329" s="101"/>
      <c r="I329" s="101"/>
      <c r="J329" s="142"/>
      <c r="K329" s="101"/>
      <c r="L329" s="101"/>
      <c r="M329" s="101"/>
      <c r="N329" s="101"/>
      <c r="O329" s="101"/>
      <c r="P329" s="101"/>
      <c r="Q329" s="101"/>
      <c r="R329" s="101"/>
      <c r="S329" s="101"/>
      <c r="T329" s="101"/>
      <c r="U329" s="101"/>
      <c r="V329" s="101"/>
      <c r="W329" s="101"/>
      <c r="X329" s="101"/>
      <c r="Y329" s="101"/>
      <c r="Z329" s="101"/>
      <c r="AA329" s="101"/>
      <c r="AB329" s="101"/>
      <c r="AC329" s="101"/>
      <c r="AD329" s="101"/>
    </row>
    <row r="330" ht="30.0" customHeight="1">
      <c r="A330" s="141"/>
      <c r="B330" s="101"/>
      <c r="C330" s="101"/>
      <c r="D330" s="101"/>
      <c r="E330" s="101"/>
      <c r="F330" s="101"/>
      <c r="G330" s="101"/>
      <c r="H330" s="101"/>
      <c r="I330" s="101"/>
      <c r="J330" s="142"/>
      <c r="K330" s="101"/>
      <c r="L330" s="101"/>
      <c r="M330" s="101"/>
      <c r="N330" s="101"/>
      <c r="O330" s="101"/>
      <c r="P330" s="101"/>
      <c r="Q330" s="101"/>
      <c r="R330" s="101"/>
      <c r="S330" s="101"/>
      <c r="T330" s="101"/>
      <c r="U330" s="101"/>
      <c r="V330" s="101"/>
      <c r="W330" s="101"/>
      <c r="X330" s="101"/>
      <c r="Y330" s="101"/>
      <c r="Z330" s="101"/>
      <c r="AA330" s="101"/>
      <c r="AB330" s="101"/>
      <c r="AC330" s="101"/>
      <c r="AD330" s="101"/>
    </row>
    <row r="331" ht="30.0" customHeight="1">
      <c r="A331" s="141"/>
      <c r="B331" s="101"/>
      <c r="C331" s="101"/>
      <c r="D331" s="101"/>
      <c r="E331" s="101"/>
      <c r="F331" s="101"/>
      <c r="G331" s="101"/>
      <c r="H331" s="101"/>
      <c r="I331" s="101"/>
      <c r="J331" s="142"/>
      <c r="K331" s="101"/>
      <c r="L331" s="101"/>
      <c r="M331" s="101"/>
      <c r="N331" s="101"/>
      <c r="O331" s="101"/>
      <c r="P331" s="101"/>
      <c r="Q331" s="101"/>
      <c r="R331" s="101"/>
      <c r="S331" s="101"/>
      <c r="T331" s="101"/>
      <c r="U331" s="101"/>
      <c r="V331" s="101"/>
      <c r="W331" s="101"/>
      <c r="X331" s="101"/>
      <c r="Y331" s="101"/>
      <c r="Z331" s="101"/>
      <c r="AA331" s="101"/>
      <c r="AB331" s="101"/>
      <c r="AC331" s="101"/>
      <c r="AD331" s="101"/>
    </row>
    <row r="332" ht="30.0" customHeight="1">
      <c r="A332" s="141"/>
      <c r="B332" s="101"/>
      <c r="C332" s="101"/>
      <c r="D332" s="101"/>
      <c r="E332" s="101"/>
      <c r="F332" s="101"/>
      <c r="G332" s="101"/>
      <c r="H332" s="101"/>
      <c r="I332" s="101"/>
      <c r="J332" s="142"/>
      <c r="K332" s="101"/>
      <c r="L332" s="101"/>
      <c r="M332" s="101"/>
      <c r="N332" s="101"/>
      <c r="O332" s="101"/>
      <c r="P332" s="101"/>
      <c r="Q332" s="101"/>
      <c r="R332" s="101"/>
      <c r="S332" s="101"/>
      <c r="T332" s="101"/>
      <c r="U332" s="101"/>
      <c r="V332" s="101"/>
      <c r="W332" s="101"/>
      <c r="X332" s="101"/>
      <c r="Y332" s="101"/>
      <c r="Z332" s="101"/>
      <c r="AA332" s="101"/>
      <c r="AB332" s="101"/>
      <c r="AC332" s="101"/>
      <c r="AD332" s="101"/>
    </row>
    <row r="333" ht="30.0" customHeight="1">
      <c r="A333" s="141"/>
      <c r="B333" s="101"/>
      <c r="C333" s="101"/>
      <c r="D333" s="101"/>
      <c r="E333" s="101"/>
      <c r="F333" s="101"/>
      <c r="G333" s="101"/>
      <c r="H333" s="101"/>
      <c r="I333" s="101"/>
      <c r="J333" s="142"/>
      <c r="K333" s="101"/>
      <c r="L333" s="101"/>
      <c r="M333" s="101"/>
      <c r="N333" s="101"/>
      <c r="O333" s="101"/>
      <c r="P333" s="101"/>
      <c r="Q333" s="101"/>
      <c r="R333" s="101"/>
      <c r="S333" s="101"/>
      <c r="T333" s="101"/>
      <c r="U333" s="101"/>
      <c r="V333" s="101"/>
      <c r="W333" s="101"/>
      <c r="X333" s="101"/>
      <c r="Y333" s="101"/>
      <c r="Z333" s="101"/>
      <c r="AA333" s="101"/>
      <c r="AB333" s="101"/>
      <c r="AC333" s="101"/>
      <c r="AD333" s="101"/>
    </row>
    <row r="334" ht="30.0" customHeight="1">
      <c r="A334" s="141"/>
      <c r="B334" s="101"/>
      <c r="C334" s="101"/>
      <c r="D334" s="101"/>
      <c r="E334" s="101"/>
      <c r="F334" s="101"/>
      <c r="G334" s="101"/>
      <c r="H334" s="101"/>
      <c r="I334" s="101"/>
      <c r="J334" s="142"/>
      <c r="K334" s="101"/>
      <c r="L334" s="101"/>
      <c r="M334" s="101"/>
      <c r="N334" s="101"/>
      <c r="O334" s="101"/>
      <c r="P334" s="101"/>
      <c r="Q334" s="101"/>
      <c r="R334" s="101"/>
      <c r="S334" s="101"/>
      <c r="T334" s="101"/>
      <c r="U334" s="101"/>
      <c r="V334" s="101"/>
      <c r="W334" s="101"/>
      <c r="X334" s="101"/>
      <c r="Y334" s="101"/>
      <c r="Z334" s="101"/>
      <c r="AA334" s="101"/>
      <c r="AB334" s="101"/>
      <c r="AC334" s="101"/>
      <c r="AD334" s="101"/>
    </row>
    <row r="335" ht="30.0" customHeight="1">
      <c r="A335" s="141"/>
      <c r="B335" s="101"/>
      <c r="C335" s="101"/>
      <c r="D335" s="101"/>
      <c r="E335" s="101"/>
      <c r="F335" s="101"/>
      <c r="G335" s="101"/>
      <c r="H335" s="101"/>
      <c r="I335" s="101"/>
      <c r="J335" s="142"/>
      <c r="K335" s="101"/>
      <c r="L335" s="101"/>
      <c r="M335" s="101"/>
      <c r="N335" s="101"/>
      <c r="O335" s="101"/>
      <c r="P335" s="101"/>
      <c r="Q335" s="101"/>
      <c r="R335" s="101"/>
      <c r="S335" s="101"/>
      <c r="T335" s="101"/>
      <c r="U335" s="101"/>
      <c r="V335" s="101"/>
      <c r="W335" s="101"/>
      <c r="X335" s="101"/>
      <c r="Y335" s="101"/>
      <c r="Z335" s="101"/>
      <c r="AA335" s="101"/>
      <c r="AB335" s="101"/>
      <c r="AC335" s="101"/>
      <c r="AD335" s="101"/>
    </row>
    <row r="336" ht="30.0" customHeight="1">
      <c r="A336" s="141"/>
      <c r="B336" s="101"/>
      <c r="C336" s="101"/>
      <c r="D336" s="101"/>
      <c r="E336" s="101"/>
      <c r="F336" s="101"/>
      <c r="G336" s="101"/>
      <c r="H336" s="101"/>
      <c r="I336" s="101"/>
      <c r="J336" s="142"/>
      <c r="K336" s="101"/>
      <c r="L336" s="101"/>
      <c r="M336" s="101"/>
      <c r="N336" s="101"/>
      <c r="O336" s="101"/>
      <c r="P336" s="101"/>
      <c r="Q336" s="101"/>
      <c r="R336" s="101"/>
      <c r="S336" s="101"/>
      <c r="T336" s="101"/>
      <c r="U336" s="101"/>
      <c r="V336" s="101"/>
      <c r="W336" s="101"/>
      <c r="X336" s="101"/>
      <c r="Y336" s="101"/>
      <c r="Z336" s="101"/>
      <c r="AA336" s="101"/>
      <c r="AB336" s="101"/>
      <c r="AC336" s="101"/>
      <c r="AD336" s="101"/>
    </row>
    <row r="337" ht="30.0" customHeight="1">
      <c r="A337" s="141"/>
      <c r="B337" s="101"/>
      <c r="C337" s="101"/>
      <c r="D337" s="101"/>
      <c r="E337" s="101"/>
      <c r="F337" s="101"/>
      <c r="G337" s="101"/>
      <c r="H337" s="101"/>
      <c r="I337" s="101"/>
      <c r="J337" s="142"/>
      <c r="K337" s="101"/>
      <c r="L337" s="101"/>
      <c r="M337" s="101"/>
      <c r="N337" s="101"/>
      <c r="O337" s="101"/>
      <c r="P337" s="101"/>
      <c r="Q337" s="101"/>
      <c r="R337" s="101"/>
      <c r="S337" s="101"/>
      <c r="T337" s="101"/>
      <c r="U337" s="101"/>
      <c r="V337" s="101"/>
      <c r="W337" s="101"/>
      <c r="X337" s="101"/>
      <c r="Y337" s="101"/>
      <c r="Z337" s="101"/>
      <c r="AA337" s="101"/>
      <c r="AB337" s="101"/>
      <c r="AC337" s="101"/>
      <c r="AD337" s="101"/>
    </row>
    <row r="338" ht="30.0" customHeight="1">
      <c r="A338" s="141"/>
      <c r="B338" s="101"/>
      <c r="C338" s="101"/>
      <c r="D338" s="101"/>
      <c r="E338" s="101"/>
      <c r="F338" s="101"/>
      <c r="G338" s="101"/>
      <c r="H338" s="101"/>
      <c r="I338" s="101"/>
      <c r="J338" s="142"/>
      <c r="K338" s="101"/>
      <c r="L338" s="101"/>
      <c r="M338" s="101"/>
      <c r="N338" s="101"/>
      <c r="O338" s="101"/>
      <c r="P338" s="101"/>
      <c r="Q338" s="101"/>
      <c r="R338" s="101"/>
      <c r="S338" s="101"/>
      <c r="T338" s="101"/>
      <c r="U338" s="101"/>
      <c r="V338" s="101"/>
      <c r="W338" s="101"/>
      <c r="X338" s="101"/>
      <c r="Y338" s="101"/>
      <c r="Z338" s="101"/>
      <c r="AA338" s="101"/>
      <c r="AB338" s="101"/>
      <c r="AC338" s="101"/>
      <c r="AD338" s="101"/>
    </row>
    <row r="339" ht="30.0" customHeight="1">
      <c r="A339" s="141"/>
      <c r="B339" s="101"/>
      <c r="C339" s="101"/>
      <c r="D339" s="101"/>
      <c r="E339" s="101"/>
      <c r="F339" s="101"/>
      <c r="G339" s="101"/>
      <c r="H339" s="101"/>
      <c r="I339" s="101"/>
      <c r="J339" s="142"/>
      <c r="K339" s="101"/>
      <c r="L339" s="101"/>
      <c r="M339" s="101"/>
      <c r="N339" s="101"/>
      <c r="O339" s="101"/>
      <c r="P339" s="101"/>
      <c r="Q339" s="101"/>
      <c r="R339" s="101"/>
      <c r="S339" s="101"/>
      <c r="T339" s="101"/>
      <c r="U339" s="101"/>
      <c r="V339" s="101"/>
      <c r="W339" s="101"/>
      <c r="X339" s="101"/>
      <c r="Y339" s="101"/>
      <c r="Z339" s="101"/>
      <c r="AA339" s="101"/>
      <c r="AB339" s="101"/>
      <c r="AC339" s="101"/>
      <c r="AD339" s="101"/>
    </row>
    <row r="340" ht="30.0" customHeight="1">
      <c r="A340" s="141"/>
      <c r="B340" s="101"/>
      <c r="C340" s="101"/>
      <c r="D340" s="101"/>
      <c r="E340" s="101"/>
      <c r="F340" s="101"/>
      <c r="G340" s="101"/>
      <c r="H340" s="101"/>
      <c r="I340" s="101"/>
      <c r="J340" s="142"/>
      <c r="K340" s="101"/>
      <c r="L340" s="101"/>
      <c r="M340" s="101"/>
      <c r="N340" s="101"/>
      <c r="O340" s="101"/>
      <c r="P340" s="101"/>
      <c r="Q340" s="101"/>
      <c r="R340" s="101"/>
      <c r="S340" s="101"/>
      <c r="T340" s="101"/>
      <c r="U340" s="101"/>
      <c r="V340" s="101"/>
      <c r="W340" s="101"/>
      <c r="X340" s="101"/>
      <c r="Y340" s="101"/>
      <c r="Z340" s="101"/>
      <c r="AA340" s="101"/>
      <c r="AB340" s="101"/>
      <c r="AC340" s="101"/>
      <c r="AD340" s="101"/>
    </row>
    <row r="341" ht="30.0" customHeight="1">
      <c r="A341" s="141"/>
      <c r="B341" s="101"/>
      <c r="C341" s="101"/>
      <c r="D341" s="101"/>
      <c r="E341" s="101"/>
      <c r="F341" s="101"/>
      <c r="G341" s="101"/>
      <c r="H341" s="101"/>
      <c r="I341" s="101"/>
      <c r="J341" s="142"/>
      <c r="K341" s="101"/>
      <c r="L341" s="101"/>
      <c r="M341" s="101"/>
      <c r="N341" s="101"/>
      <c r="O341" s="101"/>
      <c r="P341" s="101"/>
      <c r="Q341" s="101"/>
      <c r="R341" s="101"/>
      <c r="S341" s="101"/>
      <c r="T341" s="101"/>
      <c r="U341" s="101"/>
      <c r="V341" s="101"/>
      <c r="W341" s="101"/>
      <c r="X341" s="101"/>
      <c r="Y341" s="101"/>
      <c r="Z341" s="101"/>
      <c r="AA341" s="101"/>
      <c r="AB341" s="101"/>
      <c r="AC341" s="101"/>
      <c r="AD341" s="101"/>
    </row>
    <row r="342" ht="30.0" customHeight="1">
      <c r="A342" s="141"/>
      <c r="B342" s="101"/>
      <c r="C342" s="101"/>
      <c r="D342" s="101"/>
      <c r="E342" s="101"/>
      <c r="F342" s="101"/>
      <c r="G342" s="101"/>
      <c r="H342" s="101"/>
      <c r="I342" s="101"/>
      <c r="J342" s="142"/>
      <c r="K342" s="101"/>
      <c r="L342" s="101"/>
      <c r="M342" s="101"/>
      <c r="N342" s="101"/>
      <c r="O342" s="101"/>
      <c r="P342" s="101"/>
      <c r="Q342" s="101"/>
      <c r="R342" s="101"/>
      <c r="S342" s="101"/>
      <c r="T342" s="101"/>
      <c r="U342" s="101"/>
      <c r="V342" s="101"/>
      <c r="W342" s="101"/>
      <c r="X342" s="101"/>
      <c r="Y342" s="101"/>
      <c r="Z342" s="101"/>
      <c r="AA342" s="101"/>
      <c r="AB342" s="101"/>
      <c r="AC342" s="101"/>
      <c r="AD342" s="101"/>
    </row>
    <row r="343" ht="30.0" customHeight="1">
      <c r="A343" s="141"/>
      <c r="B343" s="101"/>
      <c r="C343" s="101"/>
      <c r="D343" s="101"/>
      <c r="E343" s="101"/>
      <c r="F343" s="101"/>
      <c r="G343" s="101"/>
      <c r="H343" s="101"/>
      <c r="I343" s="101"/>
      <c r="J343" s="142"/>
      <c r="K343" s="101"/>
      <c r="L343" s="101"/>
      <c r="M343" s="101"/>
      <c r="N343" s="101"/>
      <c r="O343" s="101"/>
      <c r="P343" s="101"/>
      <c r="Q343" s="101"/>
      <c r="R343" s="101"/>
      <c r="S343" s="101"/>
      <c r="T343" s="101"/>
      <c r="U343" s="101"/>
      <c r="V343" s="101"/>
      <c r="W343" s="101"/>
      <c r="X343" s="101"/>
      <c r="Y343" s="101"/>
      <c r="Z343" s="101"/>
      <c r="AA343" s="101"/>
      <c r="AB343" s="101"/>
      <c r="AC343" s="101"/>
      <c r="AD343" s="101"/>
    </row>
    <row r="344" ht="30.0" customHeight="1">
      <c r="A344" s="141"/>
      <c r="B344" s="101"/>
      <c r="C344" s="101"/>
      <c r="D344" s="101"/>
      <c r="E344" s="101"/>
      <c r="F344" s="101"/>
      <c r="G344" s="101"/>
      <c r="H344" s="101"/>
      <c r="I344" s="101"/>
      <c r="J344" s="142"/>
      <c r="K344" s="101"/>
      <c r="L344" s="101"/>
      <c r="M344" s="101"/>
      <c r="N344" s="101"/>
      <c r="O344" s="101"/>
      <c r="P344" s="101"/>
      <c r="Q344" s="101"/>
      <c r="R344" s="101"/>
      <c r="S344" s="101"/>
      <c r="T344" s="101"/>
      <c r="U344" s="101"/>
      <c r="V344" s="101"/>
      <c r="W344" s="101"/>
      <c r="X344" s="101"/>
      <c r="Y344" s="101"/>
      <c r="Z344" s="101"/>
      <c r="AA344" s="101"/>
      <c r="AB344" s="101"/>
      <c r="AC344" s="101"/>
      <c r="AD344" s="101"/>
    </row>
    <row r="345" ht="30.0" customHeight="1">
      <c r="A345" s="141"/>
      <c r="B345" s="101"/>
      <c r="C345" s="101"/>
      <c r="D345" s="101"/>
      <c r="E345" s="101"/>
      <c r="F345" s="101"/>
      <c r="G345" s="101"/>
      <c r="H345" s="101"/>
      <c r="I345" s="101"/>
      <c r="J345" s="142"/>
      <c r="K345" s="101"/>
      <c r="L345" s="101"/>
      <c r="M345" s="101"/>
      <c r="N345" s="101"/>
      <c r="O345" s="101"/>
      <c r="P345" s="101"/>
      <c r="Q345" s="101"/>
      <c r="R345" s="101"/>
      <c r="S345" s="101"/>
      <c r="T345" s="101"/>
      <c r="U345" s="101"/>
      <c r="V345" s="101"/>
      <c r="W345" s="101"/>
      <c r="X345" s="101"/>
      <c r="Y345" s="101"/>
      <c r="Z345" s="101"/>
      <c r="AA345" s="101"/>
      <c r="AB345" s="101"/>
      <c r="AC345" s="101"/>
      <c r="AD345" s="101"/>
    </row>
    <row r="346" ht="30.0" customHeight="1">
      <c r="A346" s="141"/>
      <c r="B346" s="101"/>
      <c r="C346" s="101"/>
      <c r="D346" s="101"/>
      <c r="E346" s="101"/>
      <c r="F346" s="101"/>
      <c r="G346" s="101"/>
      <c r="H346" s="101"/>
      <c r="I346" s="101"/>
      <c r="J346" s="142"/>
      <c r="K346" s="101"/>
      <c r="L346" s="101"/>
      <c r="M346" s="101"/>
      <c r="N346" s="101"/>
      <c r="O346" s="101"/>
      <c r="P346" s="101"/>
      <c r="Q346" s="101"/>
      <c r="R346" s="101"/>
      <c r="S346" s="101"/>
      <c r="T346" s="101"/>
      <c r="U346" s="101"/>
      <c r="V346" s="101"/>
      <c r="W346" s="101"/>
      <c r="X346" s="101"/>
      <c r="Y346" s="101"/>
      <c r="Z346" s="101"/>
      <c r="AA346" s="101"/>
      <c r="AB346" s="101"/>
      <c r="AC346" s="101"/>
      <c r="AD346" s="101"/>
    </row>
    <row r="347" ht="30.0" customHeight="1">
      <c r="A347" s="141"/>
      <c r="B347" s="101"/>
      <c r="C347" s="101"/>
      <c r="D347" s="101"/>
      <c r="E347" s="101"/>
      <c r="F347" s="101"/>
      <c r="G347" s="101"/>
      <c r="H347" s="101"/>
      <c r="I347" s="101"/>
      <c r="J347" s="142"/>
      <c r="K347" s="101"/>
      <c r="L347" s="101"/>
      <c r="M347" s="101"/>
      <c r="N347" s="101"/>
      <c r="O347" s="101"/>
      <c r="P347" s="101"/>
      <c r="Q347" s="101"/>
      <c r="R347" s="101"/>
      <c r="S347" s="101"/>
      <c r="T347" s="101"/>
      <c r="U347" s="101"/>
      <c r="V347" s="101"/>
      <c r="W347" s="101"/>
      <c r="X347" s="101"/>
      <c r="Y347" s="101"/>
      <c r="Z347" s="101"/>
      <c r="AA347" s="101"/>
      <c r="AB347" s="101"/>
      <c r="AC347" s="101"/>
      <c r="AD347" s="101"/>
    </row>
    <row r="348" ht="30.0" customHeight="1">
      <c r="A348" s="141"/>
      <c r="B348" s="101"/>
      <c r="C348" s="101"/>
      <c r="D348" s="101"/>
      <c r="E348" s="101"/>
      <c r="F348" s="101"/>
      <c r="G348" s="101"/>
      <c r="H348" s="101"/>
      <c r="I348" s="101"/>
      <c r="J348" s="142"/>
      <c r="K348" s="101"/>
      <c r="L348" s="101"/>
      <c r="M348" s="101"/>
      <c r="N348" s="101"/>
      <c r="O348" s="101"/>
      <c r="P348" s="101"/>
      <c r="Q348" s="101"/>
      <c r="R348" s="101"/>
      <c r="S348" s="101"/>
      <c r="T348" s="101"/>
      <c r="U348" s="101"/>
      <c r="V348" s="101"/>
      <c r="W348" s="101"/>
      <c r="X348" s="101"/>
      <c r="Y348" s="101"/>
      <c r="Z348" s="101"/>
      <c r="AA348" s="101"/>
      <c r="AB348" s="101"/>
      <c r="AC348" s="101"/>
      <c r="AD348" s="101"/>
    </row>
    <row r="349" ht="30.0" customHeight="1">
      <c r="A349" s="141"/>
      <c r="B349" s="101"/>
      <c r="C349" s="101"/>
      <c r="D349" s="101"/>
      <c r="E349" s="101"/>
      <c r="F349" s="101"/>
      <c r="G349" s="101"/>
      <c r="H349" s="101"/>
      <c r="I349" s="101"/>
      <c r="J349" s="142"/>
      <c r="K349" s="101"/>
      <c r="L349" s="101"/>
      <c r="M349" s="101"/>
      <c r="N349" s="101"/>
      <c r="O349" s="101"/>
      <c r="P349" s="101"/>
      <c r="Q349" s="101"/>
      <c r="R349" s="101"/>
      <c r="S349" s="101"/>
      <c r="T349" s="101"/>
      <c r="U349" s="101"/>
      <c r="V349" s="101"/>
      <c r="W349" s="101"/>
      <c r="X349" s="101"/>
      <c r="Y349" s="101"/>
      <c r="Z349" s="101"/>
      <c r="AA349" s="101"/>
      <c r="AB349" s="101"/>
      <c r="AC349" s="101"/>
      <c r="AD349" s="101"/>
    </row>
    <row r="350" ht="30.0" customHeight="1">
      <c r="A350" s="141"/>
      <c r="B350" s="101"/>
      <c r="C350" s="101"/>
      <c r="D350" s="101"/>
      <c r="E350" s="101"/>
      <c r="F350" s="101"/>
      <c r="G350" s="101"/>
      <c r="H350" s="101"/>
      <c r="I350" s="101"/>
      <c r="J350" s="142"/>
      <c r="K350" s="101"/>
      <c r="L350" s="101"/>
      <c r="M350" s="101"/>
      <c r="N350" s="101"/>
      <c r="O350" s="101"/>
      <c r="P350" s="101"/>
      <c r="Q350" s="101"/>
      <c r="R350" s="101"/>
      <c r="S350" s="101"/>
      <c r="T350" s="101"/>
      <c r="U350" s="101"/>
      <c r="V350" s="101"/>
      <c r="W350" s="101"/>
      <c r="X350" s="101"/>
      <c r="Y350" s="101"/>
      <c r="Z350" s="101"/>
      <c r="AA350" s="101"/>
      <c r="AB350" s="101"/>
      <c r="AC350" s="101"/>
      <c r="AD350" s="101"/>
    </row>
    <row r="351" ht="30.0" customHeight="1">
      <c r="A351" s="141"/>
      <c r="B351" s="101"/>
      <c r="C351" s="101"/>
      <c r="D351" s="101"/>
      <c r="E351" s="101"/>
      <c r="F351" s="101"/>
      <c r="G351" s="101"/>
      <c r="H351" s="101"/>
      <c r="I351" s="101"/>
      <c r="J351" s="142"/>
      <c r="K351" s="101"/>
      <c r="L351" s="101"/>
      <c r="M351" s="101"/>
      <c r="N351" s="101"/>
      <c r="O351" s="101"/>
      <c r="P351" s="101"/>
      <c r="Q351" s="101"/>
      <c r="R351" s="101"/>
      <c r="S351" s="101"/>
      <c r="T351" s="101"/>
      <c r="U351" s="101"/>
      <c r="V351" s="101"/>
      <c r="W351" s="101"/>
      <c r="X351" s="101"/>
      <c r="Y351" s="101"/>
      <c r="Z351" s="101"/>
      <c r="AA351" s="101"/>
      <c r="AB351" s="101"/>
      <c r="AC351" s="101"/>
      <c r="AD351" s="101"/>
    </row>
    <row r="352" ht="30.0" customHeight="1">
      <c r="A352" s="141"/>
      <c r="B352" s="101"/>
      <c r="C352" s="101"/>
      <c r="D352" s="101"/>
      <c r="E352" s="101"/>
      <c r="F352" s="101"/>
      <c r="G352" s="101"/>
      <c r="H352" s="101"/>
      <c r="I352" s="101"/>
      <c r="J352" s="142"/>
      <c r="K352" s="101"/>
      <c r="L352" s="101"/>
      <c r="M352" s="101"/>
      <c r="N352" s="101"/>
      <c r="O352" s="101"/>
      <c r="P352" s="101"/>
      <c r="Q352" s="101"/>
      <c r="R352" s="101"/>
      <c r="S352" s="101"/>
      <c r="T352" s="101"/>
      <c r="U352" s="101"/>
      <c r="V352" s="101"/>
      <c r="W352" s="101"/>
      <c r="X352" s="101"/>
      <c r="Y352" s="101"/>
      <c r="Z352" s="101"/>
      <c r="AA352" s="101"/>
      <c r="AB352" s="101"/>
      <c r="AC352" s="101"/>
      <c r="AD352" s="101"/>
    </row>
    <row r="353" ht="30.0" customHeight="1">
      <c r="A353" s="141"/>
      <c r="B353" s="101"/>
      <c r="C353" s="101"/>
      <c r="D353" s="101"/>
      <c r="E353" s="101"/>
      <c r="F353" s="101"/>
      <c r="G353" s="101"/>
      <c r="H353" s="101"/>
      <c r="I353" s="101"/>
      <c r="J353" s="142"/>
      <c r="K353" s="101"/>
      <c r="L353" s="101"/>
      <c r="M353" s="101"/>
      <c r="N353" s="101"/>
      <c r="O353" s="101"/>
      <c r="P353" s="101"/>
      <c r="Q353" s="101"/>
      <c r="R353" s="101"/>
      <c r="S353" s="101"/>
      <c r="T353" s="101"/>
      <c r="U353" s="101"/>
      <c r="V353" s="101"/>
      <c r="W353" s="101"/>
      <c r="X353" s="101"/>
      <c r="Y353" s="101"/>
      <c r="Z353" s="101"/>
      <c r="AA353" s="101"/>
      <c r="AB353" s="101"/>
      <c r="AC353" s="101"/>
      <c r="AD353" s="101"/>
    </row>
    <row r="354" ht="30.0" customHeight="1">
      <c r="A354" s="141"/>
      <c r="B354" s="101"/>
      <c r="C354" s="101"/>
      <c r="D354" s="101"/>
      <c r="E354" s="101"/>
      <c r="F354" s="101"/>
      <c r="G354" s="101"/>
      <c r="H354" s="101"/>
      <c r="I354" s="101"/>
      <c r="J354" s="142"/>
      <c r="K354" s="101"/>
      <c r="L354" s="101"/>
      <c r="M354" s="101"/>
      <c r="N354" s="101"/>
      <c r="O354" s="101"/>
      <c r="P354" s="101"/>
      <c r="Q354" s="101"/>
      <c r="R354" s="101"/>
      <c r="S354" s="101"/>
      <c r="T354" s="101"/>
      <c r="U354" s="101"/>
      <c r="V354" s="101"/>
      <c r="W354" s="101"/>
      <c r="X354" s="101"/>
      <c r="Y354" s="101"/>
      <c r="Z354" s="101"/>
      <c r="AA354" s="101"/>
      <c r="AB354" s="101"/>
      <c r="AC354" s="101"/>
      <c r="AD354" s="101"/>
    </row>
    <row r="355" ht="30.0" customHeight="1">
      <c r="A355" s="141"/>
      <c r="B355" s="101"/>
      <c r="C355" s="101"/>
      <c r="D355" s="101"/>
      <c r="E355" s="101"/>
      <c r="F355" s="101"/>
      <c r="G355" s="101"/>
      <c r="H355" s="101"/>
      <c r="I355" s="101"/>
      <c r="J355" s="142"/>
      <c r="K355" s="101"/>
      <c r="L355" s="101"/>
      <c r="M355" s="101"/>
      <c r="N355" s="101"/>
      <c r="O355" s="101"/>
      <c r="P355" s="101"/>
      <c r="Q355" s="101"/>
      <c r="R355" s="101"/>
      <c r="S355" s="101"/>
      <c r="T355" s="101"/>
      <c r="U355" s="101"/>
      <c r="V355" s="101"/>
      <c r="W355" s="101"/>
      <c r="X355" s="101"/>
      <c r="Y355" s="101"/>
      <c r="Z355" s="101"/>
      <c r="AA355" s="101"/>
      <c r="AB355" s="101"/>
      <c r="AC355" s="101"/>
      <c r="AD355" s="101"/>
    </row>
    <row r="356" ht="30.0" customHeight="1">
      <c r="A356" s="141"/>
      <c r="B356" s="101"/>
      <c r="C356" s="101"/>
      <c r="D356" s="101"/>
      <c r="E356" s="101"/>
      <c r="F356" s="101"/>
      <c r="G356" s="101"/>
      <c r="H356" s="101"/>
      <c r="I356" s="101"/>
      <c r="J356" s="142"/>
      <c r="K356" s="101"/>
      <c r="L356" s="101"/>
      <c r="M356" s="101"/>
      <c r="N356" s="101"/>
      <c r="O356" s="101"/>
      <c r="P356" s="101"/>
      <c r="Q356" s="101"/>
      <c r="R356" s="101"/>
      <c r="S356" s="101"/>
      <c r="T356" s="101"/>
      <c r="U356" s="101"/>
      <c r="V356" s="101"/>
      <c r="W356" s="101"/>
      <c r="X356" s="101"/>
      <c r="Y356" s="101"/>
      <c r="Z356" s="101"/>
      <c r="AA356" s="101"/>
      <c r="AB356" s="101"/>
      <c r="AC356" s="101"/>
      <c r="AD356" s="101"/>
    </row>
    <row r="357" ht="30.0" customHeight="1">
      <c r="A357" s="141"/>
      <c r="B357" s="101"/>
      <c r="C357" s="101"/>
      <c r="D357" s="101"/>
      <c r="E357" s="101"/>
      <c r="F357" s="101"/>
      <c r="G357" s="101"/>
      <c r="H357" s="101"/>
      <c r="I357" s="101"/>
      <c r="J357" s="142"/>
      <c r="K357" s="101"/>
      <c r="L357" s="101"/>
      <c r="M357" s="101"/>
      <c r="N357" s="101"/>
      <c r="O357" s="101"/>
      <c r="P357" s="101"/>
      <c r="Q357" s="101"/>
      <c r="R357" s="101"/>
      <c r="S357" s="101"/>
      <c r="T357" s="101"/>
      <c r="U357" s="101"/>
      <c r="V357" s="101"/>
      <c r="W357" s="101"/>
      <c r="X357" s="101"/>
      <c r="Y357" s="101"/>
      <c r="Z357" s="101"/>
      <c r="AA357" s="101"/>
      <c r="AB357" s="101"/>
      <c r="AC357" s="101"/>
      <c r="AD357" s="101"/>
    </row>
    <row r="358" ht="30.0" customHeight="1">
      <c r="A358" s="141"/>
      <c r="B358" s="101"/>
      <c r="C358" s="101"/>
      <c r="D358" s="101"/>
      <c r="E358" s="101"/>
      <c r="F358" s="101"/>
      <c r="G358" s="101"/>
      <c r="H358" s="101"/>
      <c r="I358" s="101"/>
      <c r="J358" s="142"/>
      <c r="K358" s="101"/>
      <c r="L358" s="101"/>
      <c r="M358" s="101"/>
      <c r="N358" s="101"/>
      <c r="O358" s="101"/>
      <c r="P358" s="101"/>
      <c r="Q358" s="101"/>
      <c r="R358" s="101"/>
      <c r="S358" s="101"/>
      <c r="T358" s="101"/>
      <c r="U358" s="101"/>
      <c r="V358" s="101"/>
      <c r="W358" s="101"/>
      <c r="X358" s="101"/>
      <c r="Y358" s="101"/>
      <c r="Z358" s="101"/>
      <c r="AA358" s="101"/>
      <c r="AB358" s="101"/>
      <c r="AC358" s="101"/>
      <c r="AD358" s="101"/>
    </row>
    <row r="359" ht="30.0" customHeight="1">
      <c r="A359" s="141"/>
      <c r="B359" s="101"/>
      <c r="C359" s="101"/>
      <c r="D359" s="101"/>
      <c r="E359" s="101"/>
      <c r="F359" s="101"/>
      <c r="G359" s="101"/>
      <c r="H359" s="101"/>
      <c r="I359" s="101"/>
      <c r="J359" s="142"/>
      <c r="K359" s="101"/>
      <c r="L359" s="101"/>
      <c r="M359" s="101"/>
      <c r="N359" s="101"/>
      <c r="O359" s="101"/>
      <c r="P359" s="101"/>
      <c r="Q359" s="101"/>
      <c r="R359" s="101"/>
      <c r="S359" s="101"/>
      <c r="T359" s="101"/>
      <c r="U359" s="101"/>
      <c r="V359" s="101"/>
      <c r="W359" s="101"/>
      <c r="X359" s="101"/>
      <c r="Y359" s="101"/>
      <c r="Z359" s="101"/>
      <c r="AA359" s="101"/>
      <c r="AB359" s="101"/>
      <c r="AC359" s="101"/>
      <c r="AD359" s="101"/>
    </row>
    <row r="360" ht="30.0" customHeight="1">
      <c r="A360" s="141"/>
      <c r="B360" s="101"/>
      <c r="C360" s="101"/>
      <c r="D360" s="101"/>
      <c r="E360" s="101"/>
      <c r="F360" s="101"/>
      <c r="G360" s="101"/>
      <c r="H360" s="101"/>
      <c r="I360" s="101"/>
      <c r="J360" s="142"/>
      <c r="K360" s="101"/>
      <c r="L360" s="101"/>
      <c r="M360" s="101"/>
      <c r="N360" s="101"/>
      <c r="O360" s="101"/>
      <c r="P360" s="101"/>
      <c r="Q360" s="101"/>
      <c r="R360" s="101"/>
      <c r="S360" s="101"/>
      <c r="T360" s="101"/>
      <c r="U360" s="101"/>
      <c r="V360" s="101"/>
      <c r="W360" s="101"/>
      <c r="X360" s="101"/>
      <c r="Y360" s="101"/>
      <c r="Z360" s="101"/>
      <c r="AA360" s="101"/>
      <c r="AB360" s="101"/>
      <c r="AC360" s="101"/>
      <c r="AD360" s="101"/>
    </row>
    <row r="361" ht="30.0" customHeight="1">
      <c r="A361" s="141"/>
      <c r="B361" s="101"/>
      <c r="C361" s="101"/>
      <c r="D361" s="101"/>
      <c r="E361" s="101"/>
      <c r="F361" s="101"/>
      <c r="G361" s="101"/>
      <c r="H361" s="101"/>
      <c r="I361" s="101"/>
      <c r="J361" s="142"/>
      <c r="K361" s="101"/>
      <c r="L361" s="101"/>
      <c r="M361" s="101"/>
      <c r="N361" s="101"/>
      <c r="O361" s="101"/>
      <c r="P361" s="101"/>
      <c r="Q361" s="101"/>
      <c r="R361" s="101"/>
      <c r="S361" s="101"/>
      <c r="T361" s="101"/>
      <c r="U361" s="101"/>
      <c r="V361" s="101"/>
      <c r="W361" s="101"/>
      <c r="X361" s="101"/>
      <c r="Y361" s="101"/>
      <c r="Z361" s="101"/>
      <c r="AA361" s="101"/>
      <c r="AB361" s="101"/>
      <c r="AC361" s="101"/>
      <c r="AD361" s="101"/>
    </row>
    <row r="362" ht="30.0" customHeight="1">
      <c r="A362" s="141"/>
      <c r="B362" s="101"/>
      <c r="C362" s="101"/>
      <c r="D362" s="101"/>
      <c r="E362" s="101"/>
      <c r="F362" s="101"/>
      <c r="G362" s="101"/>
      <c r="H362" s="101"/>
      <c r="I362" s="101"/>
      <c r="J362" s="142"/>
      <c r="K362" s="101"/>
      <c r="L362" s="101"/>
      <c r="M362" s="101"/>
      <c r="N362" s="101"/>
      <c r="O362" s="101"/>
      <c r="P362" s="101"/>
      <c r="Q362" s="101"/>
      <c r="R362" s="101"/>
      <c r="S362" s="101"/>
      <c r="T362" s="101"/>
      <c r="U362" s="101"/>
      <c r="V362" s="101"/>
      <c r="W362" s="101"/>
      <c r="X362" s="101"/>
      <c r="Y362" s="101"/>
      <c r="Z362" s="101"/>
      <c r="AA362" s="101"/>
      <c r="AB362" s="101"/>
      <c r="AC362" s="101"/>
      <c r="AD362" s="101"/>
    </row>
    <row r="363" ht="30.0" customHeight="1">
      <c r="A363" s="141"/>
      <c r="B363" s="101"/>
      <c r="C363" s="101"/>
      <c r="D363" s="101"/>
      <c r="E363" s="101"/>
      <c r="F363" s="101"/>
      <c r="G363" s="101"/>
      <c r="H363" s="101"/>
      <c r="I363" s="101"/>
      <c r="J363" s="142"/>
      <c r="K363" s="101"/>
      <c r="L363" s="101"/>
      <c r="M363" s="101"/>
      <c r="N363" s="101"/>
      <c r="O363" s="101"/>
      <c r="P363" s="101"/>
      <c r="Q363" s="101"/>
      <c r="R363" s="101"/>
      <c r="S363" s="101"/>
      <c r="T363" s="101"/>
      <c r="U363" s="101"/>
      <c r="V363" s="101"/>
      <c r="W363" s="101"/>
      <c r="X363" s="101"/>
      <c r="Y363" s="101"/>
      <c r="Z363" s="101"/>
      <c r="AA363" s="101"/>
      <c r="AB363" s="101"/>
      <c r="AC363" s="101"/>
      <c r="AD363" s="101"/>
    </row>
    <row r="364" ht="30.0" customHeight="1">
      <c r="A364" s="141"/>
      <c r="B364" s="101"/>
      <c r="C364" s="101"/>
      <c r="D364" s="101"/>
      <c r="E364" s="101"/>
      <c r="F364" s="101"/>
      <c r="G364" s="101"/>
      <c r="H364" s="101"/>
      <c r="I364" s="101"/>
      <c r="J364" s="142"/>
      <c r="K364" s="101"/>
      <c r="L364" s="101"/>
      <c r="M364" s="101"/>
      <c r="N364" s="101"/>
      <c r="O364" s="101"/>
      <c r="P364" s="101"/>
      <c r="Q364" s="101"/>
      <c r="R364" s="101"/>
      <c r="S364" s="101"/>
      <c r="T364" s="101"/>
      <c r="U364" s="101"/>
      <c r="V364" s="101"/>
      <c r="W364" s="101"/>
      <c r="X364" s="101"/>
      <c r="Y364" s="101"/>
      <c r="Z364" s="101"/>
      <c r="AA364" s="101"/>
      <c r="AB364" s="101"/>
      <c r="AC364" s="101"/>
      <c r="AD364" s="101"/>
    </row>
    <row r="365" ht="30.0" customHeight="1">
      <c r="A365" s="141"/>
      <c r="B365" s="101"/>
      <c r="C365" s="101"/>
      <c r="D365" s="101"/>
      <c r="E365" s="101"/>
      <c r="F365" s="101"/>
      <c r="G365" s="101"/>
      <c r="H365" s="101"/>
      <c r="I365" s="101"/>
      <c r="J365" s="142"/>
      <c r="K365" s="101"/>
      <c r="L365" s="101"/>
      <c r="M365" s="101"/>
      <c r="N365" s="101"/>
      <c r="O365" s="101"/>
      <c r="P365" s="101"/>
      <c r="Q365" s="101"/>
      <c r="R365" s="101"/>
      <c r="S365" s="101"/>
      <c r="T365" s="101"/>
      <c r="U365" s="101"/>
      <c r="V365" s="101"/>
      <c r="W365" s="101"/>
      <c r="X365" s="101"/>
      <c r="Y365" s="101"/>
      <c r="Z365" s="101"/>
      <c r="AA365" s="101"/>
      <c r="AB365" s="101"/>
      <c r="AC365" s="101"/>
      <c r="AD365" s="101"/>
    </row>
    <row r="366" ht="30.0" customHeight="1">
      <c r="A366" s="141"/>
      <c r="B366" s="101"/>
      <c r="C366" s="101"/>
      <c r="D366" s="101"/>
      <c r="E366" s="101"/>
      <c r="F366" s="101"/>
      <c r="G366" s="101"/>
      <c r="H366" s="101"/>
      <c r="I366" s="101"/>
      <c r="J366" s="142"/>
      <c r="K366" s="101"/>
      <c r="L366" s="101"/>
      <c r="M366" s="101"/>
      <c r="N366" s="101"/>
      <c r="O366" s="101"/>
      <c r="P366" s="101"/>
      <c r="Q366" s="101"/>
      <c r="R366" s="101"/>
      <c r="S366" s="101"/>
      <c r="T366" s="101"/>
      <c r="U366" s="101"/>
      <c r="V366" s="101"/>
      <c r="W366" s="101"/>
      <c r="X366" s="101"/>
      <c r="Y366" s="101"/>
      <c r="Z366" s="101"/>
      <c r="AA366" s="101"/>
      <c r="AB366" s="101"/>
      <c r="AC366" s="101"/>
      <c r="AD366" s="101"/>
    </row>
    <row r="367" ht="30.0" customHeight="1">
      <c r="A367" s="141"/>
      <c r="B367" s="101"/>
      <c r="C367" s="101"/>
      <c r="D367" s="101"/>
      <c r="E367" s="101"/>
      <c r="F367" s="101"/>
      <c r="G367" s="101"/>
      <c r="H367" s="101"/>
      <c r="I367" s="101"/>
      <c r="J367" s="142"/>
      <c r="K367" s="101"/>
      <c r="L367" s="101"/>
      <c r="M367" s="101"/>
      <c r="N367" s="101"/>
      <c r="O367" s="101"/>
      <c r="P367" s="101"/>
      <c r="Q367" s="101"/>
      <c r="R367" s="101"/>
      <c r="S367" s="101"/>
      <c r="T367" s="101"/>
      <c r="U367" s="101"/>
      <c r="V367" s="101"/>
      <c r="W367" s="101"/>
      <c r="X367" s="101"/>
      <c r="Y367" s="101"/>
      <c r="Z367" s="101"/>
      <c r="AA367" s="101"/>
      <c r="AB367" s="101"/>
      <c r="AC367" s="101"/>
      <c r="AD367" s="101"/>
    </row>
    <row r="368" ht="30.0" customHeight="1">
      <c r="A368" s="141"/>
      <c r="B368" s="101"/>
      <c r="C368" s="101"/>
      <c r="D368" s="101"/>
      <c r="E368" s="101"/>
      <c r="F368" s="101"/>
      <c r="G368" s="101"/>
      <c r="H368" s="101"/>
      <c r="I368" s="101"/>
      <c r="J368" s="142"/>
      <c r="K368" s="101"/>
      <c r="L368" s="101"/>
      <c r="M368" s="101"/>
      <c r="N368" s="101"/>
      <c r="O368" s="101"/>
      <c r="P368" s="101"/>
      <c r="Q368" s="101"/>
      <c r="R368" s="101"/>
      <c r="S368" s="101"/>
      <c r="T368" s="101"/>
      <c r="U368" s="101"/>
      <c r="V368" s="101"/>
      <c r="W368" s="101"/>
      <c r="X368" s="101"/>
      <c r="Y368" s="101"/>
      <c r="Z368" s="101"/>
      <c r="AA368" s="101"/>
      <c r="AB368" s="101"/>
      <c r="AC368" s="101"/>
      <c r="AD368" s="101"/>
    </row>
    <row r="369" ht="30.0" customHeight="1">
      <c r="A369" s="141"/>
      <c r="B369" s="101"/>
      <c r="C369" s="101"/>
      <c r="D369" s="101"/>
      <c r="E369" s="101"/>
      <c r="F369" s="101"/>
      <c r="G369" s="101"/>
      <c r="H369" s="101"/>
      <c r="I369" s="101"/>
      <c r="J369" s="142"/>
      <c r="K369" s="101"/>
      <c r="L369" s="101"/>
      <c r="M369" s="101"/>
      <c r="N369" s="101"/>
      <c r="O369" s="101"/>
      <c r="P369" s="101"/>
      <c r="Q369" s="101"/>
      <c r="R369" s="101"/>
      <c r="S369" s="101"/>
      <c r="T369" s="101"/>
      <c r="U369" s="101"/>
      <c r="V369" s="101"/>
      <c r="W369" s="101"/>
      <c r="X369" s="101"/>
      <c r="Y369" s="101"/>
      <c r="Z369" s="101"/>
      <c r="AA369" s="101"/>
      <c r="AB369" s="101"/>
      <c r="AC369" s="101"/>
      <c r="AD369" s="101"/>
    </row>
    <row r="370" ht="30.0" customHeight="1">
      <c r="A370" s="141"/>
      <c r="B370" s="101"/>
      <c r="C370" s="101"/>
      <c r="D370" s="101"/>
      <c r="E370" s="101"/>
      <c r="F370" s="101"/>
      <c r="G370" s="101"/>
      <c r="H370" s="101"/>
      <c r="I370" s="101"/>
      <c r="J370" s="142"/>
      <c r="K370" s="101"/>
      <c r="L370" s="101"/>
      <c r="M370" s="101"/>
      <c r="N370" s="101"/>
      <c r="O370" s="101"/>
      <c r="P370" s="101"/>
      <c r="Q370" s="101"/>
      <c r="R370" s="101"/>
      <c r="S370" s="101"/>
      <c r="T370" s="101"/>
      <c r="U370" s="101"/>
      <c r="V370" s="101"/>
      <c r="W370" s="101"/>
      <c r="X370" s="101"/>
      <c r="Y370" s="101"/>
      <c r="Z370" s="101"/>
      <c r="AA370" s="101"/>
      <c r="AB370" s="101"/>
      <c r="AC370" s="101"/>
      <c r="AD370" s="101"/>
    </row>
    <row r="371" ht="30.0" customHeight="1">
      <c r="A371" s="141"/>
      <c r="B371" s="101"/>
      <c r="C371" s="101"/>
      <c r="D371" s="101"/>
      <c r="E371" s="101"/>
      <c r="F371" s="101"/>
      <c r="G371" s="101"/>
      <c r="H371" s="101"/>
      <c r="I371" s="101"/>
      <c r="J371" s="142"/>
      <c r="K371" s="101"/>
      <c r="L371" s="101"/>
      <c r="M371" s="101"/>
      <c r="N371" s="101"/>
      <c r="O371" s="101"/>
      <c r="P371" s="101"/>
      <c r="Q371" s="101"/>
      <c r="R371" s="101"/>
      <c r="S371" s="101"/>
      <c r="T371" s="101"/>
      <c r="U371" s="101"/>
      <c r="V371" s="101"/>
      <c r="W371" s="101"/>
      <c r="X371" s="101"/>
      <c r="Y371" s="101"/>
      <c r="Z371" s="101"/>
      <c r="AA371" s="101"/>
      <c r="AB371" s="101"/>
      <c r="AC371" s="101"/>
      <c r="AD371" s="101"/>
    </row>
    <row r="372" ht="30.0" customHeight="1">
      <c r="A372" s="141"/>
      <c r="B372" s="101"/>
      <c r="C372" s="101"/>
      <c r="D372" s="101"/>
      <c r="E372" s="101"/>
      <c r="F372" s="101"/>
      <c r="G372" s="101"/>
      <c r="H372" s="101"/>
      <c r="I372" s="101"/>
      <c r="J372" s="142"/>
      <c r="K372" s="101"/>
      <c r="L372" s="101"/>
      <c r="M372" s="101"/>
      <c r="N372" s="101"/>
      <c r="O372" s="101"/>
      <c r="P372" s="101"/>
      <c r="Q372" s="101"/>
      <c r="R372" s="101"/>
      <c r="S372" s="101"/>
      <c r="T372" s="101"/>
      <c r="U372" s="101"/>
      <c r="V372" s="101"/>
      <c r="W372" s="101"/>
      <c r="X372" s="101"/>
      <c r="Y372" s="101"/>
      <c r="Z372" s="101"/>
      <c r="AA372" s="101"/>
      <c r="AB372" s="101"/>
      <c r="AC372" s="101"/>
      <c r="AD372" s="101"/>
    </row>
    <row r="373" ht="30.0" customHeight="1">
      <c r="A373" s="141"/>
      <c r="B373" s="101"/>
      <c r="C373" s="101"/>
      <c r="D373" s="101"/>
      <c r="E373" s="101"/>
      <c r="F373" s="101"/>
      <c r="G373" s="101"/>
      <c r="H373" s="101"/>
      <c r="I373" s="101"/>
      <c r="J373" s="142"/>
      <c r="K373" s="101"/>
      <c r="L373" s="101"/>
      <c r="M373" s="101"/>
      <c r="N373" s="101"/>
      <c r="O373" s="101"/>
      <c r="P373" s="101"/>
      <c r="Q373" s="101"/>
      <c r="R373" s="101"/>
      <c r="S373" s="101"/>
      <c r="T373" s="101"/>
      <c r="U373" s="101"/>
      <c r="V373" s="101"/>
      <c r="W373" s="101"/>
      <c r="X373" s="101"/>
      <c r="Y373" s="101"/>
      <c r="Z373" s="101"/>
      <c r="AA373" s="101"/>
      <c r="AB373" s="101"/>
      <c r="AC373" s="101"/>
      <c r="AD373" s="101"/>
    </row>
    <row r="374" ht="30.0" customHeight="1">
      <c r="A374" s="141"/>
      <c r="B374" s="101"/>
      <c r="C374" s="101"/>
      <c r="D374" s="101"/>
      <c r="E374" s="101"/>
      <c r="F374" s="101"/>
      <c r="G374" s="101"/>
      <c r="H374" s="101"/>
      <c r="I374" s="101"/>
      <c r="J374" s="142"/>
      <c r="K374" s="101"/>
      <c r="L374" s="101"/>
      <c r="M374" s="101"/>
      <c r="N374" s="101"/>
      <c r="O374" s="101"/>
      <c r="P374" s="101"/>
      <c r="Q374" s="101"/>
      <c r="R374" s="101"/>
      <c r="S374" s="101"/>
      <c r="T374" s="101"/>
      <c r="U374" s="101"/>
      <c r="V374" s="101"/>
      <c r="W374" s="101"/>
      <c r="X374" s="101"/>
      <c r="Y374" s="101"/>
      <c r="Z374" s="101"/>
      <c r="AA374" s="101"/>
      <c r="AB374" s="101"/>
      <c r="AC374" s="101"/>
      <c r="AD374" s="101"/>
    </row>
    <row r="375" ht="30.0" customHeight="1">
      <c r="A375" s="141"/>
      <c r="B375" s="101"/>
      <c r="C375" s="101"/>
      <c r="D375" s="101"/>
      <c r="E375" s="101"/>
      <c r="F375" s="101"/>
      <c r="G375" s="101"/>
      <c r="H375" s="101"/>
      <c r="I375" s="101"/>
      <c r="J375" s="142"/>
      <c r="K375" s="101"/>
      <c r="L375" s="101"/>
      <c r="M375" s="101"/>
      <c r="N375" s="101"/>
      <c r="O375" s="101"/>
      <c r="P375" s="101"/>
      <c r="Q375" s="101"/>
      <c r="R375" s="101"/>
      <c r="S375" s="101"/>
      <c r="T375" s="101"/>
      <c r="U375" s="101"/>
      <c r="V375" s="101"/>
      <c r="W375" s="101"/>
      <c r="X375" s="101"/>
      <c r="Y375" s="101"/>
      <c r="Z375" s="101"/>
      <c r="AA375" s="101"/>
      <c r="AB375" s="101"/>
      <c r="AC375" s="101"/>
      <c r="AD375" s="101"/>
    </row>
    <row r="376" ht="30.0" customHeight="1">
      <c r="A376" s="141"/>
      <c r="B376" s="101"/>
      <c r="C376" s="101"/>
      <c r="D376" s="101"/>
      <c r="E376" s="101"/>
      <c r="F376" s="101"/>
      <c r="G376" s="101"/>
      <c r="H376" s="101"/>
      <c r="I376" s="101"/>
      <c r="J376" s="142"/>
      <c r="K376" s="101"/>
      <c r="L376" s="101"/>
      <c r="M376" s="101"/>
      <c r="N376" s="101"/>
      <c r="O376" s="101"/>
      <c r="P376" s="101"/>
      <c r="Q376" s="101"/>
      <c r="R376" s="101"/>
      <c r="S376" s="101"/>
      <c r="T376" s="101"/>
      <c r="U376" s="101"/>
      <c r="V376" s="101"/>
      <c r="W376" s="101"/>
      <c r="X376" s="101"/>
      <c r="Y376" s="101"/>
      <c r="Z376" s="101"/>
      <c r="AA376" s="101"/>
      <c r="AB376" s="101"/>
      <c r="AC376" s="101"/>
      <c r="AD376" s="101"/>
    </row>
    <row r="377" ht="30.0" customHeight="1">
      <c r="A377" s="141"/>
      <c r="B377" s="101"/>
      <c r="C377" s="101"/>
      <c r="D377" s="101"/>
      <c r="E377" s="101"/>
      <c r="F377" s="101"/>
      <c r="G377" s="101"/>
      <c r="H377" s="101"/>
      <c r="I377" s="101"/>
      <c r="J377" s="142"/>
      <c r="K377" s="101"/>
      <c r="L377" s="101"/>
      <c r="M377" s="101"/>
      <c r="N377" s="101"/>
      <c r="O377" s="101"/>
      <c r="P377" s="101"/>
      <c r="Q377" s="101"/>
      <c r="R377" s="101"/>
      <c r="S377" s="101"/>
      <c r="T377" s="101"/>
      <c r="U377" s="101"/>
      <c r="V377" s="101"/>
      <c r="W377" s="101"/>
      <c r="X377" s="101"/>
      <c r="Y377" s="101"/>
      <c r="Z377" s="101"/>
      <c r="AA377" s="101"/>
      <c r="AB377" s="101"/>
      <c r="AC377" s="101"/>
      <c r="AD377" s="101"/>
    </row>
    <row r="378" ht="30.0" customHeight="1">
      <c r="A378" s="141"/>
      <c r="B378" s="101"/>
      <c r="C378" s="101"/>
      <c r="D378" s="101"/>
      <c r="E378" s="101"/>
      <c r="F378" s="101"/>
      <c r="G378" s="101"/>
      <c r="H378" s="101"/>
      <c r="I378" s="101"/>
      <c r="J378" s="142"/>
      <c r="K378" s="101"/>
      <c r="L378" s="101"/>
      <c r="M378" s="101"/>
      <c r="N378" s="101"/>
      <c r="O378" s="101"/>
      <c r="P378" s="101"/>
      <c r="Q378" s="101"/>
      <c r="R378" s="101"/>
      <c r="S378" s="101"/>
      <c r="T378" s="101"/>
      <c r="U378" s="101"/>
      <c r="V378" s="101"/>
      <c r="W378" s="101"/>
      <c r="X378" s="101"/>
      <c r="Y378" s="101"/>
      <c r="Z378" s="101"/>
      <c r="AA378" s="101"/>
      <c r="AB378" s="101"/>
      <c r="AC378" s="101"/>
      <c r="AD378" s="101"/>
    </row>
    <row r="379" ht="30.0" customHeight="1">
      <c r="A379" s="141"/>
      <c r="B379" s="101"/>
      <c r="C379" s="101"/>
      <c r="D379" s="101"/>
      <c r="E379" s="101"/>
      <c r="F379" s="101"/>
      <c r="G379" s="101"/>
      <c r="H379" s="101"/>
      <c r="I379" s="101"/>
      <c r="J379" s="142"/>
      <c r="K379" s="101"/>
      <c r="L379" s="101"/>
      <c r="M379" s="101"/>
      <c r="N379" s="101"/>
      <c r="O379" s="101"/>
      <c r="P379" s="101"/>
      <c r="Q379" s="101"/>
      <c r="R379" s="101"/>
      <c r="S379" s="101"/>
      <c r="T379" s="101"/>
      <c r="U379" s="101"/>
      <c r="V379" s="101"/>
      <c r="W379" s="101"/>
      <c r="X379" s="101"/>
      <c r="Y379" s="101"/>
      <c r="Z379" s="101"/>
      <c r="AA379" s="101"/>
      <c r="AB379" s="101"/>
      <c r="AC379" s="101"/>
      <c r="AD379" s="101"/>
    </row>
    <row r="380" ht="30.0" customHeight="1">
      <c r="A380" s="141"/>
      <c r="B380" s="101"/>
      <c r="C380" s="101"/>
      <c r="D380" s="101"/>
      <c r="E380" s="101"/>
      <c r="F380" s="101"/>
      <c r="G380" s="101"/>
      <c r="H380" s="101"/>
      <c r="I380" s="101"/>
      <c r="J380" s="142"/>
      <c r="K380" s="101"/>
      <c r="L380" s="101"/>
      <c r="M380" s="101"/>
      <c r="N380" s="101"/>
      <c r="O380" s="101"/>
      <c r="P380" s="101"/>
      <c r="Q380" s="101"/>
      <c r="R380" s="101"/>
      <c r="S380" s="101"/>
      <c r="T380" s="101"/>
      <c r="U380" s="101"/>
      <c r="V380" s="101"/>
      <c r="W380" s="101"/>
      <c r="X380" s="101"/>
      <c r="Y380" s="101"/>
      <c r="Z380" s="101"/>
      <c r="AA380" s="101"/>
      <c r="AB380" s="101"/>
      <c r="AC380" s="101"/>
      <c r="AD380" s="101"/>
    </row>
    <row r="381" ht="30.0" customHeight="1">
      <c r="A381" s="141"/>
      <c r="B381" s="101"/>
      <c r="C381" s="101"/>
      <c r="D381" s="101"/>
      <c r="E381" s="101"/>
      <c r="F381" s="101"/>
      <c r="G381" s="101"/>
      <c r="H381" s="101"/>
      <c r="I381" s="101"/>
      <c r="J381" s="142"/>
      <c r="K381" s="101"/>
      <c r="L381" s="101"/>
      <c r="M381" s="101"/>
      <c r="N381" s="101"/>
      <c r="O381" s="101"/>
      <c r="P381" s="101"/>
      <c r="Q381" s="101"/>
      <c r="R381" s="101"/>
      <c r="S381" s="101"/>
      <c r="T381" s="101"/>
      <c r="U381" s="101"/>
      <c r="V381" s="101"/>
      <c r="W381" s="101"/>
      <c r="X381" s="101"/>
      <c r="Y381" s="101"/>
      <c r="Z381" s="101"/>
      <c r="AA381" s="101"/>
      <c r="AB381" s="101"/>
      <c r="AC381" s="101"/>
      <c r="AD381" s="101"/>
    </row>
    <row r="382" ht="30.0" customHeight="1">
      <c r="A382" s="141"/>
      <c r="B382" s="101"/>
      <c r="C382" s="101"/>
      <c r="D382" s="101"/>
      <c r="E382" s="101"/>
      <c r="F382" s="101"/>
      <c r="G382" s="101"/>
      <c r="H382" s="101"/>
      <c r="I382" s="101"/>
      <c r="J382" s="142"/>
      <c r="K382" s="101"/>
      <c r="L382" s="101"/>
      <c r="M382" s="101"/>
      <c r="N382" s="101"/>
      <c r="O382" s="101"/>
      <c r="P382" s="101"/>
      <c r="Q382" s="101"/>
      <c r="R382" s="101"/>
      <c r="S382" s="101"/>
      <c r="T382" s="101"/>
      <c r="U382" s="101"/>
      <c r="V382" s="101"/>
      <c r="W382" s="101"/>
      <c r="X382" s="101"/>
      <c r="Y382" s="101"/>
      <c r="Z382" s="101"/>
      <c r="AA382" s="101"/>
      <c r="AB382" s="101"/>
      <c r="AC382" s="101"/>
      <c r="AD382" s="101"/>
    </row>
    <row r="383" ht="30.0" customHeight="1">
      <c r="A383" s="141"/>
      <c r="B383" s="101"/>
      <c r="C383" s="101"/>
      <c r="D383" s="101"/>
      <c r="E383" s="101"/>
      <c r="F383" s="101"/>
      <c r="G383" s="101"/>
      <c r="H383" s="101"/>
      <c r="I383" s="101"/>
      <c r="J383" s="142"/>
      <c r="K383" s="101"/>
      <c r="L383" s="101"/>
      <c r="M383" s="101"/>
      <c r="N383" s="101"/>
      <c r="O383" s="101"/>
      <c r="P383" s="101"/>
      <c r="Q383" s="101"/>
      <c r="R383" s="101"/>
      <c r="S383" s="101"/>
      <c r="T383" s="101"/>
      <c r="U383" s="101"/>
      <c r="V383" s="101"/>
      <c r="W383" s="101"/>
      <c r="X383" s="101"/>
      <c r="Y383" s="101"/>
      <c r="Z383" s="101"/>
      <c r="AA383" s="101"/>
      <c r="AB383" s="101"/>
      <c r="AC383" s="101"/>
      <c r="AD383" s="101"/>
    </row>
    <row r="384" ht="30.0" customHeight="1">
      <c r="A384" s="141"/>
      <c r="B384" s="101"/>
      <c r="C384" s="101"/>
      <c r="D384" s="101"/>
      <c r="E384" s="101"/>
      <c r="F384" s="101"/>
      <c r="G384" s="101"/>
      <c r="H384" s="101"/>
      <c r="I384" s="101"/>
      <c r="J384" s="142"/>
      <c r="K384" s="101"/>
      <c r="L384" s="101"/>
      <c r="M384" s="101"/>
      <c r="N384" s="101"/>
      <c r="O384" s="101"/>
      <c r="P384" s="101"/>
      <c r="Q384" s="101"/>
      <c r="R384" s="101"/>
      <c r="S384" s="101"/>
      <c r="T384" s="101"/>
      <c r="U384" s="101"/>
      <c r="V384" s="101"/>
      <c r="W384" s="101"/>
      <c r="X384" s="101"/>
      <c r="Y384" s="101"/>
      <c r="Z384" s="101"/>
      <c r="AA384" s="101"/>
      <c r="AB384" s="101"/>
      <c r="AC384" s="101"/>
      <c r="AD384" s="101"/>
    </row>
    <row r="385" ht="30.0" customHeight="1">
      <c r="A385" s="141"/>
      <c r="B385" s="101"/>
      <c r="C385" s="101"/>
      <c r="D385" s="101"/>
      <c r="E385" s="101"/>
      <c r="F385" s="101"/>
      <c r="G385" s="101"/>
      <c r="H385" s="101"/>
      <c r="I385" s="101"/>
      <c r="J385" s="142"/>
      <c r="K385" s="101"/>
      <c r="L385" s="101"/>
      <c r="M385" s="101"/>
      <c r="N385" s="101"/>
      <c r="O385" s="101"/>
      <c r="P385" s="101"/>
      <c r="Q385" s="101"/>
      <c r="R385" s="101"/>
      <c r="S385" s="101"/>
      <c r="T385" s="101"/>
      <c r="U385" s="101"/>
      <c r="V385" s="101"/>
      <c r="W385" s="101"/>
      <c r="X385" s="101"/>
      <c r="Y385" s="101"/>
      <c r="Z385" s="101"/>
      <c r="AA385" s="101"/>
      <c r="AB385" s="101"/>
      <c r="AC385" s="101"/>
      <c r="AD385" s="101"/>
    </row>
    <row r="386" ht="30.0" customHeight="1">
      <c r="A386" s="141"/>
      <c r="B386" s="101"/>
      <c r="C386" s="101"/>
      <c r="D386" s="101"/>
      <c r="E386" s="101"/>
      <c r="F386" s="101"/>
      <c r="G386" s="101"/>
      <c r="H386" s="101"/>
      <c r="I386" s="101"/>
      <c r="J386" s="142"/>
      <c r="K386" s="101"/>
      <c r="L386" s="101"/>
      <c r="M386" s="101"/>
      <c r="N386" s="101"/>
      <c r="O386" s="101"/>
      <c r="P386" s="101"/>
      <c r="Q386" s="101"/>
      <c r="R386" s="101"/>
      <c r="S386" s="101"/>
      <c r="T386" s="101"/>
      <c r="U386" s="101"/>
      <c r="V386" s="101"/>
      <c r="W386" s="101"/>
      <c r="X386" s="101"/>
      <c r="Y386" s="101"/>
      <c r="Z386" s="101"/>
      <c r="AA386" s="101"/>
      <c r="AB386" s="101"/>
      <c r="AC386" s="101"/>
      <c r="AD386" s="101"/>
    </row>
    <row r="387" ht="30.0" customHeight="1">
      <c r="A387" s="141"/>
      <c r="B387" s="101"/>
      <c r="C387" s="101"/>
      <c r="D387" s="101"/>
      <c r="E387" s="101"/>
      <c r="F387" s="101"/>
      <c r="G387" s="101"/>
      <c r="H387" s="101"/>
      <c r="I387" s="101"/>
      <c r="J387" s="142"/>
      <c r="K387" s="101"/>
      <c r="L387" s="101"/>
      <c r="M387" s="101"/>
      <c r="N387" s="101"/>
      <c r="O387" s="101"/>
      <c r="P387" s="101"/>
      <c r="Q387" s="101"/>
      <c r="R387" s="101"/>
      <c r="S387" s="101"/>
      <c r="T387" s="101"/>
      <c r="U387" s="101"/>
      <c r="V387" s="101"/>
      <c r="W387" s="101"/>
      <c r="X387" s="101"/>
      <c r="Y387" s="101"/>
      <c r="Z387" s="101"/>
      <c r="AA387" s="101"/>
      <c r="AB387" s="101"/>
      <c r="AC387" s="101"/>
      <c r="AD387" s="101"/>
    </row>
    <row r="388" ht="30.0" customHeight="1">
      <c r="A388" s="141"/>
      <c r="B388" s="101"/>
      <c r="C388" s="101"/>
      <c r="D388" s="101"/>
      <c r="E388" s="101"/>
      <c r="F388" s="101"/>
      <c r="G388" s="101"/>
      <c r="H388" s="101"/>
      <c r="I388" s="101"/>
      <c r="J388" s="142"/>
      <c r="K388" s="101"/>
      <c r="L388" s="101"/>
      <c r="M388" s="101"/>
      <c r="N388" s="101"/>
      <c r="O388" s="101"/>
      <c r="P388" s="101"/>
      <c r="Q388" s="101"/>
      <c r="R388" s="101"/>
      <c r="S388" s="101"/>
      <c r="T388" s="101"/>
      <c r="U388" s="101"/>
      <c r="V388" s="101"/>
      <c r="W388" s="101"/>
      <c r="X388" s="101"/>
      <c r="Y388" s="101"/>
      <c r="Z388" s="101"/>
      <c r="AA388" s="101"/>
      <c r="AB388" s="101"/>
      <c r="AC388" s="101"/>
      <c r="AD388" s="101"/>
    </row>
    <row r="389" ht="30.0" customHeight="1">
      <c r="A389" s="141"/>
      <c r="B389" s="101"/>
      <c r="C389" s="101"/>
      <c r="D389" s="101"/>
      <c r="E389" s="101"/>
      <c r="F389" s="101"/>
      <c r="G389" s="101"/>
      <c r="H389" s="101"/>
      <c r="I389" s="101"/>
      <c r="J389" s="142"/>
      <c r="K389" s="101"/>
      <c r="L389" s="101"/>
      <c r="M389" s="101"/>
      <c r="N389" s="101"/>
      <c r="O389" s="101"/>
      <c r="P389" s="101"/>
      <c r="Q389" s="101"/>
      <c r="R389" s="101"/>
      <c r="S389" s="101"/>
      <c r="T389" s="101"/>
      <c r="U389" s="101"/>
      <c r="V389" s="101"/>
      <c r="W389" s="101"/>
      <c r="X389" s="101"/>
      <c r="Y389" s="101"/>
      <c r="Z389" s="101"/>
      <c r="AA389" s="101"/>
      <c r="AB389" s="101"/>
      <c r="AC389" s="101"/>
      <c r="AD389" s="101"/>
    </row>
    <row r="390" ht="30.0" customHeight="1">
      <c r="A390" s="141"/>
      <c r="B390" s="101"/>
      <c r="C390" s="101"/>
      <c r="D390" s="101"/>
      <c r="E390" s="101"/>
      <c r="F390" s="101"/>
      <c r="G390" s="101"/>
      <c r="H390" s="101"/>
      <c r="I390" s="101"/>
      <c r="J390" s="142"/>
      <c r="K390" s="101"/>
      <c r="L390" s="101"/>
      <c r="M390" s="101"/>
      <c r="N390" s="101"/>
      <c r="O390" s="101"/>
      <c r="P390" s="101"/>
      <c r="Q390" s="101"/>
      <c r="R390" s="101"/>
      <c r="S390" s="101"/>
      <c r="T390" s="101"/>
      <c r="U390" s="101"/>
      <c r="V390" s="101"/>
      <c r="W390" s="101"/>
      <c r="X390" s="101"/>
      <c r="Y390" s="101"/>
      <c r="Z390" s="101"/>
      <c r="AA390" s="101"/>
      <c r="AB390" s="101"/>
      <c r="AC390" s="101"/>
      <c r="AD390" s="101"/>
    </row>
    <row r="391" ht="30.0" customHeight="1">
      <c r="A391" s="141"/>
      <c r="B391" s="101"/>
      <c r="C391" s="101"/>
      <c r="D391" s="101"/>
      <c r="E391" s="101"/>
      <c r="F391" s="101"/>
      <c r="G391" s="101"/>
      <c r="H391" s="101"/>
      <c r="I391" s="101"/>
      <c r="J391" s="142"/>
      <c r="K391" s="101"/>
      <c r="L391" s="101"/>
      <c r="M391" s="101"/>
      <c r="N391" s="101"/>
      <c r="O391" s="101"/>
      <c r="P391" s="101"/>
      <c r="Q391" s="101"/>
      <c r="R391" s="101"/>
      <c r="S391" s="101"/>
      <c r="T391" s="101"/>
      <c r="U391" s="101"/>
      <c r="V391" s="101"/>
      <c r="W391" s="101"/>
      <c r="X391" s="101"/>
      <c r="Y391" s="101"/>
      <c r="Z391" s="101"/>
      <c r="AA391" s="101"/>
      <c r="AB391" s="101"/>
      <c r="AC391" s="101"/>
      <c r="AD391" s="101"/>
    </row>
    <row r="392" ht="30.0" customHeight="1">
      <c r="A392" s="141"/>
      <c r="B392" s="101"/>
      <c r="C392" s="101"/>
      <c r="D392" s="101"/>
      <c r="E392" s="101"/>
      <c r="F392" s="101"/>
      <c r="G392" s="101"/>
      <c r="H392" s="101"/>
      <c r="I392" s="101"/>
      <c r="J392" s="142"/>
      <c r="K392" s="101"/>
      <c r="L392" s="101"/>
      <c r="M392" s="101"/>
      <c r="N392" s="101"/>
      <c r="O392" s="101"/>
      <c r="P392" s="101"/>
      <c r="Q392" s="101"/>
      <c r="R392" s="101"/>
      <c r="S392" s="101"/>
      <c r="T392" s="101"/>
      <c r="U392" s="101"/>
      <c r="V392" s="101"/>
      <c r="W392" s="101"/>
      <c r="X392" s="101"/>
      <c r="Y392" s="101"/>
      <c r="Z392" s="101"/>
      <c r="AA392" s="101"/>
      <c r="AB392" s="101"/>
      <c r="AC392" s="101"/>
      <c r="AD392" s="101"/>
    </row>
    <row r="393" ht="30.0" customHeight="1">
      <c r="A393" s="141"/>
      <c r="B393" s="101"/>
      <c r="C393" s="101"/>
      <c r="D393" s="101"/>
      <c r="E393" s="101"/>
      <c r="F393" s="101"/>
      <c r="G393" s="101"/>
      <c r="H393" s="101"/>
      <c r="I393" s="101"/>
      <c r="J393" s="142"/>
      <c r="K393" s="101"/>
      <c r="L393" s="101"/>
      <c r="M393" s="101"/>
      <c r="N393" s="101"/>
      <c r="O393" s="101"/>
      <c r="P393" s="101"/>
      <c r="Q393" s="101"/>
      <c r="R393" s="101"/>
      <c r="S393" s="101"/>
      <c r="T393" s="101"/>
      <c r="U393" s="101"/>
      <c r="V393" s="101"/>
      <c r="W393" s="101"/>
      <c r="X393" s="101"/>
      <c r="Y393" s="101"/>
      <c r="Z393" s="101"/>
      <c r="AA393" s="101"/>
      <c r="AB393" s="101"/>
      <c r="AC393" s="101"/>
      <c r="AD393" s="101"/>
    </row>
    <row r="394" ht="30.0" customHeight="1">
      <c r="A394" s="141"/>
      <c r="B394" s="101"/>
      <c r="C394" s="101"/>
      <c r="D394" s="101"/>
      <c r="E394" s="101"/>
      <c r="F394" s="101"/>
      <c r="G394" s="101"/>
      <c r="H394" s="101"/>
      <c r="I394" s="101"/>
      <c r="J394" s="142"/>
      <c r="K394" s="101"/>
      <c r="L394" s="101"/>
      <c r="M394" s="101"/>
      <c r="N394" s="101"/>
      <c r="O394" s="101"/>
      <c r="P394" s="101"/>
      <c r="Q394" s="101"/>
      <c r="R394" s="101"/>
      <c r="S394" s="101"/>
      <c r="T394" s="101"/>
      <c r="U394" s="101"/>
      <c r="V394" s="101"/>
      <c r="W394" s="101"/>
      <c r="X394" s="101"/>
      <c r="Y394" s="101"/>
      <c r="Z394" s="101"/>
      <c r="AA394" s="101"/>
      <c r="AB394" s="101"/>
      <c r="AC394" s="101"/>
      <c r="AD394" s="101"/>
    </row>
    <row r="395" ht="30.0" customHeight="1">
      <c r="A395" s="141"/>
      <c r="B395" s="101"/>
      <c r="C395" s="101"/>
      <c r="D395" s="101"/>
      <c r="E395" s="101"/>
      <c r="F395" s="101"/>
      <c r="G395" s="101"/>
      <c r="H395" s="101"/>
      <c r="I395" s="101"/>
      <c r="J395" s="142"/>
      <c r="K395" s="101"/>
      <c r="L395" s="101"/>
      <c r="M395" s="101"/>
      <c r="N395" s="101"/>
      <c r="O395" s="101"/>
      <c r="P395" s="101"/>
      <c r="Q395" s="101"/>
      <c r="R395" s="101"/>
      <c r="S395" s="101"/>
      <c r="T395" s="101"/>
      <c r="U395" s="101"/>
      <c r="V395" s="101"/>
      <c r="W395" s="101"/>
      <c r="X395" s="101"/>
      <c r="Y395" s="101"/>
      <c r="Z395" s="101"/>
      <c r="AA395" s="101"/>
      <c r="AB395" s="101"/>
      <c r="AC395" s="101"/>
      <c r="AD395" s="101"/>
    </row>
    <row r="396" ht="30.0" customHeight="1">
      <c r="A396" s="141"/>
      <c r="B396" s="101"/>
      <c r="C396" s="101"/>
      <c r="D396" s="101"/>
      <c r="E396" s="101"/>
      <c r="F396" s="101"/>
      <c r="G396" s="101"/>
      <c r="H396" s="101"/>
      <c r="I396" s="101"/>
      <c r="J396" s="142"/>
      <c r="K396" s="101"/>
      <c r="L396" s="101"/>
      <c r="M396" s="101"/>
      <c r="N396" s="101"/>
      <c r="O396" s="101"/>
      <c r="P396" s="101"/>
      <c r="Q396" s="101"/>
      <c r="R396" s="101"/>
      <c r="S396" s="101"/>
      <c r="T396" s="101"/>
      <c r="U396" s="101"/>
      <c r="V396" s="101"/>
      <c r="W396" s="101"/>
      <c r="X396" s="101"/>
      <c r="Y396" s="101"/>
      <c r="Z396" s="101"/>
      <c r="AA396" s="101"/>
      <c r="AB396" s="101"/>
      <c r="AC396" s="101"/>
      <c r="AD396" s="101"/>
    </row>
    <row r="397" ht="30.0" customHeight="1">
      <c r="A397" s="141"/>
      <c r="B397" s="101"/>
      <c r="C397" s="101"/>
      <c r="D397" s="101"/>
      <c r="E397" s="101"/>
      <c r="F397" s="101"/>
      <c r="G397" s="101"/>
      <c r="H397" s="101"/>
      <c r="I397" s="101"/>
      <c r="J397" s="142"/>
      <c r="K397" s="101"/>
      <c r="L397" s="101"/>
      <c r="M397" s="101"/>
      <c r="N397" s="101"/>
      <c r="O397" s="101"/>
      <c r="P397" s="101"/>
      <c r="Q397" s="101"/>
      <c r="R397" s="101"/>
      <c r="S397" s="101"/>
      <c r="T397" s="101"/>
      <c r="U397" s="101"/>
      <c r="V397" s="101"/>
      <c r="W397" s="101"/>
      <c r="X397" s="101"/>
      <c r="Y397" s="101"/>
      <c r="Z397" s="101"/>
      <c r="AA397" s="101"/>
      <c r="AB397" s="101"/>
      <c r="AC397" s="101"/>
      <c r="AD397" s="101"/>
    </row>
    <row r="398" ht="30.0" customHeight="1">
      <c r="A398" s="141"/>
      <c r="B398" s="101"/>
      <c r="C398" s="101"/>
      <c r="D398" s="101"/>
      <c r="E398" s="101"/>
      <c r="F398" s="101"/>
      <c r="G398" s="101"/>
      <c r="H398" s="101"/>
      <c r="I398" s="101"/>
      <c r="J398" s="142"/>
      <c r="K398" s="101"/>
      <c r="L398" s="101"/>
      <c r="M398" s="101"/>
      <c r="N398" s="101"/>
      <c r="O398" s="101"/>
      <c r="P398" s="101"/>
      <c r="Q398" s="101"/>
      <c r="R398" s="101"/>
      <c r="S398" s="101"/>
      <c r="T398" s="101"/>
      <c r="U398" s="101"/>
      <c r="V398" s="101"/>
      <c r="W398" s="101"/>
      <c r="X398" s="101"/>
      <c r="Y398" s="101"/>
      <c r="Z398" s="101"/>
      <c r="AA398" s="101"/>
      <c r="AB398" s="101"/>
      <c r="AC398" s="101"/>
      <c r="AD398" s="101"/>
    </row>
    <row r="399" ht="30.0" customHeight="1">
      <c r="A399" s="141"/>
      <c r="B399" s="101"/>
      <c r="C399" s="101"/>
      <c r="D399" s="101"/>
      <c r="E399" s="101"/>
      <c r="F399" s="101"/>
      <c r="G399" s="101"/>
      <c r="H399" s="101"/>
      <c r="I399" s="101"/>
      <c r="J399" s="142"/>
      <c r="K399" s="101"/>
      <c r="L399" s="101"/>
      <c r="M399" s="101"/>
      <c r="N399" s="101"/>
      <c r="O399" s="101"/>
      <c r="P399" s="101"/>
      <c r="Q399" s="101"/>
      <c r="R399" s="101"/>
      <c r="S399" s="101"/>
      <c r="T399" s="101"/>
      <c r="U399" s="101"/>
      <c r="V399" s="101"/>
      <c r="W399" s="101"/>
      <c r="X399" s="101"/>
      <c r="Y399" s="101"/>
      <c r="Z399" s="101"/>
      <c r="AA399" s="101"/>
      <c r="AB399" s="101"/>
      <c r="AC399" s="101"/>
      <c r="AD399" s="101"/>
    </row>
    <row r="400" ht="30.0" customHeight="1">
      <c r="A400" s="141"/>
      <c r="B400" s="101"/>
      <c r="C400" s="101"/>
      <c r="D400" s="101"/>
      <c r="E400" s="101"/>
      <c r="F400" s="101"/>
      <c r="G400" s="101"/>
      <c r="H400" s="101"/>
      <c r="I400" s="101"/>
      <c r="J400" s="142"/>
      <c r="K400" s="101"/>
      <c r="L400" s="101"/>
      <c r="M400" s="101"/>
      <c r="N400" s="101"/>
      <c r="O400" s="101"/>
      <c r="P400" s="101"/>
      <c r="Q400" s="101"/>
      <c r="R400" s="101"/>
      <c r="S400" s="101"/>
      <c r="T400" s="101"/>
      <c r="U400" s="101"/>
      <c r="V400" s="101"/>
      <c r="W400" s="101"/>
      <c r="X400" s="101"/>
      <c r="Y400" s="101"/>
      <c r="Z400" s="101"/>
      <c r="AA400" s="101"/>
      <c r="AB400" s="101"/>
      <c r="AC400" s="101"/>
      <c r="AD400" s="101"/>
    </row>
    <row r="401" ht="30.0" customHeight="1">
      <c r="A401" s="141"/>
      <c r="B401" s="101"/>
      <c r="C401" s="101"/>
      <c r="D401" s="101"/>
      <c r="E401" s="101"/>
      <c r="F401" s="101"/>
      <c r="G401" s="101"/>
      <c r="H401" s="101"/>
      <c r="I401" s="101"/>
      <c r="J401" s="142"/>
      <c r="K401" s="101"/>
      <c r="L401" s="101"/>
      <c r="M401" s="101"/>
      <c r="N401" s="101"/>
      <c r="O401" s="101"/>
      <c r="P401" s="101"/>
      <c r="Q401" s="101"/>
      <c r="R401" s="101"/>
      <c r="S401" s="101"/>
      <c r="T401" s="101"/>
      <c r="U401" s="101"/>
      <c r="V401" s="101"/>
      <c r="W401" s="101"/>
      <c r="X401" s="101"/>
      <c r="Y401" s="101"/>
      <c r="Z401" s="101"/>
      <c r="AA401" s="101"/>
      <c r="AB401" s="101"/>
      <c r="AC401" s="101"/>
      <c r="AD401" s="101"/>
    </row>
    <row r="402" ht="30.0" customHeight="1">
      <c r="A402" s="141"/>
      <c r="B402" s="101"/>
      <c r="C402" s="101"/>
      <c r="D402" s="101"/>
      <c r="E402" s="101"/>
      <c r="F402" s="101"/>
      <c r="G402" s="101"/>
      <c r="H402" s="101"/>
      <c r="I402" s="101"/>
      <c r="J402" s="142"/>
      <c r="K402" s="101"/>
      <c r="L402" s="101"/>
      <c r="M402" s="101"/>
      <c r="N402" s="101"/>
      <c r="O402" s="101"/>
      <c r="P402" s="101"/>
      <c r="Q402" s="101"/>
      <c r="R402" s="101"/>
      <c r="S402" s="101"/>
      <c r="T402" s="101"/>
      <c r="U402" s="101"/>
      <c r="V402" s="101"/>
      <c r="W402" s="101"/>
      <c r="X402" s="101"/>
      <c r="Y402" s="101"/>
      <c r="Z402" s="101"/>
      <c r="AA402" s="101"/>
      <c r="AB402" s="101"/>
      <c r="AC402" s="101"/>
      <c r="AD402" s="101"/>
    </row>
    <row r="403" ht="30.0" customHeight="1">
      <c r="A403" s="141"/>
      <c r="B403" s="101"/>
      <c r="C403" s="101"/>
      <c r="D403" s="101"/>
      <c r="E403" s="101"/>
      <c r="F403" s="101"/>
      <c r="G403" s="101"/>
      <c r="H403" s="101"/>
      <c r="I403" s="101"/>
      <c r="J403" s="142"/>
      <c r="K403" s="101"/>
      <c r="L403" s="101"/>
      <c r="M403" s="101"/>
      <c r="N403" s="101"/>
      <c r="O403" s="101"/>
      <c r="P403" s="101"/>
      <c r="Q403" s="101"/>
      <c r="R403" s="101"/>
      <c r="S403" s="101"/>
      <c r="T403" s="101"/>
      <c r="U403" s="101"/>
      <c r="V403" s="101"/>
      <c r="W403" s="101"/>
      <c r="X403" s="101"/>
      <c r="Y403" s="101"/>
      <c r="Z403" s="101"/>
      <c r="AA403" s="101"/>
      <c r="AB403" s="101"/>
      <c r="AC403" s="101"/>
      <c r="AD403" s="101"/>
    </row>
    <row r="404" ht="30.0" customHeight="1">
      <c r="A404" s="141"/>
      <c r="B404" s="101"/>
      <c r="C404" s="101"/>
      <c r="D404" s="101"/>
      <c r="E404" s="101"/>
      <c r="F404" s="101"/>
      <c r="G404" s="101"/>
      <c r="H404" s="101"/>
      <c r="I404" s="101"/>
      <c r="J404" s="142"/>
      <c r="K404" s="101"/>
      <c r="L404" s="101"/>
      <c r="M404" s="101"/>
      <c r="N404" s="101"/>
      <c r="O404" s="101"/>
      <c r="P404" s="101"/>
      <c r="Q404" s="101"/>
      <c r="R404" s="101"/>
      <c r="S404" s="101"/>
      <c r="T404" s="101"/>
      <c r="U404" s="101"/>
      <c r="V404" s="101"/>
      <c r="W404" s="101"/>
      <c r="X404" s="101"/>
      <c r="Y404" s="101"/>
      <c r="Z404" s="101"/>
      <c r="AA404" s="101"/>
      <c r="AB404" s="101"/>
      <c r="AC404" s="101"/>
      <c r="AD404" s="101"/>
    </row>
    <row r="405" ht="30.0" customHeight="1">
      <c r="A405" s="141"/>
      <c r="B405" s="101"/>
      <c r="C405" s="101"/>
      <c r="D405" s="101"/>
      <c r="E405" s="101"/>
      <c r="F405" s="101"/>
      <c r="G405" s="101"/>
      <c r="H405" s="101"/>
      <c r="I405" s="101"/>
      <c r="J405" s="142"/>
      <c r="K405" s="101"/>
      <c r="L405" s="101"/>
      <c r="M405" s="101"/>
      <c r="N405" s="101"/>
      <c r="O405" s="101"/>
      <c r="P405" s="101"/>
      <c r="Q405" s="101"/>
      <c r="R405" s="101"/>
      <c r="S405" s="101"/>
      <c r="T405" s="101"/>
      <c r="U405" s="101"/>
      <c r="V405" s="101"/>
      <c r="W405" s="101"/>
      <c r="X405" s="101"/>
      <c r="Y405" s="101"/>
      <c r="Z405" s="101"/>
      <c r="AA405" s="101"/>
      <c r="AB405" s="101"/>
      <c r="AC405" s="101"/>
      <c r="AD405" s="101"/>
    </row>
    <row r="406" ht="30.0" customHeight="1">
      <c r="A406" s="141"/>
      <c r="B406" s="101"/>
      <c r="C406" s="101"/>
      <c r="D406" s="101"/>
      <c r="E406" s="101"/>
      <c r="F406" s="101"/>
      <c r="G406" s="101"/>
      <c r="H406" s="101"/>
      <c r="I406" s="101"/>
      <c r="J406" s="142"/>
      <c r="K406" s="101"/>
      <c r="L406" s="101"/>
      <c r="M406" s="101"/>
      <c r="N406" s="101"/>
      <c r="O406" s="101"/>
      <c r="P406" s="101"/>
      <c r="Q406" s="101"/>
      <c r="R406" s="101"/>
      <c r="S406" s="101"/>
      <c r="T406" s="101"/>
      <c r="U406" s="101"/>
      <c r="V406" s="101"/>
      <c r="W406" s="101"/>
      <c r="X406" s="101"/>
      <c r="Y406" s="101"/>
      <c r="Z406" s="101"/>
      <c r="AA406" s="101"/>
      <c r="AB406" s="101"/>
      <c r="AC406" s="101"/>
      <c r="AD406" s="101"/>
    </row>
    <row r="407" ht="30.0" customHeight="1">
      <c r="A407" s="141"/>
      <c r="B407" s="101"/>
      <c r="C407" s="101"/>
      <c r="D407" s="101"/>
      <c r="E407" s="101"/>
      <c r="F407" s="101"/>
      <c r="G407" s="101"/>
      <c r="H407" s="101"/>
      <c r="I407" s="101"/>
      <c r="J407" s="142"/>
      <c r="K407" s="101"/>
      <c r="L407" s="101"/>
      <c r="M407" s="101"/>
      <c r="N407" s="101"/>
      <c r="O407" s="101"/>
      <c r="P407" s="101"/>
      <c r="Q407" s="101"/>
      <c r="R407" s="101"/>
      <c r="S407" s="101"/>
      <c r="T407" s="101"/>
      <c r="U407" s="101"/>
      <c r="V407" s="101"/>
      <c r="W407" s="101"/>
      <c r="X407" s="101"/>
      <c r="Y407" s="101"/>
      <c r="Z407" s="101"/>
      <c r="AA407" s="101"/>
      <c r="AB407" s="101"/>
      <c r="AC407" s="101"/>
      <c r="AD407" s="101"/>
    </row>
    <row r="408" ht="30.0" customHeight="1">
      <c r="A408" s="141"/>
      <c r="B408" s="101"/>
      <c r="C408" s="101"/>
      <c r="D408" s="101"/>
      <c r="E408" s="101"/>
      <c r="F408" s="101"/>
      <c r="G408" s="101"/>
      <c r="H408" s="101"/>
      <c r="I408" s="101"/>
      <c r="J408" s="142"/>
      <c r="K408" s="101"/>
      <c r="L408" s="101"/>
      <c r="M408" s="101"/>
      <c r="N408" s="101"/>
      <c r="O408" s="101"/>
      <c r="P408" s="101"/>
      <c r="Q408" s="101"/>
      <c r="R408" s="101"/>
      <c r="S408" s="101"/>
      <c r="T408" s="101"/>
      <c r="U408" s="101"/>
      <c r="V408" s="101"/>
      <c r="W408" s="101"/>
      <c r="X408" s="101"/>
      <c r="Y408" s="101"/>
      <c r="Z408" s="101"/>
      <c r="AA408" s="101"/>
      <c r="AB408" s="101"/>
      <c r="AC408" s="101"/>
      <c r="AD408" s="101"/>
    </row>
    <row r="409" ht="30.0" customHeight="1">
      <c r="A409" s="141"/>
      <c r="B409" s="101"/>
      <c r="C409" s="101"/>
      <c r="D409" s="101"/>
      <c r="E409" s="101"/>
      <c r="F409" s="101"/>
      <c r="G409" s="101"/>
      <c r="H409" s="101"/>
      <c r="I409" s="101"/>
      <c r="J409" s="142"/>
      <c r="K409" s="101"/>
      <c r="L409" s="101"/>
      <c r="M409" s="101"/>
      <c r="N409" s="101"/>
      <c r="O409" s="101"/>
      <c r="P409" s="101"/>
      <c r="Q409" s="101"/>
      <c r="R409" s="101"/>
      <c r="S409" s="101"/>
      <c r="T409" s="101"/>
      <c r="U409" s="101"/>
      <c r="V409" s="101"/>
      <c r="W409" s="101"/>
      <c r="X409" s="101"/>
      <c r="Y409" s="101"/>
      <c r="Z409" s="101"/>
      <c r="AA409" s="101"/>
      <c r="AB409" s="101"/>
      <c r="AC409" s="101"/>
      <c r="AD409" s="101"/>
    </row>
    <row r="410" ht="30.0" customHeight="1">
      <c r="A410" s="141"/>
      <c r="B410" s="101"/>
      <c r="C410" s="101"/>
      <c r="D410" s="101"/>
      <c r="E410" s="101"/>
      <c r="F410" s="101"/>
      <c r="G410" s="101"/>
      <c r="H410" s="101"/>
      <c r="I410" s="101"/>
      <c r="J410" s="142"/>
      <c r="K410" s="101"/>
      <c r="L410" s="101"/>
      <c r="M410" s="101"/>
      <c r="N410" s="101"/>
      <c r="O410" s="101"/>
      <c r="P410" s="101"/>
      <c r="Q410" s="101"/>
      <c r="R410" s="101"/>
      <c r="S410" s="101"/>
      <c r="T410" s="101"/>
      <c r="U410" s="101"/>
      <c r="V410" s="101"/>
      <c r="W410" s="101"/>
      <c r="X410" s="101"/>
      <c r="Y410" s="101"/>
      <c r="Z410" s="101"/>
      <c r="AA410" s="101"/>
      <c r="AB410" s="101"/>
      <c r="AC410" s="101"/>
      <c r="AD410" s="101"/>
    </row>
    <row r="411" ht="30.0" customHeight="1">
      <c r="A411" s="141"/>
      <c r="B411" s="101"/>
      <c r="C411" s="101"/>
      <c r="D411" s="101"/>
      <c r="E411" s="101"/>
      <c r="F411" s="101"/>
      <c r="G411" s="101"/>
      <c r="H411" s="101"/>
      <c r="I411" s="101"/>
      <c r="J411" s="142"/>
      <c r="K411" s="101"/>
      <c r="L411" s="101"/>
      <c r="M411" s="101"/>
      <c r="N411" s="101"/>
      <c r="O411" s="101"/>
      <c r="P411" s="101"/>
      <c r="Q411" s="101"/>
      <c r="R411" s="101"/>
      <c r="S411" s="101"/>
      <c r="T411" s="101"/>
      <c r="U411" s="101"/>
      <c r="V411" s="101"/>
      <c r="W411" s="101"/>
      <c r="X411" s="101"/>
      <c r="Y411" s="101"/>
      <c r="Z411" s="101"/>
      <c r="AA411" s="101"/>
      <c r="AB411" s="101"/>
      <c r="AC411" s="101"/>
      <c r="AD411" s="101"/>
    </row>
    <row r="412" ht="30.0" customHeight="1">
      <c r="A412" s="141"/>
      <c r="B412" s="101"/>
      <c r="C412" s="101"/>
      <c r="D412" s="101"/>
      <c r="E412" s="101"/>
      <c r="F412" s="101"/>
      <c r="G412" s="101"/>
      <c r="H412" s="101"/>
      <c r="I412" s="101"/>
      <c r="J412" s="142"/>
      <c r="K412" s="101"/>
      <c r="L412" s="101"/>
      <c r="M412" s="101"/>
      <c r="N412" s="101"/>
      <c r="O412" s="101"/>
      <c r="P412" s="101"/>
      <c r="Q412" s="101"/>
      <c r="R412" s="101"/>
      <c r="S412" s="101"/>
      <c r="T412" s="101"/>
      <c r="U412" s="101"/>
      <c r="V412" s="101"/>
      <c r="W412" s="101"/>
      <c r="X412" s="101"/>
      <c r="Y412" s="101"/>
      <c r="Z412" s="101"/>
      <c r="AA412" s="101"/>
      <c r="AB412" s="101"/>
      <c r="AC412" s="101"/>
      <c r="AD412" s="101"/>
    </row>
    <row r="413" ht="30.0" customHeight="1">
      <c r="A413" s="141"/>
      <c r="B413" s="101"/>
      <c r="C413" s="101"/>
      <c r="D413" s="101"/>
      <c r="E413" s="101"/>
      <c r="F413" s="101"/>
      <c r="G413" s="101"/>
      <c r="H413" s="101"/>
      <c r="I413" s="101"/>
      <c r="J413" s="142"/>
      <c r="K413" s="101"/>
      <c r="L413" s="101"/>
      <c r="M413" s="101"/>
      <c r="N413" s="101"/>
      <c r="O413" s="101"/>
      <c r="P413" s="101"/>
      <c r="Q413" s="101"/>
      <c r="R413" s="101"/>
      <c r="S413" s="101"/>
      <c r="T413" s="101"/>
      <c r="U413" s="101"/>
      <c r="V413" s="101"/>
      <c r="W413" s="101"/>
      <c r="X413" s="101"/>
      <c r="Y413" s="101"/>
      <c r="Z413" s="101"/>
      <c r="AA413" s="101"/>
      <c r="AB413" s="101"/>
      <c r="AC413" s="101"/>
      <c r="AD413" s="101"/>
    </row>
    <row r="414" ht="30.0" customHeight="1">
      <c r="A414" s="141"/>
      <c r="B414" s="101"/>
      <c r="C414" s="101"/>
      <c r="D414" s="101"/>
      <c r="E414" s="101"/>
      <c r="F414" s="101"/>
      <c r="G414" s="101"/>
      <c r="H414" s="101"/>
      <c r="I414" s="101"/>
      <c r="J414" s="142"/>
      <c r="K414" s="101"/>
      <c r="L414" s="101"/>
      <c r="M414" s="101"/>
      <c r="N414" s="101"/>
      <c r="O414" s="101"/>
      <c r="P414" s="101"/>
      <c r="Q414" s="101"/>
      <c r="R414" s="101"/>
      <c r="S414" s="101"/>
      <c r="T414" s="101"/>
      <c r="U414" s="101"/>
      <c r="V414" s="101"/>
      <c r="W414" s="101"/>
      <c r="X414" s="101"/>
      <c r="Y414" s="101"/>
      <c r="Z414" s="101"/>
      <c r="AA414" s="101"/>
      <c r="AB414" s="101"/>
      <c r="AC414" s="101"/>
      <c r="AD414" s="101"/>
    </row>
    <row r="415" ht="30.0" customHeight="1">
      <c r="A415" s="141"/>
      <c r="B415" s="101"/>
      <c r="C415" s="101"/>
      <c r="D415" s="101"/>
      <c r="E415" s="101"/>
      <c r="F415" s="101"/>
      <c r="G415" s="101"/>
      <c r="H415" s="101"/>
      <c r="I415" s="101"/>
      <c r="J415" s="142"/>
      <c r="K415" s="101"/>
      <c r="L415" s="101"/>
      <c r="M415" s="101"/>
      <c r="N415" s="101"/>
      <c r="O415" s="101"/>
      <c r="P415" s="101"/>
      <c r="Q415" s="101"/>
      <c r="R415" s="101"/>
      <c r="S415" s="101"/>
      <c r="T415" s="101"/>
      <c r="U415" s="101"/>
      <c r="V415" s="101"/>
      <c r="W415" s="101"/>
      <c r="X415" s="101"/>
      <c r="Y415" s="101"/>
      <c r="Z415" s="101"/>
      <c r="AA415" s="101"/>
      <c r="AB415" s="101"/>
      <c r="AC415" s="101"/>
      <c r="AD415" s="101"/>
    </row>
    <row r="416" ht="30.0" customHeight="1">
      <c r="A416" s="141"/>
      <c r="B416" s="101"/>
      <c r="C416" s="101"/>
      <c r="D416" s="101"/>
      <c r="E416" s="101"/>
      <c r="F416" s="101"/>
      <c r="G416" s="101"/>
      <c r="H416" s="101"/>
      <c r="I416" s="101"/>
      <c r="J416" s="142"/>
      <c r="K416" s="101"/>
      <c r="L416" s="101"/>
      <c r="M416" s="101"/>
      <c r="N416" s="101"/>
      <c r="O416" s="101"/>
      <c r="P416" s="101"/>
      <c r="Q416" s="101"/>
      <c r="R416" s="101"/>
      <c r="S416" s="101"/>
      <c r="T416" s="101"/>
      <c r="U416" s="101"/>
      <c r="V416" s="101"/>
      <c r="W416" s="101"/>
      <c r="X416" s="101"/>
      <c r="Y416" s="101"/>
      <c r="Z416" s="101"/>
      <c r="AA416" s="101"/>
      <c r="AB416" s="101"/>
      <c r="AC416" s="101"/>
      <c r="AD416" s="101"/>
    </row>
    <row r="417" ht="30.0" customHeight="1">
      <c r="A417" s="141"/>
      <c r="B417" s="101"/>
      <c r="C417" s="101"/>
      <c r="D417" s="101"/>
      <c r="E417" s="101"/>
      <c r="F417" s="101"/>
      <c r="G417" s="101"/>
      <c r="H417" s="101"/>
      <c r="I417" s="101"/>
      <c r="J417" s="142"/>
      <c r="K417" s="101"/>
      <c r="L417" s="101"/>
      <c r="M417" s="101"/>
      <c r="N417" s="101"/>
      <c r="O417" s="101"/>
      <c r="P417" s="101"/>
      <c r="Q417" s="101"/>
      <c r="R417" s="101"/>
      <c r="S417" s="101"/>
      <c r="T417" s="101"/>
      <c r="U417" s="101"/>
      <c r="V417" s="101"/>
      <c r="W417" s="101"/>
      <c r="X417" s="101"/>
      <c r="Y417" s="101"/>
      <c r="Z417" s="101"/>
      <c r="AA417" s="101"/>
      <c r="AB417" s="101"/>
      <c r="AC417" s="101"/>
      <c r="AD417" s="101"/>
    </row>
    <row r="418" ht="30.0" customHeight="1">
      <c r="A418" s="141"/>
      <c r="B418" s="101"/>
      <c r="C418" s="101"/>
      <c r="D418" s="101"/>
      <c r="E418" s="101"/>
      <c r="F418" s="101"/>
      <c r="G418" s="101"/>
      <c r="H418" s="101"/>
      <c r="I418" s="101"/>
      <c r="J418" s="142"/>
      <c r="K418" s="101"/>
      <c r="L418" s="101"/>
      <c r="M418" s="101"/>
      <c r="N418" s="101"/>
      <c r="O418" s="101"/>
      <c r="P418" s="101"/>
      <c r="Q418" s="101"/>
      <c r="R418" s="101"/>
      <c r="S418" s="101"/>
      <c r="T418" s="101"/>
      <c r="U418" s="101"/>
      <c r="V418" s="101"/>
      <c r="W418" s="101"/>
      <c r="X418" s="101"/>
      <c r="Y418" s="101"/>
      <c r="Z418" s="101"/>
      <c r="AA418" s="101"/>
      <c r="AB418" s="101"/>
      <c r="AC418" s="101"/>
      <c r="AD418" s="101"/>
    </row>
    <row r="419" ht="30.0" customHeight="1">
      <c r="A419" s="141"/>
      <c r="B419" s="101"/>
      <c r="C419" s="101"/>
      <c r="D419" s="101"/>
      <c r="E419" s="101"/>
      <c r="F419" s="101"/>
      <c r="G419" s="101"/>
      <c r="H419" s="101"/>
      <c r="I419" s="101"/>
      <c r="J419" s="142"/>
      <c r="K419" s="101"/>
      <c r="L419" s="101"/>
      <c r="M419" s="101"/>
      <c r="N419" s="101"/>
      <c r="O419" s="101"/>
      <c r="P419" s="101"/>
      <c r="Q419" s="101"/>
      <c r="R419" s="101"/>
      <c r="S419" s="101"/>
      <c r="T419" s="101"/>
      <c r="U419" s="101"/>
      <c r="V419" s="101"/>
      <c r="W419" s="101"/>
      <c r="X419" s="101"/>
      <c r="Y419" s="101"/>
      <c r="Z419" s="101"/>
      <c r="AA419" s="101"/>
      <c r="AB419" s="101"/>
      <c r="AC419" s="101"/>
      <c r="AD419" s="101"/>
    </row>
    <row r="420" ht="30.0" customHeight="1">
      <c r="A420" s="141"/>
      <c r="B420" s="101"/>
      <c r="C420" s="101"/>
      <c r="D420" s="101"/>
      <c r="E420" s="101"/>
      <c r="F420" s="101"/>
      <c r="G420" s="101"/>
      <c r="H420" s="101"/>
      <c r="I420" s="101"/>
      <c r="J420" s="142"/>
      <c r="K420" s="101"/>
      <c r="L420" s="101"/>
      <c r="M420" s="101"/>
      <c r="N420" s="101"/>
      <c r="O420" s="101"/>
      <c r="P420" s="101"/>
      <c r="Q420" s="101"/>
      <c r="R420" s="101"/>
      <c r="S420" s="101"/>
      <c r="T420" s="101"/>
      <c r="U420" s="101"/>
      <c r="V420" s="101"/>
      <c r="W420" s="101"/>
      <c r="X420" s="101"/>
      <c r="Y420" s="101"/>
      <c r="Z420" s="101"/>
      <c r="AA420" s="101"/>
      <c r="AB420" s="101"/>
      <c r="AC420" s="101"/>
      <c r="AD420" s="101"/>
    </row>
    <row r="421" ht="30.0" customHeight="1">
      <c r="A421" s="141"/>
      <c r="B421" s="101"/>
      <c r="C421" s="101"/>
      <c r="D421" s="101"/>
      <c r="E421" s="101"/>
      <c r="F421" s="101"/>
      <c r="G421" s="101"/>
      <c r="H421" s="101"/>
      <c r="I421" s="101"/>
      <c r="J421" s="142"/>
      <c r="K421" s="101"/>
      <c r="L421" s="101"/>
      <c r="M421" s="101"/>
      <c r="N421" s="101"/>
      <c r="O421" s="101"/>
      <c r="P421" s="101"/>
      <c r="Q421" s="101"/>
      <c r="R421" s="101"/>
      <c r="S421" s="101"/>
      <c r="T421" s="101"/>
      <c r="U421" s="101"/>
      <c r="V421" s="101"/>
      <c r="W421" s="101"/>
      <c r="X421" s="101"/>
      <c r="Y421" s="101"/>
      <c r="Z421" s="101"/>
      <c r="AA421" s="101"/>
      <c r="AB421" s="101"/>
      <c r="AC421" s="101"/>
      <c r="AD421" s="101"/>
    </row>
    <row r="422" ht="30.0" customHeight="1">
      <c r="A422" s="141"/>
      <c r="B422" s="101"/>
      <c r="C422" s="101"/>
      <c r="D422" s="101"/>
      <c r="E422" s="101"/>
      <c r="F422" s="101"/>
      <c r="G422" s="101"/>
      <c r="H422" s="101"/>
      <c r="I422" s="101"/>
      <c r="J422" s="142"/>
      <c r="K422" s="101"/>
      <c r="L422" s="101"/>
      <c r="M422" s="101"/>
      <c r="N422" s="101"/>
      <c r="O422" s="101"/>
      <c r="P422" s="101"/>
      <c r="Q422" s="101"/>
      <c r="R422" s="101"/>
      <c r="S422" s="101"/>
      <c r="T422" s="101"/>
      <c r="U422" s="101"/>
      <c r="V422" s="101"/>
      <c r="W422" s="101"/>
      <c r="X422" s="101"/>
      <c r="Y422" s="101"/>
      <c r="Z422" s="101"/>
      <c r="AA422" s="101"/>
      <c r="AB422" s="101"/>
      <c r="AC422" s="101"/>
      <c r="AD422" s="101"/>
    </row>
    <row r="423" ht="30.0" customHeight="1">
      <c r="A423" s="141"/>
      <c r="B423" s="101"/>
      <c r="C423" s="101"/>
      <c r="D423" s="101"/>
      <c r="E423" s="101"/>
      <c r="F423" s="101"/>
      <c r="G423" s="101"/>
      <c r="H423" s="101"/>
      <c r="I423" s="101"/>
      <c r="J423" s="142"/>
      <c r="K423" s="101"/>
      <c r="L423" s="101"/>
      <c r="M423" s="101"/>
      <c r="N423" s="101"/>
      <c r="O423" s="101"/>
      <c r="P423" s="101"/>
      <c r="Q423" s="101"/>
      <c r="R423" s="101"/>
      <c r="S423" s="101"/>
      <c r="T423" s="101"/>
      <c r="U423" s="101"/>
      <c r="V423" s="101"/>
      <c r="W423" s="101"/>
      <c r="X423" s="101"/>
      <c r="Y423" s="101"/>
      <c r="Z423" s="101"/>
      <c r="AA423" s="101"/>
      <c r="AB423" s="101"/>
      <c r="AC423" s="101"/>
      <c r="AD423" s="101"/>
    </row>
    <row r="424" ht="30.0" customHeight="1">
      <c r="A424" s="141"/>
      <c r="B424" s="101"/>
      <c r="C424" s="101"/>
      <c r="D424" s="101"/>
      <c r="E424" s="101"/>
      <c r="F424" s="101"/>
      <c r="G424" s="101"/>
      <c r="H424" s="101"/>
      <c r="I424" s="101"/>
      <c r="J424" s="142"/>
      <c r="K424" s="101"/>
      <c r="L424" s="101"/>
      <c r="M424" s="101"/>
      <c r="N424" s="101"/>
      <c r="O424" s="101"/>
      <c r="P424" s="101"/>
      <c r="Q424" s="101"/>
      <c r="R424" s="101"/>
      <c r="S424" s="101"/>
      <c r="T424" s="101"/>
      <c r="U424" s="101"/>
      <c r="V424" s="101"/>
      <c r="W424" s="101"/>
      <c r="X424" s="101"/>
      <c r="Y424" s="101"/>
      <c r="Z424" s="101"/>
      <c r="AA424" s="101"/>
      <c r="AB424" s="101"/>
      <c r="AC424" s="101"/>
      <c r="AD424" s="101"/>
    </row>
    <row r="425" ht="30.0" customHeight="1">
      <c r="A425" s="141"/>
      <c r="B425" s="101"/>
      <c r="C425" s="101"/>
      <c r="D425" s="101"/>
      <c r="E425" s="101"/>
      <c r="F425" s="101"/>
      <c r="G425" s="101"/>
      <c r="H425" s="101"/>
      <c r="I425" s="101"/>
      <c r="J425" s="142"/>
      <c r="K425" s="101"/>
      <c r="L425" s="101"/>
      <c r="M425" s="101"/>
      <c r="N425" s="101"/>
      <c r="O425" s="101"/>
      <c r="P425" s="101"/>
      <c r="Q425" s="101"/>
      <c r="R425" s="101"/>
      <c r="S425" s="101"/>
      <c r="T425" s="101"/>
      <c r="U425" s="101"/>
      <c r="V425" s="101"/>
      <c r="W425" s="101"/>
      <c r="X425" s="101"/>
      <c r="Y425" s="101"/>
      <c r="Z425" s="101"/>
      <c r="AA425" s="101"/>
      <c r="AB425" s="101"/>
      <c r="AC425" s="101"/>
      <c r="AD425" s="101"/>
    </row>
    <row r="426" ht="30.0" customHeight="1">
      <c r="A426" s="141"/>
      <c r="B426" s="101"/>
      <c r="C426" s="101"/>
      <c r="D426" s="101"/>
      <c r="E426" s="101"/>
      <c r="F426" s="101"/>
      <c r="G426" s="101"/>
      <c r="H426" s="101"/>
      <c r="I426" s="101"/>
      <c r="J426" s="142"/>
      <c r="K426" s="101"/>
      <c r="L426" s="101"/>
      <c r="M426" s="101"/>
      <c r="N426" s="101"/>
      <c r="O426" s="101"/>
      <c r="P426" s="101"/>
      <c r="Q426" s="101"/>
      <c r="R426" s="101"/>
      <c r="S426" s="101"/>
      <c r="T426" s="101"/>
      <c r="U426" s="101"/>
      <c r="V426" s="101"/>
      <c r="W426" s="101"/>
      <c r="X426" s="101"/>
      <c r="Y426" s="101"/>
      <c r="Z426" s="101"/>
      <c r="AA426" s="101"/>
      <c r="AB426" s="101"/>
      <c r="AC426" s="101"/>
      <c r="AD426" s="101"/>
    </row>
    <row r="427" ht="30.0" customHeight="1">
      <c r="A427" s="141"/>
      <c r="B427" s="101"/>
      <c r="C427" s="101"/>
      <c r="D427" s="101"/>
      <c r="E427" s="101"/>
      <c r="F427" s="101"/>
      <c r="G427" s="101"/>
      <c r="H427" s="101"/>
      <c r="I427" s="101"/>
      <c r="J427" s="142"/>
      <c r="K427" s="101"/>
      <c r="L427" s="101"/>
      <c r="M427" s="101"/>
      <c r="N427" s="101"/>
      <c r="O427" s="101"/>
      <c r="P427" s="101"/>
      <c r="Q427" s="101"/>
      <c r="R427" s="101"/>
      <c r="S427" s="101"/>
      <c r="T427" s="101"/>
      <c r="U427" s="101"/>
      <c r="V427" s="101"/>
      <c r="W427" s="101"/>
      <c r="X427" s="101"/>
      <c r="Y427" s="101"/>
      <c r="Z427" s="101"/>
      <c r="AA427" s="101"/>
      <c r="AB427" s="101"/>
      <c r="AC427" s="101"/>
      <c r="AD427" s="101"/>
    </row>
    <row r="428" ht="30.0" customHeight="1">
      <c r="A428" s="141"/>
      <c r="B428" s="101"/>
      <c r="C428" s="101"/>
      <c r="D428" s="101"/>
      <c r="E428" s="101"/>
      <c r="F428" s="101"/>
      <c r="G428" s="101"/>
      <c r="H428" s="101"/>
      <c r="I428" s="101"/>
      <c r="J428" s="142"/>
      <c r="K428" s="101"/>
      <c r="L428" s="101"/>
      <c r="M428" s="101"/>
      <c r="N428" s="101"/>
      <c r="O428" s="101"/>
      <c r="P428" s="101"/>
      <c r="Q428" s="101"/>
      <c r="R428" s="101"/>
      <c r="S428" s="101"/>
      <c r="T428" s="101"/>
      <c r="U428" s="101"/>
      <c r="V428" s="101"/>
      <c r="W428" s="101"/>
      <c r="X428" s="101"/>
      <c r="Y428" s="101"/>
      <c r="Z428" s="101"/>
      <c r="AA428" s="101"/>
      <c r="AB428" s="101"/>
      <c r="AC428" s="101"/>
      <c r="AD428" s="101"/>
    </row>
    <row r="429" ht="30.0" customHeight="1">
      <c r="A429" s="141"/>
      <c r="B429" s="101"/>
      <c r="C429" s="101"/>
      <c r="D429" s="101"/>
      <c r="E429" s="101"/>
      <c r="F429" s="101"/>
      <c r="G429" s="101"/>
      <c r="H429" s="101"/>
      <c r="I429" s="101"/>
      <c r="J429" s="142"/>
      <c r="K429" s="101"/>
      <c r="L429" s="101"/>
      <c r="M429" s="101"/>
      <c r="N429" s="101"/>
      <c r="O429" s="101"/>
      <c r="P429" s="101"/>
      <c r="Q429" s="101"/>
      <c r="R429" s="101"/>
      <c r="S429" s="101"/>
      <c r="T429" s="101"/>
      <c r="U429" s="101"/>
      <c r="V429" s="101"/>
      <c r="W429" s="101"/>
      <c r="X429" s="101"/>
      <c r="Y429" s="101"/>
      <c r="Z429" s="101"/>
      <c r="AA429" s="101"/>
      <c r="AB429" s="101"/>
      <c r="AC429" s="101"/>
      <c r="AD429" s="101"/>
    </row>
    <row r="430" ht="30.0" customHeight="1">
      <c r="A430" s="141"/>
      <c r="B430" s="101"/>
      <c r="C430" s="101"/>
      <c r="D430" s="101"/>
      <c r="E430" s="101"/>
      <c r="F430" s="101"/>
      <c r="G430" s="101"/>
      <c r="H430" s="101"/>
      <c r="I430" s="101"/>
      <c r="J430" s="142"/>
      <c r="K430" s="101"/>
      <c r="L430" s="101"/>
      <c r="M430" s="101"/>
      <c r="N430" s="101"/>
      <c r="O430" s="101"/>
      <c r="P430" s="101"/>
      <c r="Q430" s="101"/>
      <c r="R430" s="101"/>
      <c r="S430" s="101"/>
      <c r="T430" s="101"/>
      <c r="U430" s="101"/>
      <c r="V430" s="101"/>
      <c r="W430" s="101"/>
      <c r="X430" s="101"/>
      <c r="Y430" s="101"/>
      <c r="Z430" s="101"/>
      <c r="AA430" s="101"/>
      <c r="AB430" s="101"/>
      <c r="AC430" s="101"/>
      <c r="AD430" s="101"/>
    </row>
    <row r="431" ht="30.0" customHeight="1">
      <c r="A431" s="141"/>
      <c r="B431" s="101"/>
      <c r="C431" s="101"/>
      <c r="D431" s="101"/>
      <c r="E431" s="101"/>
      <c r="F431" s="101"/>
      <c r="G431" s="101"/>
      <c r="H431" s="101"/>
      <c r="I431" s="101"/>
      <c r="J431" s="142"/>
      <c r="K431" s="101"/>
      <c r="L431" s="101"/>
      <c r="M431" s="101"/>
      <c r="N431" s="101"/>
      <c r="O431" s="101"/>
      <c r="P431" s="101"/>
      <c r="Q431" s="101"/>
      <c r="R431" s="101"/>
      <c r="S431" s="101"/>
      <c r="T431" s="101"/>
      <c r="U431" s="101"/>
      <c r="V431" s="101"/>
      <c r="W431" s="101"/>
      <c r="X431" s="101"/>
      <c r="Y431" s="101"/>
      <c r="Z431" s="101"/>
      <c r="AA431" s="101"/>
      <c r="AB431" s="101"/>
      <c r="AC431" s="101"/>
      <c r="AD431" s="101"/>
    </row>
    <row r="432" ht="30.0" customHeight="1">
      <c r="A432" s="141"/>
      <c r="B432" s="101"/>
      <c r="C432" s="101"/>
      <c r="D432" s="101"/>
      <c r="E432" s="101"/>
      <c r="F432" s="101"/>
      <c r="G432" s="101"/>
      <c r="H432" s="101"/>
      <c r="I432" s="101"/>
      <c r="J432" s="142"/>
      <c r="K432" s="101"/>
      <c r="L432" s="101"/>
      <c r="M432" s="101"/>
      <c r="N432" s="101"/>
      <c r="O432" s="101"/>
      <c r="P432" s="101"/>
      <c r="Q432" s="101"/>
      <c r="R432" s="101"/>
      <c r="S432" s="101"/>
      <c r="T432" s="101"/>
      <c r="U432" s="101"/>
      <c r="V432" s="101"/>
      <c r="W432" s="101"/>
      <c r="X432" s="101"/>
      <c r="Y432" s="101"/>
      <c r="Z432" s="101"/>
      <c r="AA432" s="101"/>
      <c r="AB432" s="101"/>
      <c r="AC432" s="101"/>
      <c r="AD432" s="101"/>
    </row>
    <row r="433" ht="30.0" customHeight="1">
      <c r="A433" s="141"/>
      <c r="B433" s="101"/>
      <c r="C433" s="101"/>
      <c r="D433" s="101"/>
      <c r="E433" s="101"/>
      <c r="F433" s="101"/>
      <c r="G433" s="101"/>
      <c r="H433" s="101"/>
      <c r="I433" s="101"/>
      <c r="J433" s="142"/>
      <c r="K433" s="101"/>
      <c r="L433" s="101"/>
      <c r="M433" s="101"/>
      <c r="N433" s="101"/>
      <c r="O433" s="101"/>
      <c r="P433" s="101"/>
      <c r="Q433" s="101"/>
      <c r="R433" s="101"/>
      <c r="S433" s="101"/>
      <c r="T433" s="101"/>
      <c r="U433" s="101"/>
      <c r="V433" s="101"/>
      <c r="W433" s="101"/>
      <c r="X433" s="101"/>
      <c r="Y433" s="101"/>
      <c r="Z433" s="101"/>
      <c r="AA433" s="101"/>
      <c r="AB433" s="101"/>
      <c r="AC433" s="101"/>
      <c r="AD433" s="101"/>
    </row>
    <row r="434" ht="30.0" customHeight="1">
      <c r="A434" s="141"/>
      <c r="B434" s="101"/>
      <c r="C434" s="101"/>
      <c r="D434" s="101"/>
      <c r="E434" s="101"/>
      <c r="F434" s="101"/>
      <c r="G434" s="101"/>
      <c r="H434" s="101"/>
      <c r="I434" s="101"/>
      <c r="J434" s="142"/>
      <c r="K434" s="101"/>
      <c r="L434" s="101"/>
      <c r="M434" s="101"/>
      <c r="N434" s="101"/>
      <c r="O434" s="101"/>
      <c r="P434" s="101"/>
      <c r="Q434" s="101"/>
      <c r="R434" s="101"/>
      <c r="S434" s="101"/>
      <c r="T434" s="101"/>
      <c r="U434" s="101"/>
      <c r="V434" s="101"/>
      <c r="W434" s="101"/>
      <c r="X434" s="101"/>
      <c r="Y434" s="101"/>
      <c r="Z434" s="101"/>
      <c r="AA434" s="101"/>
      <c r="AB434" s="101"/>
      <c r="AC434" s="101"/>
      <c r="AD434" s="101"/>
    </row>
    <row r="435" ht="30.0" customHeight="1">
      <c r="A435" s="141"/>
      <c r="B435" s="101"/>
      <c r="C435" s="101"/>
      <c r="D435" s="101"/>
      <c r="E435" s="101"/>
      <c r="F435" s="101"/>
      <c r="G435" s="101"/>
      <c r="H435" s="101"/>
      <c r="I435" s="101"/>
      <c r="J435" s="142"/>
      <c r="K435" s="101"/>
      <c r="L435" s="101"/>
      <c r="M435" s="101"/>
      <c r="N435" s="101"/>
      <c r="O435" s="101"/>
      <c r="P435" s="101"/>
      <c r="Q435" s="101"/>
      <c r="R435" s="101"/>
      <c r="S435" s="101"/>
      <c r="T435" s="101"/>
      <c r="U435" s="101"/>
      <c r="V435" s="101"/>
      <c r="W435" s="101"/>
      <c r="X435" s="101"/>
      <c r="Y435" s="101"/>
      <c r="Z435" s="101"/>
      <c r="AA435" s="101"/>
      <c r="AB435" s="101"/>
      <c r="AC435" s="101"/>
      <c r="AD435" s="101"/>
    </row>
    <row r="436" ht="30.0" customHeight="1">
      <c r="A436" s="141"/>
      <c r="B436" s="101"/>
      <c r="C436" s="101"/>
      <c r="D436" s="101"/>
      <c r="E436" s="101"/>
      <c r="F436" s="101"/>
      <c r="G436" s="101"/>
      <c r="H436" s="101"/>
      <c r="I436" s="101"/>
      <c r="J436" s="142"/>
      <c r="K436" s="101"/>
      <c r="L436" s="101"/>
      <c r="M436" s="101"/>
      <c r="N436" s="101"/>
      <c r="O436" s="101"/>
      <c r="P436" s="101"/>
      <c r="Q436" s="101"/>
      <c r="R436" s="101"/>
      <c r="S436" s="101"/>
      <c r="T436" s="101"/>
      <c r="U436" s="101"/>
      <c r="V436" s="101"/>
      <c r="W436" s="101"/>
      <c r="X436" s="101"/>
      <c r="Y436" s="101"/>
      <c r="Z436" s="101"/>
      <c r="AA436" s="101"/>
      <c r="AB436" s="101"/>
      <c r="AC436" s="101"/>
      <c r="AD436" s="101"/>
    </row>
    <row r="437" ht="30.0" customHeight="1">
      <c r="A437" s="141"/>
      <c r="B437" s="101"/>
      <c r="C437" s="101"/>
      <c r="D437" s="101"/>
      <c r="E437" s="101"/>
      <c r="F437" s="101"/>
      <c r="G437" s="101"/>
      <c r="H437" s="101"/>
      <c r="I437" s="101"/>
      <c r="J437" s="142"/>
      <c r="K437" s="101"/>
      <c r="L437" s="101"/>
      <c r="M437" s="101"/>
      <c r="N437" s="101"/>
      <c r="O437" s="101"/>
      <c r="P437" s="101"/>
      <c r="Q437" s="101"/>
      <c r="R437" s="101"/>
      <c r="S437" s="101"/>
      <c r="T437" s="101"/>
      <c r="U437" s="101"/>
      <c r="V437" s="101"/>
      <c r="W437" s="101"/>
      <c r="X437" s="101"/>
      <c r="Y437" s="101"/>
      <c r="Z437" s="101"/>
      <c r="AA437" s="101"/>
      <c r="AB437" s="101"/>
      <c r="AC437" s="101"/>
      <c r="AD437" s="101"/>
    </row>
    <row r="438" ht="30.0" customHeight="1">
      <c r="A438" s="141"/>
      <c r="B438" s="101"/>
      <c r="C438" s="101"/>
      <c r="D438" s="101"/>
      <c r="E438" s="101"/>
      <c r="F438" s="101"/>
      <c r="G438" s="101"/>
      <c r="H438" s="101"/>
      <c r="I438" s="101"/>
      <c r="J438" s="142"/>
      <c r="K438" s="101"/>
      <c r="L438" s="101"/>
      <c r="M438" s="101"/>
      <c r="N438" s="101"/>
      <c r="O438" s="101"/>
      <c r="P438" s="101"/>
      <c r="Q438" s="101"/>
      <c r="R438" s="101"/>
      <c r="S438" s="101"/>
      <c r="T438" s="101"/>
      <c r="U438" s="101"/>
      <c r="V438" s="101"/>
      <c r="W438" s="101"/>
      <c r="X438" s="101"/>
      <c r="Y438" s="101"/>
      <c r="Z438" s="101"/>
      <c r="AA438" s="101"/>
      <c r="AB438" s="101"/>
      <c r="AC438" s="101"/>
      <c r="AD438" s="101"/>
    </row>
    <row r="439" ht="30.0" customHeight="1">
      <c r="A439" s="141"/>
      <c r="B439" s="101"/>
      <c r="C439" s="101"/>
      <c r="D439" s="101"/>
      <c r="E439" s="101"/>
      <c r="F439" s="101"/>
      <c r="G439" s="101"/>
      <c r="H439" s="101"/>
      <c r="I439" s="101"/>
      <c r="J439" s="142"/>
      <c r="K439" s="101"/>
      <c r="L439" s="101"/>
      <c r="M439" s="101"/>
      <c r="N439" s="101"/>
      <c r="O439" s="101"/>
      <c r="P439" s="101"/>
      <c r="Q439" s="101"/>
      <c r="R439" s="101"/>
      <c r="S439" s="101"/>
      <c r="T439" s="101"/>
      <c r="U439" s="101"/>
      <c r="V439" s="101"/>
      <c r="W439" s="101"/>
      <c r="X439" s="101"/>
      <c r="Y439" s="101"/>
      <c r="Z439" s="101"/>
      <c r="AA439" s="101"/>
      <c r="AB439" s="101"/>
      <c r="AC439" s="101"/>
      <c r="AD439" s="101"/>
    </row>
    <row r="440" ht="30.0" customHeight="1">
      <c r="A440" s="141"/>
      <c r="B440" s="101"/>
      <c r="C440" s="101"/>
      <c r="D440" s="101"/>
      <c r="E440" s="101"/>
      <c r="F440" s="101"/>
      <c r="G440" s="101"/>
      <c r="H440" s="101"/>
      <c r="I440" s="101"/>
      <c r="J440" s="142"/>
      <c r="K440" s="101"/>
      <c r="L440" s="101"/>
      <c r="M440" s="101"/>
      <c r="N440" s="101"/>
      <c r="O440" s="101"/>
      <c r="P440" s="101"/>
      <c r="Q440" s="101"/>
      <c r="R440" s="101"/>
      <c r="S440" s="101"/>
      <c r="T440" s="101"/>
      <c r="U440" s="101"/>
      <c r="V440" s="101"/>
      <c r="W440" s="101"/>
      <c r="X440" s="101"/>
      <c r="Y440" s="101"/>
      <c r="Z440" s="101"/>
      <c r="AA440" s="101"/>
      <c r="AB440" s="101"/>
      <c r="AC440" s="101"/>
      <c r="AD440" s="101"/>
    </row>
    <row r="441" ht="30.0" customHeight="1">
      <c r="A441" s="141"/>
      <c r="B441" s="101"/>
      <c r="C441" s="101"/>
      <c r="D441" s="101"/>
      <c r="E441" s="101"/>
      <c r="F441" s="101"/>
      <c r="G441" s="101"/>
      <c r="H441" s="101"/>
      <c r="I441" s="101"/>
      <c r="J441" s="142"/>
      <c r="K441" s="101"/>
      <c r="L441" s="101"/>
      <c r="M441" s="101"/>
      <c r="N441" s="101"/>
      <c r="O441" s="101"/>
      <c r="P441" s="101"/>
      <c r="Q441" s="101"/>
      <c r="R441" s="101"/>
      <c r="S441" s="101"/>
      <c r="T441" s="101"/>
      <c r="U441" s="101"/>
      <c r="V441" s="101"/>
      <c r="W441" s="101"/>
      <c r="X441" s="101"/>
      <c r="Y441" s="101"/>
      <c r="Z441" s="101"/>
      <c r="AA441" s="101"/>
      <c r="AB441" s="101"/>
      <c r="AC441" s="101"/>
      <c r="AD441" s="101"/>
    </row>
    <row r="442" ht="30.0" customHeight="1">
      <c r="A442" s="141"/>
      <c r="B442" s="101"/>
      <c r="C442" s="101"/>
      <c r="D442" s="101"/>
      <c r="E442" s="101"/>
      <c r="F442" s="101"/>
      <c r="G442" s="101"/>
      <c r="H442" s="101"/>
      <c r="I442" s="101"/>
      <c r="J442" s="142"/>
      <c r="K442" s="101"/>
      <c r="L442" s="101"/>
      <c r="M442" s="101"/>
      <c r="N442" s="101"/>
      <c r="O442" s="101"/>
      <c r="P442" s="101"/>
      <c r="Q442" s="101"/>
      <c r="R442" s="101"/>
      <c r="S442" s="101"/>
      <c r="T442" s="101"/>
      <c r="U442" s="101"/>
      <c r="V442" s="101"/>
      <c r="W442" s="101"/>
      <c r="X442" s="101"/>
      <c r="Y442" s="101"/>
      <c r="Z442" s="101"/>
      <c r="AA442" s="101"/>
      <c r="AB442" s="101"/>
      <c r="AC442" s="101"/>
      <c r="AD442" s="101"/>
    </row>
    <row r="443" ht="30.0" customHeight="1">
      <c r="A443" s="141"/>
      <c r="B443" s="101"/>
      <c r="C443" s="101"/>
      <c r="D443" s="101"/>
      <c r="E443" s="101"/>
      <c r="F443" s="101"/>
      <c r="G443" s="101"/>
      <c r="H443" s="101"/>
      <c r="I443" s="101"/>
      <c r="J443" s="142"/>
      <c r="K443" s="101"/>
      <c r="L443" s="101"/>
      <c r="M443" s="101"/>
      <c r="N443" s="101"/>
      <c r="O443" s="101"/>
      <c r="P443" s="101"/>
      <c r="Q443" s="101"/>
      <c r="R443" s="101"/>
      <c r="S443" s="101"/>
      <c r="T443" s="101"/>
      <c r="U443" s="101"/>
      <c r="V443" s="101"/>
      <c r="W443" s="101"/>
      <c r="X443" s="101"/>
      <c r="Y443" s="101"/>
      <c r="Z443" s="101"/>
      <c r="AA443" s="101"/>
      <c r="AB443" s="101"/>
      <c r="AC443" s="101"/>
      <c r="AD443" s="101"/>
    </row>
    <row r="444" ht="30.0" customHeight="1">
      <c r="A444" s="141"/>
      <c r="B444" s="101"/>
      <c r="C444" s="101"/>
      <c r="D444" s="101"/>
      <c r="E444" s="101"/>
      <c r="F444" s="101"/>
      <c r="G444" s="101"/>
      <c r="H444" s="101"/>
      <c r="I444" s="101"/>
      <c r="J444" s="142"/>
      <c r="K444" s="101"/>
      <c r="L444" s="101"/>
      <c r="M444" s="101"/>
      <c r="N444" s="101"/>
      <c r="O444" s="101"/>
      <c r="P444" s="101"/>
      <c r="Q444" s="101"/>
      <c r="R444" s="101"/>
      <c r="S444" s="101"/>
      <c r="T444" s="101"/>
      <c r="U444" s="101"/>
      <c r="V444" s="101"/>
      <c r="W444" s="101"/>
      <c r="X444" s="101"/>
      <c r="Y444" s="101"/>
      <c r="Z444" s="101"/>
      <c r="AA444" s="101"/>
      <c r="AB444" s="101"/>
      <c r="AC444" s="101"/>
      <c r="AD444" s="101"/>
    </row>
    <row r="445" ht="30.0" customHeight="1">
      <c r="A445" s="141"/>
      <c r="B445" s="101"/>
      <c r="C445" s="101"/>
      <c r="D445" s="101"/>
      <c r="E445" s="101"/>
      <c r="F445" s="101"/>
      <c r="G445" s="101"/>
      <c r="H445" s="101"/>
      <c r="I445" s="101"/>
      <c r="J445" s="142"/>
      <c r="K445" s="101"/>
      <c r="L445" s="101"/>
      <c r="M445" s="101"/>
      <c r="N445" s="101"/>
      <c r="O445" s="101"/>
      <c r="P445" s="101"/>
      <c r="Q445" s="101"/>
      <c r="R445" s="101"/>
      <c r="S445" s="101"/>
      <c r="T445" s="101"/>
      <c r="U445" s="101"/>
      <c r="V445" s="101"/>
      <c r="W445" s="101"/>
      <c r="X445" s="101"/>
      <c r="Y445" s="101"/>
      <c r="Z445" s="101"/>
      <c r="AA445" s="101"/>
      <c r="AB445" s="101"/>
      <c r="AC445" s="101"/>
      <c r="AD445" s="101"/>
    </row>
    <row r="446" ht="30.0" customHeight="1">
      <c r="A446" s="141"/>
      <c r="B446" s="101"/>
      <c r="C446" s="101"/>
      <c r="D446" s="101"/>
      <c r="E446" s="101"/>
      <c r="F446" s="101"/>
      <c r="G446" s="101"/>
      <c r="H446" s="101"/>
      <c r="I446" s="101"/>
      <c r="J446" s="142"/>
      <c r="K446" s="101"/>
      <c r="L446" s="101"/>
      <c r="M446" s="101"/>
      <c r="N446" s="101"/>
      <c r="O446" s="101"/>
      <c r="P446" s="101"/>
      <c r="Q446" s="101"/>
      <c r="R446" s="101"/>
      <c r="S446" s="101"/>
      <c r="T446" s="101"/>
      <c r="U446" s="101"/>
      <c r="V446" s="101"/>
      <c r="W446" s="101"/>
      <c r="X446" s="101"/>
      <c r="Y446" s="101"/>
      <c r="Z446" s="101"/>
      <c r="AA446" s="101"/>
      <c r="AB446" s="101"/>
      <c r="AC446" s="101"/>
      <c r="AD446" s="101"/>
    </row>
    <row r="447" ht="30.0" customHeight="1">
      <c r="A447" s="141"/>
      <c r="B447" s="101"/>
      <c r="C447" s="101"/>
      <c r="D447" s="101"/>
      <c r="E447" s="101"/>
      <c r="F447" s="101"/>
      <c r="G447" s="101"/>
      <c r="H447" s="101"/>
      <c r="I447" s="101"/>
      <c r="J447" s="142"/>
      <c r="K447" s="101"/>
      <c r="L447" s="101"/>
      <c r="M447" s="101"/>
      <c r="N447" s="101"/>
      <c r="O447" s="101"/>
      <c r="P447" s="101"/>
      <c r="Q447" s="101"/>
      <c r="R447" s="101"/>
      <c r="S447" s="101"/>
      <c r="T447" s="101"/>
      <c r="U447" s="101"/>
      <c r="V447" s="101"/>
      <c r="W447" s="101"/>
      <c r="X447" s="101"/>
      <c r="Y447" s="101"/>
      <c r="Z447" s="101"/>
      <c r="AA447" s="101"/>
      <c r="AB447" s="101"/>
      <c r="AC447" s="101"/>
      <c r="AD447" s="101"/>
    </row>
    <row r="448" ht="30.0" customHeight="1">
      <c r="A448" s="141"/>
      <c r="B448" s="101"/>
      <c r="C448" s="101"/>
      <c r="D448" s="101"/>
      <c r="E448" s="101"/>
      <c r="F448" s="101"/>
      <c r="G448" s="101"/>
      <c r="H448" s="101"/>
      <c r="I448" s="101"/>
      <c r="J448" s="142"/>
      <c r="K448" s="101"/>
      <c r="L448" s="101"/>
      <c r="M448" s="101"/>
      <c r="N448" s="101"/>
      <c r="O448" s="101"/>
      <c r="P448" s="101"/>
      <c r="Q448" s="101"/>
      <c r="R448" s="101"/>
      <c r="S448" s="101"/>
      <c r="T448" s="101"/>
      <c r="U448" s="101"/>
      <c r="V448" s="101"/>
      <c r="W448" s="101"/>
      <c r="X448" s="101"/>
      <c r="Y448" s="101"/>
      <c r="Z448" s="101"/>
      <c r="AA448" s="101"/>
      <c r="AB448" s="101"/>
      <c r="AC448" s="101"/>
      <c r="AD448" s="101"/>
    </row>
    <row r="449" ht="30.0" customHeight="1">
      <c r="A449" s="141"/>
      <c r="B449" s="101"/>
      <c r="C449" s="101"/>
      <c r="D449" s="101"/>
      <c r="E449" s="101"/>
      <c r="F449" s="101"/>
      <c r="G449" s="101"/>
      <c r="H449" s="101"/>
      <c r="I449" s="101"/>
      <c r="J449" s="142"/>
      <c r="K449" s="101"/>
      <c r="L449" s="101"/>
      <c r="M449" s="101"/>
      <c r="N449" s="101"/>
      <c r="O449" s="101"/>
      <c r="P449" s="101"/>
      <c r="Q449" s="101"/>
      <c r="R449" s="101"/>
      <c r="S449" s="101"/>
      <c r="T449" s="101"/>
      <c r="U449" s="101"/>
      <c r="V449" s="101"/>
      <c r="W449" s="101"/>
      <c r="X449" s="101"/>
      <c r="Y449" s="101"/>
      <c r="Z449" s="101"/>
      <c r="AA449" s="101"/>
      <c r="AB449" s="101"/>
      <c r="AC449" s="101"/>
      <c r="AD449" s="101"/>
    </row>
    <row r="450" ht="30.0" customHeight="1">
      <c r="A450" s="141"/>
      <c r="B450" s="101"/>
      <c r="C450" s="101"/>
      <c r="D450" s="101"/>
      <c r="E450" s="101"/>
      <c r="F450" s="101"/>
      <c r="G450" s="101"/>
      <c r="H450" s="101"/>
      <c r="I450" s="101"/>
      <c r="J450" s="142"/>
      <c r="K450" s="101"/>
      <c r="L450" s="101"/>
      <c r="M450" s="101"/>
      <c r="N450" s="101"/>
      <c r="O450" s="101"/>
      <c r="P450" s="101"/>
      <c r="Q450" s="101"/>
      <c r="R450" s="101"/>
      <c r="S450" s="101"/>
      <c r="T450" s="101"/>
      <c r="U450" s="101"/>
      <c r="V450" s="101"/>
      <c r="W450" s="101"/>
      <c r="X450" s="101"/>
      <c r="Y450" s="101"/>
      <c r="Z450" s="101"/>
      <c r="AA450" s="101"/>
      <c r="AB450" s="101"/>
      <c r="AC450" s="101"/>
      <c r="AD450" s="101"/>
    </row>
    <row r="451" ht="30.0" customHeight="1">
      <c r="A451" s="141"/>
      <c r="B451" s="101"/>
      <c r="C451" s="101"/>
      <c r="D451" s="101"/>
      <c r="E451" s="101"/>
      <c r="F451" s="101"/>
      <c r="G451" s="101"/>
      <c r="H451" s="101"/>
      <c r="I451" s="101"/>
      <c r="J451" s="142"/>
      <c r="K451" s="101"/>
      <c r="L451" s="101"/>
      <c r="M451" s="101"/>
      <c r="N451" s="101"/>
      <c r="O451" s="101"/>
      <c r="P451" s="101"/>
      <c r="Q451" s="101"/>
      <c r="R451" s="101"/>
      <c r="S451" s="101"/>
      <c r="T451" s="101"/>
      <c r="U451" s="101"/>
      <c r="V451" s="101"/>
      <c r="W451" s="101"/>
      <c r="X451" s="101"/>
      <c r="Y451" s="101"/>
      <c r="Z451" s="101"/>
      <c r="AA451" s="101"/>
      <c r="AB451" s="101"/>
      <c r="AC451" s="101"/>
      <c r="AD451" s="101"/>
    </row>
    <row r="452" ht="30.0" customHeight="1">
      <c r="A452" s="141"/>
      <c r="B452" s="101"/>
      <c r="C452" s="101"/>
      <c r="D452" s="101"/>
      <c r="E452" s="101"/>
      <c r="F452" s="101"/>
      <c r="G452" s="101"/>
      <c r="H452" s="101"/>
      <c r="I452" s="101"/>
      <c r="J452" s="142"/>
      <c r="K452" s="101"/>
      <c r="L452" s="101"/>
      <c r="M452" s="101"/>
      <c r="N452" s="101"/>
      <c r="O452" s="101"/>
      <c r="P452" s="101"/>
      <c r="Q452" s="101"/>
      <c r="R452" s="101"/>
      <c r="S452" s="101"/>
      <c r="T452" s="101"/>
      <c r="U452" s="101"/>
      <c r="V452" s="101"/>
      <c r="W452" s="101"/>
      <c r="X452" s="101"/>
      <c r="Y452" s="101"/>
      <c r="Z452" s="101"/>
      <c r="AA452" s="101"/>
      <c r="AB452" s="101"/>
      <c r="AC452" s="101"/>
      <c r="AD452" s="101"/>
    </row>
    <row r="453" ht="30.0" customHeight="1">
      <c r="A453" s="141"/>
      <c r="B453" s="101"/>
      <c r="C453" s="101"/>
      <c r="D453" s="101"/>
      <c r="E453" s="101"/>
      <c r="F453" s="101"/>
      <c r="G453" s="101"/>
      <c r="H453" s="101"/>
      <c r="I453" s="101"/>
      <c r="J453" s="142"/>
      <c r="K453" s="101"/>
      <c r="L453" s="101"/>
      <c r="M453" s="101"/>
      <c r="N453" s="101"/>
      <c r="O453" s="101"/>
      <c r="P453" s="101"/>
      <c r="Q453" s="101"/>
      <c r="R453" s="101"/>
      <c r="S453" s="101"/>
      <c r="T453" s="101"/>
      <c r="U453" s="101"/>
      <c r="V453" s="101"/>
      <c r="W453" s="101"/>
      <c r="X453" s="101"/>
      <c r="Y453" s="101"/>
      <c r="Z453" s="101"/>
      <c r="AA453" s="101"/>
      <c r="AB453" s="101"/>
      <c r="AC453" s="101"/>
      <c r="AD453" s="101"/>
    </row>
    <row r="454" ht="30.0" customHeight="1">
      <c r="A454" s="141"/>
      <c r="B454" s="101"/>
      <c r="C454" s="101"/>
      <c r="D454" s="101"/>
      <c r="E454" s="101"/>
      <c r="F454" s="101"/>
      <c r="G454" s="101"/>
      <c r="H454" s="101"/>
      <c r="I454" s="101"/>
      <c r="J454" s="142"/>
      <c r="K454" s="101"/>
      <c r="L454" s="101"/>
      <c r="M454" s="101"/>
      <c r="N454" s="101"/>
      <c r="O454" s="101"/>
      <c r="P454" s="101"/>
      <c r="Q454" s="101"/>
      <c r="R454" s="101"/>
      <c r="S454" s="101"/>
      <c r="T454" s="101"/>
      <c r="U454" s="101"/>
      <c r="V454" s="101"/>
      <c r="W454" s="101"/>
      <c r="X454" s="101"/>
      <c r="Y454" s="101"/>
      <c r="Z454" s="101"/>
      <c r="AA454" s="101"/>
      <c r="AB454" s="101"/>
      <c r="AC454" s="101"/>
      <c r="AD454" s="101"/>
    </row>
    <row r="455" ht="30.0" customHeight="1">
      <c r="A455" s="141"/>
      <c r="B455" s="101"/>
      <c r="C455" s="101"/>
      <c r="D455" s="101"/>
      <c r="E455" s="101"/>
      <c r="F455" s="101"/>
      <c r="G455" s="101"/>
      <c r="H455" s="101"/>
      <c r="I455" s="101"/>
      <c r="J455" s="142"/>
      <c r="K455" s="101"/>
      <c r="L455" s="101"/>
      <c r="M455" s="101"/>
      <c r="N455" s="101"/>
      <c r="O455" s="101"/>
      <c r="P455" s="101"/>
      <c r="Q455" s="101"/>
      <c r="R455" s="101"/>
      <c r="S455" s="101"/>
      <c r="T455" s="101"/>
      <c r="U455" s="101"/>
      <c r="V455" s="101"/>
      <c r="W455" s="101"/>
      <c r="X455" s="101"/>
      <c r="Y455" s="101"/>
      <c r="Z455" s="101"/>
      <c r="AA455" s="101"/>
      <c r="AB455" s="101"/>
      <c r="AC455" s="101"/>
      <c r="AD455" s="101"/>
    </row>
    <row r="456" ht="30.0" customHeight="1">
      <c r="A456" s="141"/>
      <c r="B456" s="101"/>
      <c r="C456" s="101"/>
      <c r="D456" s="101"/>
      <c r="E456" s="101"/>
      <c r="F456" s="101"/>
      <c r="G456" s="101"/>
      <c r="H456" s="101"/>
      <c r="I456" s="101"/>
      <c r="J456" s="142"/>
      <c r="K456" s="101"/>
      <c r="L456" s="101"/>
      <c r="M456" s="101"/>
      <c r="N456" s="101"/>
      <c r="O456" s="101"/>
      <c r="P456" s="101"/>
      <c r="Q456" s="101"/>
      <c r="R456" s="101"/>
      <c r="S456" s="101"/>
      <c r="T456" s="101"/>
      <c r="U456" s="101"/>
      <c r="V456" s="101"/>
      <c r="W456" s="101"/>
      <c r="X456" s="101"/>
      <c r="Y456" s="101"/>
      <c r="Z456" s="101"/>
      <c r="AA456" s="101"/>
      <c r="AB456" s="101"/>
      <c r="AC456" s="101"/>
      <c r="AD456" s="101"/>
    </row>
    <row r="457" ht="30.0" customHeight="1">
      <c r="A457" s="141"/>
      <c r="B457" s="101"/>
      <c r="C457" s="101"/>
      <c r="D457" s="101"/>
      <c r="E457" s="101"/>
      <c r="F457" s="101"/>
      <c r="G457" s="101"/>
      <c r="H457" s="101"/>
      <c r="I457" s="101"/>
      <c r="J457" s="142"/>
      <c r="K457" s="101"/>
      <c r="L457" s="101"/>
      <c r="M457" s="101"/>
      <c r="N457" s="101"/>
      <c r="O457" s="101"/>
      <c r="P457" s="101"/>
      <c r="Q457" s="101"/>
      <c r="R457" s="101"/>
      <c r="S457" s="101"/>
      <c r="T457" s="101"/>
      <c r="U457" s="101"/>
      <c r="V457" s="101"/>
      <c r="W457" s="101"/>
      <c r="X457" s="101"/>
      <c r="Y457" s="101"/>
      <c r="Z457" s="101"/>
      <c r="AA457" s="101"/>
      <c r="AB457" s="101"/>
      <c r="AC457" s="101"/>
      <c r="AD457" s="101"/>
    </row>
    <row r="458" ht="30.0" customHeight="1">
      <c r="A458" s="141"/>
      <c r="B458" s="101"/>
      <c r="C458" s="101"/>
      <c r="D458" s="101"/>
      <c r="E458" s="101"/>
      <c r="F458" s="101"/>
      <c r="G458" s="101"/>
      <c r="H458" s="101"/>
      <c r="I458" s="101"/>
      <c r="J458" s="142"/>
      <c r="K458" s="101"/>
      <c r="L458" s="101"/>
      <c r="M458" s="101"/>
      <c r="N458" s="101"/>
      <c r="O458" s="101"/>
      <c r="P458" s="101"/>
      <c r="Q458" s="101"/>
      <c r="R458" s="101"/>
      <c r="S458" s="101"/>
      <c r="T458" s="101"/>
      <c r="U458" s="101"/>
      <c r="V458" s="101"/>
      <c r="W458" s="101"/>
      <c r="X458" s="101"/>
      <c r="Y458" s="101"/>
      <c r="Z458" s="101"/>
      <c r="AA458" s="101"/>
      <c r="AB458" s="101"/>
      <c r="AC458" s="101"/>
      <c r="AD458" s="101"/>
    </row>
    <row r="459" ht="30.0" customHeight="1">
      <c r="A459" s="141"/>
      <c r="B459" s="101"/>
      <c r="C459" s="101"/>
      <c r="D459" s="101"/>
      <c r="E459" s="101"/>
      <c r="F459" s="101"/>
      <c r="G459" s="101"/>
      <c r="H459" s="101"/>
      <c r="I459" s="101"/>
      <c r="J459" s="142"/>
      <c r="K459" s="101"/>
      <c r="L459" s="101"/>
      <c r="M459" s="101"/>
      <c r="N459" s="101"/>
      <c r="O459" s="101"/>
      <c r="P459" s="101"/>
      <c r="Q459" s="101"/>
      <c r="R459" s="101"/>
      <c r="S459" s="101"/>
      <c r="T459" s="101"/>
      <c r="U459" s="101"/>
      <c r="V459" s="101"/>
      <c r="W459" s="101"/>
      <c r="X459" s="101"/>
      <c r="Y459" s="101"/>
      <c r="Z459" s="101"/>
      <c r="AA459" s="101"/>
      <c r="AB459" s="101"/>
      <c r="AC459" s="101"/>
      <c r="AD459" s="101"/>
    </row>
    <row r="460" ht="30.0" customHeight="1">
      <c r="A460" s="141"/>
      <c r="B460" s="101"/>
      <c r="C460" s="101"/>
      <c r="D460" s="101"/>
      <c r="E460" s="101"/>
      <c r="F460" s="101"/>
      <c r="G460" s="101"/>
      <c r="H460" s="101"/>
      <c r="I460" s="101"/>
      <c r="J460" s="142"/>
      <c r="K460" s="101"/>
      <c r="L460" s="101"/>
      <c r="M460" s="101"/>
      <c r="N460" s="101"/>
      <c r="O460" s="101"/>
      <c r="P460" s="101"/>
      <c r="Q460" s="101"/>
      <c r="R460" s="101"/>
      <c r="S460" s="101"/>
      <c r="T460" s="101"/>
      <c r="U460" s="101"/>
      <c r="V460" s="101"/>
      <c r="W460" s="101"/>
      <c r="X460" s="101"/>
      <c r="Y460" s="101"/>
      <c r="Z460" s="101"/>
      <c r="AA460" s="101"/>
      <c r="AB460" s="101"/>
      <c r="AC460" s="101"/>
      <c r="AD460" s="101"/>
    </row>
    <row r="461" ht="30.0" customHeight="1">
      <c r="A461" s="141"/>
      <c r="B461" s="101"/>
      <c r="C461" s="101"/>
      <c r="D461" s="101"/>
      <c r="E461" s="101"/>
      <c r="F461" s="101"/>
      <c r="G461" s="101"/>
      <c r="H461" s="101"/>
      <c r="I461" s="101"/>
      <c r="J461" s="142"/>
      <c r="K461" s="101"/>
      <c r="L461" s="101"/>
      <c r="M461" s="101"/>
      <c r="N461" s="101"/>
      <c r="O461" s="101"/>
      <c r="P461" s="101"/>
      <c r="Q461" s="101"/>
      <c r="R461" s="101"/>
      <c r="S461" s="101"/>
      <c r="T461" s="101"/>
      <c r="U461" s="101"/>
      <c r="V461" s="101"/>
      <c r="W461" s="101"/>
      <c r="X461" s="101"/>
      <c r="Y461" s="101"/>
      <c r="Z461" s="101"/>
      <c r="AA461" s="101"/>
      <c r="AB461" s="101"/>
      <c r="AC461" s="101"/>
      <c r="AD461" s="101"/>
    </row>
    <row r="462" ht="30.0" customHeight="1">
      <c r="A462" s="141"/>
      <c r="B462" s="101"/>
      <c r="C462" s="101"/>
      <c r="D462" s="101"/>
      <c r="E462" s="101"/>
      <c r="F462" s="101"/>
      <c r="G462" s="101"/>
      <c r="H462" s="101"/>
      <c r="I462" s="101"/>
      <c r="J462" s="142"/>
      <c r="K462" s="101"/>
      <c r="L462" s="101"/>
      <c r="M462" s="101"/>
      <c r="N462" s="101"/>
      <c r="O462" s="101"/>
      <c r="P462" s="101"/>
      <c r="Q462" s="101"/>
      <c r="R462" s="101"/>
      <c r="S462" s="101"/>
      <c r="T462" s="101"/>
      <c r="U462" s="101"/>
      <c r="V462" s="101"/>
      <c r="W462" s="101"/>
      <c r="X462" s="101"/>
      <c r="Y462" s="101"/>
      <c r="Z462" s="101"/>
      <c r="AA462" s="101"/>
      <c r="AB462" s="101"/>
      <c r="AC462" s="101"/>
      <c r="AD462" s="101"/>
    </row>
    <row r="463" ht="30.0" customHeight="1">
      <c r="A463" s="141"/>
      <c r="B463" s="101"/>
      <c r="C463" s="101"/>
      <c r="D463" s="101"/>
      <c r="E463" s="101"/>
      <c r="F463" s="101"/>
      <c r="G463" s="101"/>
      <c r="H463" s="101"/>
      <c r="I463" s="101"/>
      <c r="J463" s="142"/>
      <c r="K463" s="101"/>
      <c r="L463" s="101"/>
      <c r="M463" s="101"/>
      <c r="N463" s="101"/>
      <c r="O463" s="101"/>
      <c r="P463" s="101"/>
      <c r="Q463" s="101"/>
      <c r="R463" s="101"/>
      <c r="S463" s="101"/>
      <c r="T463" s="101"/>
      <c r="U463" s="101"/>
      <c r="V463" s="101"/>
      <c r="W463" s="101"/>
      <c r="X463" s="101"/>
      <c r="Y463" s="101"/>
      <c r="Z463" s="101"/>
      <c r="AA463" s="101"/>
      <c r="AB463" s="101"/>
      <c r="AC463" s="101"/>
      <c r="AD463" s="101"/>
    </row>
    <row r="464" ht="30.0" customHeight="1">
      <c r="A464" s="141"/>
      <c r="B464" s="101"/>
      <c r="C464" s="101"/>
      <c r="D464" s="101"/>
      <c r="E464" s="101"/>
      <c r="F464" s="101"/>
      <c r="G464" s="101"/>
      <c r="H464" s="101"/>
      <c r="I464" s="101"/>
      <c r="J464" s="142"/>
      <c r="K464" s="101"/>
      <c r="L464" s="101"/>
      <c r="M464" s="101"/>
      <c r="N464" s="101"/>
      <c r="O464" s="101"/>
      <c r="P464" s="101"/>
      <c r="Q464" s="101"/>
      <c r="R464" s="101"/>
      <c r="S464" s="101"/>
      <c r="T464" s="101"/>
      <c r="U464" s="101"/>
      <c r="V464" s="101"/>
      <c r="W464" s="101"/>
      <c r="X464" s="101"/>
      <c r="Y464" s="101"/>
      <c r="Z464" s="101"/>
      <c r="AA464" s="101"/>
      <c r="AB464" s="101"/>
      <c r="AC464" s="101"/>
      <c r="AD464" s="101"/>
    </row>
    <row r="465" ht="30.0" customHeight="1">
      <c r="A465" s="141"/>
      <c r="B465" s="101"/>
      <c r="C465" s="101"/>
      <c r="D465" s="101"/>
      <c r="E465" s="101"/>
      <c r="F465" s="101"/>
      <c r="G465" s="101"/>
      <c r="H465" s="101"/>
      <c r="I465" s="101"/>
      <c r="J465" s="142"/>
      <c r="K465" s="101"/>
      <c r="L465" s="101"/>
      <c r="M465" s="101"/>
      <c r="N465" s="101"/>
      <c r="O465" s="101"/>
      <c r="P465" s="101"/>
      <c r="Q465" s="101"/>
      <c r="R465" s="101"/>
      <c r="S465" s="101"/>
      <c r="T465" s="101"/>
      <c r="U465" s="101"/>
      <c r="V465" s="101"/>
      <c r="W465" s="101"/>
      <c r="X465" s="101"/>
      <c r="Y465" s="101"/>
      <c r="Z465" s="101"/>
      <c r="AA465" s="101"/>
      <c r="AB465" s="101"/>
      <c r="AC465" s="101"/>
      <c r="AD465" s="101"/>
    </row>
    <row r="466" ht="30.0" customHeight="1">
      <c r="A466" s="141"/>
      <c r="B466" s="101"/>
      <c r="C466" s="101"/>
      <c r="D466" s="101"/>
      <c r="E466" s="101"/>
      <c r="F466" s="101"/>
      <c r="G466" s="101"/>
      <c r="H466" s="101"/>
      <c r="I466" s="101"/>
      <c r="J466" s="142"/>
      <c r="K466" s="101"/>
      <c r="L466" s="101"/>
      <c r="M466" s="101"/>
      <c r="N466" s="101"/>
      <c r="O466" s="101"/>
      <c r="P466" s="101"/>
      <c r="Q466" s="101"/>
      <c r="R466" s="101"/>
      <c r="S466" s="101"/>
      <c r="T466" s="101"/>
      <c r="U466" s="101"/>
      <c r="V466" s="101"/>
      <c r="W466" s="101"/>
      <c r="X466" s="101"/>
      <c r="Y466" s="101"/>
      <c r="Z466" s="101"/>
      <c r="AA466" s="101"/>
      <c r="AB466" s="101"/>
      <c r="AC466" s="101"/>
      <c r="AD466" s="101"/>
    </row>
    <row r="467" ht="30.0" customHeight="1">
      <c r="A467" s="141"/>
      <c r="B467" s="101"/>
      <c r="C467" s="101"/>
      <c r="D467" s="101"/>
      <c r="E467" s="101"/>
      <c r="F467" s="101"/>
      <c r="G467" s="101"/>
      <c r="H467" s="101"/>
      <c r="I467" s="101"/>
      <c r="J467" s="142"/>
      <c r="K467" s="101"/>
      <c r="L467" s="101"/>
      <c r="M467" s="101"/>
      <c r="N467" s="101"/>
      <c r="O467" s="101"/>
      <c r="P467" s="101"/>
      <c r="Q467" s="101"/>
      <c r="R467" s="101"/>
      <c r="S467" s="101"/>
      <c r="T467" s="101"/>
      <c r="U467" s="101"/>
      <c r="V467" s="101"/>
      <c r="W467" s="101"/>
      <c r="X467" s="101"/>
      <c r="Y467" s="101"/>
      <c r="Z467" s="101"/>
      <c r="AA467" s="101"/>
      <c r="AB467" s="101"/>
      <c r="AC467" s="101"/>
      <c r="AD467" s="101"/>
    </row>
    <row r="468" ht="30.0" customHeight="1">
      <c r="A468" s="141"/>
      <c r="B468" s="101"/>
      <c r="C468" s="101"/>
      <c r="D468" s="101"/>
      <c r="E468" s="101"/>
      <c r="F468" s="101"/>
      <c r="G468" s="101"/>
      <c r="H468" s="101"/>
      <c r="I468" s="101"/>
      <c r="J468" s="142"/>
      <c r="K468" s="101"/>
      <c r="L468" s="101"/>
      <c r="M468" s="101"/>
      <c r="N468" s="101"/>
      <c r="O468" s="101"/>
      <c r="P468" s="101"/>
      <c r="Q468" s="101"/>
      <c r="R468" s="101"/>
      <c r="S468" s="101"/>
      <c r="T468" s="101"/>
      <c r="U468" s="101"/>
      <c r="V468" s="101"/>
      <c r="W468" s="101"/>
      <c r="X468" s="101"/>
      <c r="Y468" s="101"/>
      <c r="Z468" s="101"/>
      <c r="AA468" s="101"/>
      <c r="AB468" s="101"/>
      <c r="AC468" s="101"/>
      <c r="AD468" s="101"/>
    </row>
    <row r="469" ht="30.0" customHeight="1">
      <c r="A469" s="141"/>
      <c r="B469" s="101"/>
      <c r="C469" s="101"/>
      <c r="D469" s="101"/>
      <c r="E469" s="101"/>
      <c r="F469" s="101"/>
      <c r="G469" s="101"/>
      <c r="H469" s="101"/>
      <c r="I469" s="101"/>
      <c r="J469" s="142"/>
      <c r="K469" s="101"/>
      <c r="L469" s="101"/>
      <c r="M469" s="101"/>
      <c r="N469" s="101"/>
      <c r="O469" s="101"/>
      <c r="P469" s="101"/>
      <c r="Q469" s="101"/>
      <c r="R469" s="101"/>
      <c r="S469" s="101"/>
      <c r="T469" s="101"/>
      <c r="U469" s="101"/>
      <c r="V469" s="101"/>
      <c r="W469" s="101"/>
      <c r="X469" s="101"/>
      <c r="Y469" s="101"/>
      <c r="Z469" s="101"/>
      <c r="AA469" s="101"/>
      <c r="AB469" s="101"/>
      <c r="AC469" s="101"/>
      <c r="AD469" s="101"/>
    </row>
    <row r="470" ht="30.0" customHeight="1">
      <c r="A470" s="141"/>
      <c r="B470" s="101"/>
      <c r="C470" s="101"/>
      <c r="D470" s="101"/>
      <c r="E470" s="101"/>
      <c r="F470" s="101"/>
      <c r="G470" s="101"/>
      <c r="H470" s="101"/>
      <c r="I470" s="101"/>
      <c r="J470" s="142"/>
      <c r="K470" s="101"/>
      <c r="L470" s="101"/>
      <c r="M470" s="101"/>
      <c r="N470" s="101"/>
      <c r="O470" s="101"/>
      <c r="P470" s="101"/>
      <c r="Q470" s="101"/>
      <c r="R470" s="101"/>
      <c r="S470" s="101"/>
      <c r="T470" s="101"/>
      <c r="U470" s="101"/>
      <c r="V470" s="101"/>
      <c r="W470" s="101"/>
      <c r="X470" s="101"/>
      <c r="Y470" s="101"/>
      <c r="Z470" s="101"/>
      <c r="AA470" s="101"/>
      <c r="AB470" s="101"/>
      <c r="AC470" s="101"/>
      <c r="AD470" s="101"/>
    </row>
    <row r="471" ht="30.0" customHeight="1">
      <c r="A471" s="141"/>
      <c r="B471" s="101"/>
      <c r="C471" s="101"/>
      <c r="D471" s="101"/>
      <c r="E471" s="101"/>
      <c r="F471" s="101"/>
      <c r="G471" s="101"/>
      <c r="H471" s="101"/>
      <c r="I471" s="101"/>
      <c r="J471" s="142"/>
      <c r="K471" s="101"/>
      <c r="L471" s="101"/>
      <c r="M471" s="101"/>
      <c r="N471" s="101"/>
      <c r="O471" s="101"/>
      <c r="P471" s="101"/>
      <c r="Q471" s="101"/>
      <c r="R471" s="101"/>
      <c r="S471" s="101"/>
      <c r="T471" s="101"/>
      <c r="U471" s="101"/>
      <c r="V471" s="101"/>
      <c r="W471" s="101"/>
      <c r="X471" s="101"/>
      <c r="Y471" s="101"/>
      <c r="Z471" s="101"/>
      <c r="AA471" s="101"/>
      <c r="AB471" s="101"/>
      <c r="AC471" s="101"/>
      <c r="AD471" s="101"/>
    </row>
    <row r="472" ht="30.0" customHeight="1">
      <c r="A472" s="141"/>
      <c r="B472" s="101"/>
      <c r="C472" s="101"/>
      <c r="D472" s="101"/>
      <c r="E472" s="101"/>
      <c r="F472" s="101"/>
      <c r="G472" s="101"/>
      <c r="H472" s="101"/>
      <c r="I472" s="101"/>
      <c r="J472" s="142"/>
      <c r="K472" s="101"/>
      <c r="L472" s="101"/>
      <c r="M472" s="101"/>
      <c r="N472" s="101"/>
      <c r="O472" s="101"/>
      <c r="P472" s="101"/>
      <c r="Q472" s="101"/>
      <c r="R472" s="101"/>
      <c r="S472" s="101"/>
      <c r="T472" s="101"/>
      <c r="U472" s="101"/>
      <c r="V472" s="101"/>
      <c r="W472" s="101"/>
      <c r="X472" s="101"/>
      <c r="Y472" s="101"/>
      <c r="Z472" s="101"/>
      <c r="AA472" s="101"/>
      <c r="AB472" s="101"/>
      <c r="AC472" s="101"/>
      <c r="AD472" s="101"/>
    </row>
    <row r="473" ht="30.0" customHeight="1">
      <c r="A473" s="141"/>
      <c r="B473" s="101"/>
      <c r="C473" s="101"/>
      <c r="D473" s="101"/>
      <c r="E473" s="101"/>
      <c r="F473" s="101"/>
      <c r="G473" s="101"/>
      <c r="H473" s="101"/>
      <c r="I473" s="101"/>
      <c r="J473" s="142"/>
      <c r="K473" s="101"/>
      <c r="L473" s="101"/>
      <c r="M473" s="101"/>
      <c r="N473" s="101"/>
      <c r="O473" s="101"/>
      <c r="P473" s="101"/>
      <c r="Q473" s="101"/>
      <c r="R473" s="101"/>
      <c r="S473" s="101"/>
      <c r="T473" s="101"/>
      <c r="U473" s="101"/>
      <c r="V473" s="101"/>
      <c r="W473" s="101"/>
      <c r="X473" s="101"/>
      <c r="Y473" s="101"/>
      <c r="Z473" s="101"/>
      <c r="AA473" s="101"/>
      <c r="AB473" s="101"/>
      <c r="AC473" s="101"/>
      <c r="AD473" s="101"/>
    </row>
    <row r="474" ht="30.0" customHeight="1">
      <c r="A474" s="141"/>
      <c r="B474" s="101"/>
      <c r="C474" s="101"/>
      <c r="D474" s="101"/>
      <c r="E474" s="101"/>
      <c r="F474" s="101"/>
      <c r="G474" s="101"/>
      <c r="H474" s="101"/>
      <c r="I474" s="101"/>
      <c r="J474" s="142"/>
      <c r="K474" s="101"/>
      <c r="L474" s="101"/>
      <c r="M474" s="101"/>
      <c r="N474" s="101"/>
      <c r="O474" s="101"/>
      <c r="P474" s="101"/>
      <c r="Q474" s="101"/>
      <c r="R474" s="101"/>
      <c r="S474" s="101"/>
      <c r="T474" s="101"/>
      <c r="U474" s="101"/>
      <c r="V474" s="101"/>
      <c r="W474" s="101"/>
      <c r="X474" s="101"/>
      <c r="Y474" s="101"/>
      <c r="Z474" s="101"/>
      <c r="AA474" s="101"/>
      <c r="AB474" s="101"/>
      <c r="AC474" s="101"/>
      <c r="AD474" s="101"/>
    </row>
    <row r="475" ht="30.0" customHeight="1">
      <c r="A475" s="141"/>
      <c r="B475" s="101"/>
      <c r="C475" s="101"/>
      <c r="D475" s="101"/>
      <c r="E475" s="101"/>
      <c r="F475" s="101"/>
      <c r="G475" s="101"/>
      <c r="H475" s="101"/>
      <c r="I475" s="101"/>
      <c r="J475" s="142"/>
      <c r="K475" s="101"/>
      <c r="L475" s="101"/>
      <c r="M475" s="101"/>
      <c r="N475" s="101"/>
      <c r="O475" s="101"/>
      <c r="P475" s="101"/>
      <c r="Q475" s="101"/>
      <c r="R475" s="101"/>
      <c r="S475" s="101"/>
      <c r="T475" s="101"/>
      <c r="U475" s="101"/>
      <c r="V475" s="101"/>
      <c r="W475" s="101"/>
      <c r="X475" s="101"/>
      <c r="Y475" s="101"/>
      <c r="Z475" s="101"/>
      <c r="AA475" s="101"/>
      <c r="AB475" s="101"/>
      <c r="AC475" s="101"/>
      <c r="AD475" s="101"/>
    </row>
    <row r="476" ht="30.0" customHeight="1">
      <c r="A476" s="141"/>
      <c r="B476" s="101"/>
      <c r="C476" s="101"/>
      <c r="D476" s="101"/>
      <c r="E476" s="101"/>
      <c r="F476" s="101"/>
      <c r="G476" s="101"/>
      <c r="H476" s="101"/>
      <c r="I476" s="101"/>
      <c r="J476" s="142"/>
      <c r="K476" s="101"/>
      <c r="L476" s="101"/>
      <c r="M476" s="101"/>
      <c r="N476" s="101"/>
      <c r="O476" s="101"/>
      <c r="P476" s="101"/>
      <c r="Q476" s="101"/>
      <c r="R476" s="101"/>
      <c r="S476" s="101"/>
      <c r="T476" s="101"/>
      <c r="U476" s="101"/>
      <c r="V476" s="101"/>
      <c r="W476" s="101"/>
      <c r="X476" s="101"/>
      <c r="Y476" s="101"/>
      <c r="Z476" s="101"/>
      <c r="AA476" s="101"/>
      <c r="AB476" s="101"/>
      <c r="AC476" s="101"/>
      <c r="AD476" s="101"/>
    </row>
    <row r="477" ht="30.0" customHeight="1">
      <c r="A477" s="141"/>
      <c r="B477" s="101"/>
      <c r="C477" s="101"/>
      <c r="D477" s="101"/>
      <c r="E477" s="101"/>
      <c r="F477" s="101"/>
      <c r="G477" s="101"/>
      <c r="H477" s="101"/>
      <c r="I477" s="101"/>
      <c r="J477" s="142"/>
      <c r="K477" s="101"/>
      <c r="L477" s="101"/>
      <c r="M477" s="101"/>
      <c r="N477" s="101"/>
      <c r="O477" s="101"/>
      <c r="P477" s="101"/>
      <c r="Q477" s="101"/>
      <c r="R477" s="101"/>
      <c r="S477" s="101"/>
      <c r="T477" s="101"/>
      <c r="U477" s="101"/>
      <c r="V477" s="101"/>
      <c r="W477" s="101"/>
      <c r="X477" s="101"/>
      <c r="Y477" s="101"/>
      <c r="Z477" s="101"/>
      <c r="AA477" s="101"/>
      <c r="AB477" s="101"/>
      <c r="AC477" s="101"/>
      <c r="AD477" s="101"/>
    </row>
    <row r="478" ht="30.0" customHeight="1">
      <c r="A478" s="141"/>
      <c r="B478" s="101"/>
      <c r="C478" s="101"/>
      <c r="D478" s="101"/>
      <c r="E478" s="101"/>
      <c r="F478" s="101"/>
      <c r="G478" s="101"/>
      <c r="H478" s="101"/>
      <c r="I478" s="101"/>
      <c r="J478" s="142"/>
      <c r="K478" s="101"/>
      <c r="L478" s="101"/>
      <c r="M478" s="101"/>
      <c r="N478" s="101"/>
      <c r="O478" s="101"/>
      <c r="P478" s="101"/>
      <c r="Q478" s="101"/>
      <c r="R478" s="101"/>
      <c r="S478" s="101"/>
      <c r="T478" s="101"/>
      <c r="U478" s="101"/>
      <c r="V478" s="101"/>
      <c r="W478" s="101"/>
      <c r="X478" s="101"/>
      <c r="Y478" s="101"/>
      <c r="Z478" s="101"/>
      <c r="AA478" s="101"/>
      <c r="AB478" s="101"/>
      <c r="AC478" s="101"/>
      <c r="AD478" s="101"/>
    </row>
    <row r="479" ht="30.0" customHeight="1">
      <c r="A479" s="141"/>
      <c r="B479" s="101"/>
      <c r="C479" s="101"/>
      <c r="D479" s="101"/>
      <c r="E479" s="101"/>
      <c r="F479" s="101"/>
      <c r="G479" s="101"/>
      <c r="H479" s="101"/>
      <c r="I479" s="101"/>
      <c r="J479" s="142"/>
      <c r="K479" s="101"/>
      <c r="L479" s="101"/>
      <c r="M479" s="101"/>
      <c r="N479" s="101"/>
      <c r="O479" s="101"/>
      <c r="P479" s="101"/>
      <c r="Q479" s="101"/>
      <c r="R479" s="101"/>
      <c r="S479" s="101"/>
      <c r="T479" s="101"/>
      <c r="U479" s="101"/>
      <c r="V479" s="101"/>
      <c r="W479" s="101"/>
      <c r="X479" s="101"/>
      <c r="Y479" s="101"/>
      <c r="Z479" s="101"/>
      <c r="AA479" s="101"/>
      <c r="AB479" s="101"/>
      <c r="AC479" s="101"/>
      <c r="AD479" s="101"/>
    </row>
    <row r="480" ht="30.0" customHeight="1">
      <c r="A480" s="141"/>
      <c r="B480" s="101"/>
      <c r="C480" s="101"/>
      <c r="D480" s="101"/>
      <c r="E480" s="101"/>
      <c r="F480" s="101"/>
      <c r="G480" s="101"/>
      <c r="H480" s="101"/>
      <c r="I480" s="101"/>
      <c r="J480" s="142"/>
      <c r="K480" s="101"/>
      <c r="L480" s="101"/>
      <c r="M480" s="101"/>
      <c r="N480" s="101"/>
      <c r="O480" s="101"/>
      <c r="P480" s="101"/>
      <c r="Q480" s="101"/>
      <c r="R480" s="101"/>
      <c r="S480" s="101"/>
      <c r="T480" s="101"/>
      <c r="U480" s="101"/>
      <c r="V480" s="101"/>
      <c r="W480" s="101"/>
      <c r="X480" s="101"/>
      <c r="Y480" s="101"/>
      <c r="Z480" s="101"/>
      <c r="AA480" s="101"/>
      <c r="AB480" s="101"/>
      <c r="AC480" s="101"/>
      <c r="AD480" s="101"/>
    </row>
    <row r="481" ht="30.0" customHeight="1">
      <c r="A481" s="141"/>
      <c r="B481" s="101"/>
      <c r="C481" s="101"/>
      <c r="D481" s="101"/>
      <c r="E481" s="101"/>
      <c r="F481" s="101"/>
      <c r="G481" s="101"/>
      <c r="H481" s="101"/>
      <c r="I481" s="101"/>
      <c r="J481" s="142"/>
      <c r="K481" s="101"/>
      <c r="L481" s="101"/>
      <c r="M481" s="101"/>
      <c r="N481" s="101"/>
      <c r="O481" s="101"/>
      <c r="P481" s="101"/>
      <c r="Q481" s="101"/>
      <c r="R481" s="101"/>
      <c r="S481" s="101"/>
      <c r="T481" s="101"/>
      <c r="U481" s="101"/>
      <c r="V481" s="101"/>
      <c r="W481" s="101"/>
      <c r="X481" s="101"/>
      <c r="Y481" s="101"/>
      <c r="Z481" s="101"/>
      <c r="AA481" s="101"/>
      <c r="AB481" s="101"/>
      <c r="AC481" s="101"/>
      <c r="AD481" s="101"/>
    </row>
    <row r="482" ht="30.0" customHeight="1">
      <c r="A482" s="141"/>
      <c r="B482" s="101"/>
      <c r="C482" s="101"/>
      <c r="D482" s="101"/>
      <c r="E482" s="101"/>
      <c r="F482" s="101"/>
      <c r="G482" s="101"/>
      <c r="H482" s="101"/>
      <c r="I482" s="101"/>
      <c r="J482" s="142"/>
      <c r="K482" s="101"/>
      <c r="L482" s="101"/>
      <c r="M482" s="101"/>
      <c r="N482" s="101"/>
      <c r="O482" s="101"/>
      <c r="P482" s="101"/>
      <c r="Q482" s="101"/>
      <c r="R482" s="101"/>
      <c r="S482" s="101"/>
      <c r="T482" s="101"/>
      <c r="U482" s="101"/>
      <c r="V482" s="101"/>
      <c r="W482" s="101"/>
      <c r="X482" s="101"/>
      <c r="Y482" s="101"/>
      <c r="Z482" s="101"/>
      <c r="AA482" s="101"/>
      <c r="AB482" s="101"/>
      <c r="AC482" s="101"/>
      <c r="AD482" s="101"/>
    </row>
    <row r="483" ht="30.0" customHeight="1">
      <c r="A483" s="141"/>
      <c r="B483" s="101"/>
      <c r="C483" s="101"/>
      <c r="D483" s="101"/>
      <c r="E483" s="101"/>
      <c r="F483" s="101"/>
      <c r="G483" s="101"/>
      <c r="H483" s="101"/>
      <c r="I483" s="101"/>
      <c r="J483" s="142"/>
      <c r="K483" s="101"/>
      <c r="L483" s="101"/>
      <c r="M483" s="101"/>
      <c r="N483" s="101"/>
      <c r="O483" s="101"/>
      <c r="P483" s="101"/>
      <c r="Q483" s="101"/>
      <c r="R483" s="101"/>
      <c r="S483" s="101"/>
      <c r="T483" s="101"/>
      <c r="U483" s="101"/>
      <c r="V483" s="101"/>
      <c r="W483" s="101"/>
      <c r="X483" s="101"/>
      <c r="Y483" s="101"/>
      <c r="Z483" s="101"/>
      <c r="AA483" s="101"/>
      <c r="AB483" s="101"/>
      <c r="AC483" s="101"/>
      <c r="AD483" s="101"/>
    </row>
    <row r="484" ht="30.0" customHeight="1">
      <c r="A484" s="141"/>
      <c r="B484" s="101"/>
      <c r="C484" s="101"/>
      <c r="D484" s="101"/>
      <c r="E484" s="101"/>
      <c r="F484" s="101"/>
      <c r="G484" s="101"/>
      <c r="H484" s="101"/>
      <c r="I484" s="101"/>
      <c r="J484" s="142"/>
      <c r="K484" s="101"/>
      <c r="L484" s="101"/>
      <c r="M484" s="101"/>
      <c r="N484" s="101"/>
      <c r="O484" s="101"/>
      <c r="P484" s="101"/>
      <c r="Q484" s="101"/>
      <c r="R484" s="101"/>
      <c r="S484" s="101"/>
      <c r="T484" s="101"/>
      <c r="U484" s="101"/>
      <c r="V484" s="101"/>
      <c r="W484" s="101"/>
      <c r="X484" s="101"/>
      <c r="Y484" s="101"/>
      <c r="Z484" s="101"/>
      <c r="AA484" s="101"/>
      <c r="AB484" s="101"/>
      <c r="AC484" s="101"/>
      <c r="AD484" s="101"/>
    </row>
    <row r="485" ht="30.0" customHeight="1">
      <c r="A485" s="141"/>
      <c r="B485" s="101"/>
      <c r="C485" s="101"/>
      <c r="D485" s="101"/>
      <c r="E485" s="101"/>
      <c r="F485" s="101"/>
      <c r="G485" s="101"/>
      <c r="H485" s="101"/>
      <c r="I485" s="101"/>
      <c r="J485" s="142"/>
      <c r="K485" s="101"/>
      <c r="L485" s="101"/>
      <c r="M485" s="101"/>
      <c r="N485" s="101"/>
      <c r="O485" s="101"/>
      <c r="P485" s="101"/>
      <c r="Q485" s="101"/>
      <c r="R485" s="101"/>
      <c r="S485" s="101"/>
      <c r="T485" s="101"/>
      <c r="U485" s="101"/>
      <c r="V485" s="101"/>
      <c r="W485" s="101"/>
      <c r="X485" s="101"/>
      <c r="Y485" s="101"/>
      <c r="Z485" s="101"/>
      <c r="AA485" s="101"/>
      <c r="AB485" s="101"/>
      <c r="AC485" s="101"/>
      <c r="AD485" s="101"/>
    </row>
    <row r="486" ht="30.0" customHeight="1">
      <c r="A486" s="141"/>
      <c r="B486" s="101"/>
      <c r="C486" s="101"/>
      <c r="D486" s="101"/>
      <c r="E486" s="101"/>
      <c r="F486" s="101"/>
      <c r="G486" s="101"/>
      <c r="H486" s="101"/>
      <c r="I486" s="101"/>
      <c r="J486" s="142"/>
      <c r="K486" s="101"/>
      <c r="L486" s="101"/>
      <c r="M486" s="101"/>
      <c r="N486" s="101"/>
      <c r="O486" s="101"/>
      <c r="P486" s="101"/>
      <c r="Q486" s="101"/>
      <c r="R486" s="101"/>
      <c r="S486" s="101"/>
      <c r="T486" s="101"/>
      <c r="U486" s="101"/>
      <c r="V486" s="101"/>
      <c r="W486" s="101"/>
      <c r="X486" s="101"/>
      <c r="Y486" s="101"/>
      <c r="Z486" s="101"/>
      <c r="AA486" s="101"/>
      <c r="AB486" s="101"/>
      <c r="AC486" s="101"/>
      <c r="AD486" s="101"/>
    </row>
    <row r="487" ht="30.0" customHeight="1">
      <c r="A487" s="141"/>
      <c r="B487" s="101"/>
      <c r="C487" s="101"/>
      <c r="D487" s="101"/>
      <c r="E487" s="101"/>
      <c r="F487" s="101"/>
      <c r="G487" s="101"/>
      <c r="H487" s="101"/>
      <c r="I487" s="101"/>
      <c r="J487" s="142"/>
      <c r="K487" s="101"/>
      <c r="L487" s="101"/>
      <c r="M487" s="101"/>
      <c r="N487" s="101"/>
      <c r="O487" s="101"/>
      <c r="P487" s="101"/>
      <c r="Q487" s="101"/>
      <c r="R487" s="101"/>
      <c r="S487" s="101"/>
      <c r="T487" s="101"/>
      <c r="U487" s="101"/>
      <c r="V487" s="101"/>
      <c r="W487" s="101"/>
      <c r="X487" s="101"/>
      <c r="Y487" s="101"/>
      <c r="Z487" s="101"/>
      <c r="AA487" s="101"/>
      <c r="AB487" s="101"/>
      <c r="AC487" s="101"/>
      <c r="AD487" s="101"/>
    </row>
    <row r="488" ht="30.0" customHeight="1">
      <c r="A488" s="141"/>
      <c r="B488" s="101"/>
      <c r="C488" s="101"/>
      <c r="D488" s="101"/>
      <c r="E488" s="101"/>
      <c r="F488" s="101"/>
      <c r="G488" s="101"/>
      <c r="H488" s="101"/>
      <c r="I488" s="101"/>
      <c r="J488" s="142"/>
      <c r="K488" s="101"/>
      <c r="L488" s="101"/>
      <c r="M488" s="101"/>
      <c r="N488" s="101"/>
      <c r="O488" s="101"/>
      <c r="P488" s="101"/>
      <c r="Q488" s="101"/>
      <c r="R488" s="101"/>
      <c r="S488" s="101"/>
      <c r="T488" s="101"/>
      <c r="U488" s="101"/>
      <c r="V488" s="101"/>
      <c r="W488" s="101"/>
      <c r="X488" s="101"/>
      <c r="Y488" s="101"/>
      <c r="Z488" s="101"/>
      <c r="AA488" s="101"/>
      <c r="AB488" s="101"/>
      <c r="AC488" s="101"/>
      <c r="AD488" s="101"/>
    </row>
    <row r="489" ht="30.0" customHeight="1">
      <c r="A489" s="141"/>
      <c r="B489" s="101"/>
      <c r="C489" s="101"/>
      <c r="D489" s="101"/>
      <c r="E489" s="101"/>
      <c r="F489" s="101"/>
      <c r="G489" s="101"/>
      <c r="H489" s="101"/>
      <c r="I489" s="101"/>
      <c r="J489" s="142"/>
      <c r="K489" s="101"/>
      <c r="L489" s="101"/>
      <c r="M489" s="101"/>
      <c r="N489" s="101"/>
      <c r="O489" s="101"/>
      <c r="P489" s="101"/>
      <c r="Q489" s="101"/>
      <c r="R489" s="101"/>
      <c r="S489" s="101"/>
      <c r="T489" s="101"/>
      <c r="U489" s="101"/>
      <c r="V489" s="101"/>
      <c r="W489" s="101"/>
      <c r="X489" s="101"/>
      <c r="Y489" s="101"/>
      <c r="Z489" s="101"/>
      <c r="AA489" s="101"/>
      <c r="AB489" s="101"/>
      <c r="AC489" s="101"/>
      <c r="AD489" s="101"/>
    </row>
    <row r="490" ht="30.0" customHeight="1">
      <c r="A490" s="141"/>
      <c r="B490" s="101"/>
      <c r="C490" s="101"/>
      <c r="D490" s="101"/>
      <c r="E490" s="101"/>
      <c r="F490" s="101"/>
      <c r="G490" s="101"/>
      <c r="H490" s="101"/>
      <c r="I490" s="101"/>
      <c r="J490" s="142"/>
      <c r="K490" s="101"/>
      <c r="L490" s="101"/>
      <c r="M490" s="101"/>
      <c r="N490" s="101"/>
      <c r="O490" s="101"/>
      <c r="P490" s="101"/>
      <c r="Q490" s="101"/>
      <c r="R490" s="101"/>
      <c r="S490" s="101"/>
      <c r="T490" s="101"/>
      <c r="U490" s="101"/>
      <c r="V490" s="101"/>
      <c r="W490" s="101"/>
      <c r="X490" s="101"/>
      <c r="Y490" s="101"/>
      <c r="Z490" s="101"/>
      <c r="AA490" s="101"/>
      <c r="AB490" s="101"/>
      <c r="AC490" s="101"/>
      <c r="AD490" s="101"/>
    </row>
    <row r="491" ht="30.0" customHeight="1">
      <c r="A491" s="141"/>
      <c r="B491" s="101"/>
      <c r="C491" s="101"/>
      <c r="D491" s="101"/>
      <c r="E491" s="101"/>
      <c r="F491" s="101"/>
      <c r="G491" s="101"/>
      <c r="H491" s="101"/>
      <c r="I491" s="101"/>
      <c r="J491" s="142"/>
      <c r="K491" s="101"/>
      <c r="L491" s="101"/>
      <c r="M491" s="101"/>
      <c r="N491" s="101"/>
      <c r="O491" s="101"/>
      <c r="P491" s="101"/>
      <c r="Q491" s="101"/>
      <c r="R491" s="101"/>
      <c r="S491" s="101"/>
      <c r="T491" s="101"/>
      <c r="U491" s="101"/>
      <c r="V491" s="101"/>
      <c r="W491" s="101"/>
      <c r="X491" s="101"/>
      <c r="Y491" s="101"/>
      <c r="Z491" s="101"/>
      <c r="AA491" s="101"/>
      <c r="AB491" s="101"/>
      <c r="AC491" s="101"/>
      <c r="AD491" s="101"/>
    </row>
    <row r="492" ht="30.0" customHeight="1">
      <c r="A492" s="141"/>
      <c r="B492" s="101"/>
      <c r="C492" s="101"/>
      <c r="D492" s="101"/>
      <c r="E492" s="101"/>
      <c r="F492" s="101"/>
      <c r="G492" s="101"/>
      <c r="H492" s="101"/>
      <c r="I492" s="101"/>
      <c r="J492" s="142"/>
      <c r="K492" s="101"/>
      <c r="L492" s="101"/>
      <c r="M492" s="101"/>
      <c r="N492" s="101"/>
      <c r="O492" s="101"/>
      <c r="P492" s="101"/>
      <c r="Q492" s="101"/>
      <c r="R492" s="101"/>
      <c r="S492" s="101"/>
      <c r="T492" s="101"/>
      <c r="U492" s="101"/>
      <c r="V492" s="101"/>
      <c r="W492" s="101"/>
      <c r="X492" s="101"/>
      <c r="Y492" s="101"/>
      <c r="Z492" s="101"/>
      <c r="AA492" s="101"/>
      <c r="AB492" s="101"/>
      <c r="AC492" s="101"/>
      <c r="AD492" s="101"/>
    </row>
    <row r="493" ht="30.0" customHeight="1">
      <c r="A493" s="141"/>
      <c r="B493" s="101"/>
      <c r="C493" s="101"/>
      <c r="D493" s="101"/>
      <c r="E493" s="101"/>
      <c r="F493" s="101"/>
      <c r="G493" s="101"/>
      <c r="H493" s="101"/>
      <c r="I493" s="101"/>
      <c r="J493" s="142"/>
      <c r="K493" s="101"/>
      <c r="L493" s="101"/>
      <c r="M493" s="101"/>
      <c r="N493" s="101"/>
      <c r="O493" s="101"/>
      <c r="P493" s="101"/>
      <c r="Q493" s="101"/>
      <c r="R493" s="101"/>
      <c r="S493" s="101"/>
      <c r="T493" s="101"/>
      <c r="U493" s="101"/>
      <c r="V493" s="101"/>
      <c r="W493" s="101"/>
      <c r="X493" s="101"/>
      <c r="Y493" s="101"/>
      <c r="Z493" s="101"/>
      <c r="AA493" s="101"/>
      <c r="AB493" s="101"/>
      <c r="AC493" s="101"/>
      <c r="AD493" s="101"/>
    </row>
    <row r="494" ht="30.0" customHeight="1">
      <c r="A494" s="141"/>
      <c r="B494" s="101"/>
      <c r="C494" s="101"/>
      <c r="D494" s="101"/>
      <c r="E494" s="101"/>
      <c r="F494" s="101"/>
      <c r="G494" s="101"/>
      <c r="H494" s="101"/>
      <c r="I494" s="101"/>
      <c r="J494" s="142"/>
      <c r="K494" s="101"/>
      <c r="L494" s="101"/>
      <c r="M494" s="101"/>
      <c r="N494" s="101"/>
      <c r="O494" s="101"/>
      <c r="P494" s="101"/>
      <c r="Q494" s="101"/>
      <c r="R494" s="101"/>
      <c r="S494" s="101"/>
      <c r="T494" s="101"/>
      <c r="U494" s="101"/>
      <c r="V494" s="101"/>
      <c r="W494" s="101"/>
      <c r="X494" s="101"/>
      <c r="Y494" s="101"/>
      <c r="Z494" s="101"/>
      <c r="AA494" s="101"/>
      <c r="AB494" s="101"/>
      <c r="AC494" s="101"/>
      <c r="AD494" s="101"/>
    </row>
    <row r="495" ht="30.0" customHeight="1">
      <c r="A495" s="141"/>
      <c r="B495" s="101"/>
      <c r="C495" s="101"/>
      <c r="D495" s="101"/>
      <c r="E495" s="101"/>
      <c r="F495" s="101"/>
      <c r="G495" s="101"/>
      <c r="H495" s="101"/>
      <c r="I495" s="101"/>
      <c r="J495" s="142"/>
      <c r="K495" s="101"/>
      <c r="L495" s="101"/>
      <c r="M495" s="101"/>
      <c r="N495" s="101"/>
      <c r="O495" s="101"/>
      <c r="P495" s="101"/>
      <c r="Q495" s="101"/>
      <c r="R495" s="101"/>
      <c r="S495" s="101"/>
      <c r="T495" s="101"/>
      <c r="U495" s="101"/>
      <c r="V495" s="101"/>
      <c r="W495" s="101"/>
      <c r="X495" s="101"/>
      <c r="Y495" s="101"/>
      <c r="Z495" s="101"/>
      <c r="AA495" s="101"/>
      <c r="AB495" s="101"/>
      <c r="AC495" s="101"/>
      <c r="AD495" s="101"/>
    </row>
    <row r="496" ht="30.0" customHeight="1">
      <c r="A496" s="141"/>
      <c r="B496" s="101"/>
      <c r="C496" s="101"/>
      <c r="D496" s="101"/>
      <c r="E496" s="101"/>
      <c r="F496" s="101"/>
      <c r="G496" s="101"/>
      <c r="H496" s="101"/>
      <c r="I496" s="101"/>
      <c r="J496" s="142"/>
      <c r="K496" s="101"/>
      <c r="L496" s="101"/>
      <c r="M496" s="101"/>
      <c r="N496" s="101"/>
      <c r="O496" s="101"/>
      <c r="P496" s="101"/>
      <c r="Q496" s="101"/>
      <c r="R496" s="101"/>
      <c r="S496" s="101"/>
      <c r="T496" s="101"/>
      <c r="U496" s="101"/>
      <c r="V496" s="101"/>
      <c r="W496" s="101"/>
      <c r="X496" s="101"/>
      <c r="Y496" s="101"/>
      <c r="Z496" s="101"/>
      <c r="AA496" s="101"/>
      <c r="AB496" s="101"/>
      <c r="AC496" s="101"/>
      <c r="AD496" s="101"/>
    </row>
    <row r="497" ht="30.0" customHeight="1">
      <c r="A497" s="141"/>
      <c r="B497" s="101"/>
      <c r="C497" s="101"/>
      <c r="D497" s="101"/>
      <c r="E497" s="101"/>
      <c r="F497" s="101"/>
      <c r="G497" s="101"/>
      <c r="H497" s="101"/>
      <c r="I497" s="101"/>
      <c r="J497" s="142"/>
      <c r="K497" s="101"/>
      <c r="L497" s="101"/>
      <c r="M497" s="101"/>
      <c r="N497" s="101"/>
      <c r="O497" s="101"/>
      <c r="P497" s="101"/>
      <c r="Q497" s="101"/>
      <c r="R497" s="101"/>
      <c r="S497" s="101"/>
      <c r="T497" s="101"/>
      <c r="U497" s="101"/>
      <c r="V497" s="101"/>
      <c r="W497" s="101"/>
      <c r="X497" s="101"/>
      <c r="Y497" s="101"/>
      <c r="Z497" s="101"/>
      <c r="AA497" s="101"/>
      <c r="AB497" s="101"/>
      <c r="AC497" s="101"/>
      <c r="AD497" s="101"/>
    </row>
    <row r="498" ht="30.0" customHeight="1">
      <c r="A498" s="141"/>
      <c r="B498" s="101"/>
      <c r="C498" s="101"/>
      <c r="D498" s="101"/>
      <c r="E498" s="101"/>
      <c r="F498" s="101"/>
      <c r="G498" s="101"/>
      <c r="H498" s="101"/>
      <c r="I498" s="101"/>
      <c r="J498" s="142"/>
      <c r="K498" s="101"/>
      <c r="L498" s="101"/>
      <c r="M498" s="101"/>
      <c r="N498" s="101"/>
      <c r="O498" s="101"/>
      <c r="P498" s="101"/>
      <c r="Q498" s="101"/>
      <c r="R498" s="101"/>
      <c r="S498" s="101"/>
      <c r="T498" s="101"/>
      <c r="U498" s="101"/>
      <c r="V498" s="101"/>
      <c r="W498" s="101"/>
      <c r="X498" s="101"/>
      <c r="Y498" s="101"/>
      <c r="Z498" s="101"/>
      <c r="AA498" s="101"/>
      <c r="AB498" s="101"/>
      <c r="AC498" s="101"/>
      <c r="AD498" s="101"/>
    </row>
    <row r="499" ht="30.0" customHeight="1">
      <c r="A499" s="141"/>
      <c r="B499" s="101"/>
      <c r="C499" s="101"/>
      <c r="D499" s="101"/>
      <c r="E499" s="101"/>
      <c r="F499" s="101"/>
      <c r="G499" s="101"/>
      <c r="H499" s="101"/>
      <c r="I499" s="101"/>
      <c r="J499" s="142"/>
      <c r="K499" s="101"/>
      <c r="L499" s="101"/>
      <c r="M499" s="101"/>
      <c r="N499" s="101"/>
      <c r="O499" s="101"/>
      <c r="P499" s="101"/>
      <c r="Q499" s="101"/>
      <c r="R499" s="101"/>
      <c r="S499" s="101"/>
      <c r="T499" s="101"/>
      <c r="U499" s="101"/>
      <c r="V499" s="101"/>
      <c r="W499" s="101"/>
      <c r="X499" s="101"/>
      <c r="Y499" s="101"/>
      <c r="Z499" s="101"/>
      <c r="AA499" s="101"/>
      <c r="AB499" s="101"/>
      <c r="AC499" s="101"/>
      <c r="AD499" s="101"/>
    </row>
    <row r="500" ht="30.0" customHeight="1">
      <c r="A500" s="141"/>
      <c r="B500" s="101"/>
      <c r="C500" s="101"/>
      <c r="D500" s="101"/>
      <c r="E500" s="101"/>
      <c r="F500" s="101"/>
      <c r="G500" s="101"/>
      <c r="H500" s="101"/>
      <c r="I500" s="101"/>
      <c r="J500" s="142"/>
      <c r="K500" s="101"/>
      <c r="L500" s="101"/>
      <c r="M500" s="101"/>
      <c r="N500" s="101"/>
      <c r="O500" s="101"/>
      <c r="P500" s="101"/>
      <c r="Q500" s="101"/>
      <c r="R500" s="101"/>
      <c r="S500" s="101"/>
      <c r="T500" s="101"/>
      <c r="U500" s="101"/>
      <c r="V500" s="101"/>
      <c r="W500" s="101"/>
      <c r="X500" s="101"/>
      <c r="Y500" s="101"/>
      <c r="Z500" s="101"/>
      <c r="AA500" s="101"/>
      <c r="AB500" s="101"/>
      <c r="AC500" s="101"/>
      <c r="AD500" s="101"/>
    </row>
    <row r="501" ht="30.0" customHeight="1">
      <c r="A501" s="141"/>
      <c r="B501" s="101"/>
      <c r="C501" s="101"/>
      <c r="D501" s="101"/>
      <c r="E501" s="101"/>
      <c r="F501" s="101"/>
      <c r="G501" s="101"/>
      <c r="H501" s="101"/>
      <c r="I501" s="101"/>
      <c r="J501" s="142"/>
      <c r="K501" s="101"/>
      <c r="L501" s="101"/>
      <c r="M501" s="101"/>
      <c r="N501" s="101"/>
      <c r="O501" s="101"/>
      <c r="P501" s="101"/>
      <c r="Q501" s="101"/>
      <c r="R501" s="101"/>
      <c r="S501" s="101"/>
      <c r="T501" s="101"/>
      <c r="U501" s="101"/>
      <c r="V501" s="101"/>
      <c r="W501" s="101"/>
      <c r="X501" s="101"/>
      <c r="Y501" s="101"/>
      <c r="Z501" s="101"/>
      <c r="AA501" s="101"/>
      <c r="AB501" s="101"/>
      <c r="AC501" s="101"/>
      <c r="AD501" s="101"/>
    </row>
    <row r="502" ht="30.0" customHeight="1">
      <c r="A502" s="141"/>
      <c r="B502" s="101"/>
      <c r="C502" s="101"/>
      <c r="D502" s="101"/>
      <c r="E502" s="101"/>
      <c r="F502" s="101"/>
      <c r="G502" s="101"/>
      <c r="H502" s="101"/>
      <c r="I502" s="101"/>
      <c r="J502" s="142"/>
      <c r="K502" s="101"/>
      <c r="L502" s="101"/>
      <c r="M502" s="101"/>
      <c r="N502" s="101"/>
      <c r="O502" s="101"/>
      <c r="P502" s="101"/>
      <c r="Q502" s="101"/>
      <c r="R502" s="101"/>
      <c r="S502" s="101"/>
      <c r="T502" s="101"/>
      <c r="U502" s="101"/>
      <c r="V502" s="101"/>
      <c r="W502" s="101"/>
      <c r="X502" s="101"/>
      <c r="Y502" s="101"/>
      <c r="Z502" s="101"/>
      <c r="AA502" s="101"/>
      <c r="AB502" s="101"/>
      <c r="AC502" s="101"/>
      <c r="AD502" s="101"/>
    </row>
    <row r="503" ht="30.0" customHeight="1">
      <c r="A503" s="141"/>
      <c r="B503" s="101"/>
      <c r="C503" s="101"/>
      <c r="D503" s="101"/>
      <c r="E503" s="101"/>
      <c r="F503" s="101"/>
      <c r="G503" s="101"/>
      <c r="H503" s="101"/>
      <c r="I503" s="101"/>
      <c r="J503" s="142"/>
      <c r="K503" s="101"/>
      <c r="L503" s="101"/>
      <c r="M503" s="101"/>
      <c r="N503" s="101"/>
      <c r="O503" s="101"/>
      <c r="P503" s="101"/>
      <c r="Q503" s="101"/>
      <c r="R503" s="101"/>
      <c r="S503" s="101"/>
      <c r="T503" s="101"/>
      <c r="U503" s="101"/>
      <c r="V503" s="101"/>
      <c r="W503" s="101"/>
      <c r="X503" s="101"/>
      <c r="Y503" s="101"/>
      <c r="Z503" s="101"/>
      <c r="AA503" s="101"/>
      <c r="AB503" s="101"/>
      <c r="AC503" s="101"/>
      <c r="AD503" s="101"/>
    </row>
    <row r="504" ht="30.0" customHeight="1">
      <c r="A504" s="141"/>
      <c r="B504" s="101"/>
      <c r="C504" s="101"/>
      <c r="D504" s="101"/>
      <c r="E504" s="101"/>
      <c r="F504" s="101"/>
      <c r="G504" s="101"/>
      <c r="H504" s="101"/>
      <c r="I504" s="101"/>
      <c r="J504" s="142"/>
      <c r="K504" s="101"/>
      <c r="L504" s="101"/>
      <c r="M504" s="101"/>
      <c r="N504" s="101"/>
      <c r="O504" s="101"/>
      <c r="P504" s="101"/>
      <c r="Q504" s="101"/>
      <c r="R504" s="101"/>
      <c r="S504" s="101"/>
      <c r="T504" s="101"/>
      <c r="U504" s="101"/>
      <c r="V504" s="101"/>
      <c r="W504" s="101"/>
      <c r="X504" s="101"/>
      <c r="Y504" s="101"/>
      <c r="Z504" s="101"/>
      <c r="AA504" s="101"/>
      <c r="AB504" s="101"/>
      <c r="AC504" s="101"/>
      <c r="AD504" s="101"/>
    </row>
    <row r="505" ht="30.0" customHeight="1">
      <c r="A505" s="141"/>
      <c r="B505" s="101"/>
      <c r="C505" s="101"/>
      <c r="D505" s="101"/>
      <c r="E505" s="101"/>
      <c r="F505" s="101"/>
      <c r="G505" s="101"/>
      <c r="H505" s="101"/>
      <c r="I505" s="101"/>
      <c r="J505" s="142"/>
      <c r="K505" s="101"/>
      <c r="L505" s="101"/>
      <c r="M505" s="101"/>
      <c r="N505" s="101"/>
      <c r="O505" s="101"/>
      <c r="P505" s="101"/>
      <c r="Q505" s="101"/>
      <c r="R505" s="101"/>
      <c r="S505" s="101"/>
      <c r="T505" s="101"/>
      <c r="U505" s="101"/>
      <c r="V505" s="101"/>
      <c r="W505" s="101"/>
      <c r="X505" s="101"/>
      <c r="Y505" s="101"/>
      <c r="Z505" s="101"/>
      <c r="AA505" s="101"/>
      <c r="AB505" s="101"/>
      <c r="AC505" s="101"/>
      <c r="AD505" s="101"/>
    </row>
    <row r="506" ht="30.0" customHeight="1">
      <c r="A506" s="141"/>
      <c r="B506" s="101"/>
      <c r="C506" s="101"/>
      <c r="D506" s="101"/>
      <c r="E506" s="101"/>
      <c r="F506" s="101"/>
      <c r="G506" s="101"/>
      <c r="H506" s="101"/>
      <c r="I506" s="101"/>
      <c r="J506" s="142"/>
      <c r="K506" s="101"/>
      <c r="L506" s="101"/>
      <c r="M506" s="101"/>
      <c r="N506" s="101"/>
      <c r="O506" s="101"/>
      <c r="P506" s="101"/>
      <c r="Q506" s="101"/>
      <c r="R506" s="101"/>
      <c r="S506" s="101"/>
      <c r="T506" s="101"/>
      <c r="U506" s="101"/>
      <c r="V506" s="101"/>
      <c r="W506" s="101"/>
      <c r="X506" s="101"/>
      <c r="Y506" s="101"/>
      <c r="Z506" s="101"/>
      <c r="AA506" s="101"/>
      <c r="AB506" s="101"/>
      <c r="AC506" s="101"/>
      <c r="AD506" s="101"/>
    </row>
    <row r="507" ht="30.0" customHeight="1">
      <c r="A507" s="141"/>
      <c r="B507" s="101"/>
      <c r="C507" s="101"/>
      <c r="D507" s="101"/>
      <c r="E507" s="101"/>
      <c r="F507" s="101"/>
      <c r="G507" s="101"/>
      <c r="H507" s="101"/>
      <c r="I507" s="101"/>
      <c r="J507" s="142"/>
      <c r="K507" s="101"/>
      <c r="L507" s="101"/>
      <c r="M507" s="101"/>
      <c r="N507" s="101"/>
      <c r="O507" s="101"/>
      <c r="P507" s="101"/>
      <c r="Q507" s="101"/>
      <c r="R507" s="101"/>
      <c r="S507" s="101"/>
      <c r="T507" s="101"/>
      <c r="U507" s="101"/>
      <c r="V507" s="101"/>
      <c r="W507" s="101"/>
      <c r="X507" s="101"/>
      <c r="Y507" s="101"/>
      <c r="Z507" s="101"/>
      <c r="AA507" s="101"/>
      <c r="AB507" s="101"/>
      <c r="AC507" s="101"/>
      <c r="AD507" s="101"/>
    </row>
    <row r="508" ht="30.0" customHeight="1">
      <c r="A508" s="141"/>
      <c r="B508" s="101"/>
      <c r="C508" s="101"/>
      <c r="D508" s="101"/>
      <c r="E508" s="101"/>
      <c r="F508" s="101"/>
      <c r="G508" s="101"/>
      <c r="H508" s="101"/>
      <c r="I508" s="101"/>
      <c r="J508" s="142"/>
      <c r="K508" s="101"/>
      <c r="L508" s="101"/>
      <c r="M508" s="101"/>
      <c r="N508" s="101"/>
      <c r="O508" s="101"/>
      <c r="P508" s="101"/>
      <c r="Q508" s="101"/>
      <c r="R508" s="101"/>
      <c r="S508" s="101"/>
      <c r="T508" s="101"/>
      <c r="U508" s="101"/>
      <c r="V508" s="101"/>
      <c r="W508" s="101"/>
      <c r="X508" s="101"/>
      <c r="Y508" s="101"/>
      <c r="Z508" s="101"/>
      <c r="AA508" s="101"/>
      <c r="AB508" s="101"/>
      <c r="AC508" s="101"/>
      <c r="AD508" s="101"/>
    </row>
    <row r="509" ht="30.0" customHeight="1">
      <c r="A509" s="141"/>
      <c r="B509" s="101"/>
      <c r="C509" s="101"/>
      <c r="D509" s="101"/>
      <c r="E509" s="101"/>
      <c r="F509" s="101"/>
      <c r="G509" s="101"/>
      <c r="H509" s="101"/>
      <c r="I509" s="101"/>
      <c r="J509" s="142"/>
      <c r="K509" s="101"/>
      <c r="L509" s="101"/>
      <c r="M509" s="101"/>
      <c r="N509" s="101"/>
      <c r="O509" s="101"/>
      <c r="P509" s="101"/>
      <c r="Q509" s="101"/>
      <c r="R509" s="101"/>
      <c r="S509" s="101"/>
      <c r="T509" s="101"/>
      <c r="U509" s="101"/>
      <c r="V509" s="101"/>
      <c r="W509" s="101"/>
      <c r="X509" s="101"/>
      <c r="Y509" s="101"/>
      <c r="Z509" s="101"/>
      <c r="AA509" s="101"/>
      <c r="AB509" s="101"/>
      <c r="AC509" s="101"/>
      <c r="AD509" s="101"/>
    </row>
    <row r="510" ht="30.0" customHeight="1">
      <c r="A510" s="141"/>
      <c r="B510" s="101"/>
      <c r="C510" s="101"/>
      <c r="D510" s="101"/>
      <c r="E510" s="101"/>
      <c r="F510" s="101"/>
      <c r="G510" s="101"/>
      <c r="H510" s="101"/>
      <c r="I510" s="101"/>
      <c r="J510" s="142"/>
      <c r="K510" s="101"/>
      <c r="L510" s="101"/>
      <c r="M510" s="101"/>
      <c r="N510" s="101"/>
      <c r="O510" s="101"/>
      <c r="P510" s="101"/>
      <c r="Q510" s="101"/>
      <c r="R510" s="101"/>
      <c r="S510" s="101"/>
      <c r="T510" s="101"/>
      <c r="U510" s="101"/>
      <c r="V510" s="101"/>
      <c r="W510" s="101"/>
      <c r="X510" s="101"/>
      <c r="Y510" s="101"/>
      <c r="Z510" s="101"/>
      <c r="AA510" s="101"/>
      <c r="AB510" s="101"/>
      <c r="AC510" s="101"/>
      <c r="AD510" s="101"/>
    </row>
    <row r="511" ht="30.0" customHeight="1">
      <c r="A511" s="141"/>
      <c r="B511" s="101"/>
      <c r="C511" s="101"/>
      <c r="D511" s="101"/>
      <c r="E511" s="101"/>
      <c r="F511" s="101"/>
      <c r="G511" s="101"/>
      <c r="H511" s="101"/>
      <c r="I511" s="101"/>
      <c r="J511" s="142"/>
      <c r="K511" s="101"/>
      <c r="L511" s="101"/>
      <c r="M511" s="101"/>
      <c r="N511" s="101"/>
      <c r="O511" s="101"/>
      <c r="P511" s="101"/>
      <c r="Q511" s="101"/>
      <c r="R511" s="101"/>
      <c r="S511" s="101"/>
      <c r="T511" s="101"/>
      <c r="U511" s="101"/>
      <c r="V511" s="101"/>
      <c r="W511" s="101"/>
      <c r="X511" s="101"/>
      <c r="Y511" s="101"/>
      <c r="Z511" s="101"/>
      <c r="AA511" s="101"/>
      <c r="AB511" s="101"/>
      <c r="AC511" s="101"/>
      <c r="AD511" s="101"/>
    </row>
    <row r="512" ht="30.0" customHeight="1">
      <c r="A512" s="141"/>
      <c r="B512" s="101"/>
      <c r="C512" s="101"/>
      <c r="D512" s="101"/>
      <c r="E512" s="101"/>
      <c r="F512" s="101"/>
      <c r="G512" s="101"/>
      <c r="H512" s="101"/>
      <c r="I512" s="101"/>
      <c r="J512" s="142"/>
      <c r="K512" s="101"/>
      <c r="L512" s="101"/>
      <c r="M512" s="101"/>
      <c r="N512" s="101"/>
      <c r="O512" s="101"/>
      <c r="P512" s="101"/>
      <c r="Q512" s="101"/>
      <c r="R512" s="101"/>
      <c r="S512" s="101"/>
      <c r="T512" s="101"/>
      <c r="U512" s="101"/>
      <c r="V512" s="101"/>
      <c r="W512" s="101"/>
      <c r="X512" s="101"/>
      <c r="Y512" s="101"/>
      <c r="Z512" s="101"/>
      <c r="AA512" s="101"/>
      <c r="AB512" s="101"/>
      <c r="AC512" s="101"/>
      <c r="AD512" s="101"/>
    </row>
    <row r="513" ht="30.0" customHeight="1">
      <c r="A513" s="141"/>
      <c r="B513" s="101"/>
      <c r="C513" s="101"/>
      <c r="D513" s="101"/>
      <c r="E513" s="101"/>
      <c r="F513" s="101"/>
      <c r="G513" s="101"/>
      <c r="H513" s="101"/>
      <c r="I513" s="101"/>
      <c r="J513" s="142"/>
      <c r="K513" s="101"/>
      <c r="L513" s="101"/>
      <c r="M513" s="101"/>
      <c r="N513" s="101"/>
      <c r="O513" s="101"/>
      <c r="P513" s="101"/>
      <c r="Q513" s="101"/>
      <c r="R513" s="101"/>
      <c r="S513" s="101"/>
      <c r="T513" s="101"/>
      <c r="U513" s="101"/>
      <c r="V513" s="101"/>
      <c r="W513" s="101"/>
      <c r="X513" s="101"/>
      <c r="Y513" s="101"/>
      <c r="Z513" s="101"/>
      <c r="AA513" s="101"/>
      <c r="AB513" s="101"/>
      <c r="AC513" s="101"/>
      <c r="AD513" s="101"/>
    </row>
    <row r="514" ht="30.0" customHeight="1">
      <c r="A514" s="141"/>
      <c r="B514" s="101"/>
      <c r="C514" s="101"/>
      <c r="D514" s="101"/>
      <c r="E514" s="101"/>
      <c r="F514" s="101"/>
      <c r="G514" s="101"/>
      <c r="H514" s="101"/>
      <c r="I514" s="101"/>
      <c r="J514" s="142"/>
      <c r="K514" s="101"/>
      <c r="L514" s="101"/>
      <c r="M514" s="101"/>
      <c r="N514" s="101"/>
      <c r="O514" s="101"/>
      <c r="P514" s="101"/>
      <c r="Q514" s="101"/>
      <c r="R514" s="101"/>
      <c r="S514" s="101"/>
      <c r="T514" s="101"/>
      <c r="U514" s="101"/>
      <c r="V514" s="101"/>
      <c r="W514" s="101"/>
      <c r="X514" s="101"/>
      <c r="Y514" s="101"/>
      <c r="Z514" s="101"/>
      <c r="AA514" s="101"/>
      <c r="AB514" s="101"/>
      <c r="AC514" s="101"/>
      <c r="AD514" s="101"/>
    </row>
    <row r="515" ht="30.0" customHeight="1">
      <c r="A515" s="141"/>
      <c r="B515" s="101"/>
      <c r="C515" s="101"/>
      <c r="D515" s="101"/>
      <c r="E515" s="101"/>
      <c r="F515" s="101"/>
      <c r="G515" s="101"/>
      <c r="H515" s="101"/>
      <c r="I515" s="101"/>
      <c r="J515" s="142"/>
      <c r="K515" s="101"/>
      <c r="L515" s="101"/>
      <c r="M515" s="101"/>
      <c r="N515" s="101"/>
      <c r="O515" s="101"/>
      <c r="P515" s="101"/>
      <c r="Q515" s="101"/>
      <c r="R515" s="101"/>
      <c r="S515" s="101"/>
      <c r="T515" s="101"/>
      <c r="U515" s="101"/>
      <c r="V515" s="101"/>
      <c r="W515" s="101"/>
      <c r="X515" s="101"/>
      <c r="Y515" s="101"/>
      <c r="Z515" s="101"/>
      <c r="AA515" s="101"/>
      <c r="AB515" s="101"/>
      <c r="AC515" s="101"/>
      <c r="AD515" s="101"/>
    </row>
    <row r="516" ht="30.0" customHeight="1">
      <c r="A516" s="141"/>
      <c r="B516" s="101"/>
      <c r="C516" s="101"/>
      <c r="D516" s="101"/>
      <c r="E516" s="101"/>
      <c r="F516" s="101"/>
      <c r="G516" s="101"/>
      <c r="H516" s="101"/>
      <c r="I516" s="101"/>
      <c r="J516" s="142"/>
      <c r="K516" s="101"/>
      <c r="L516" s="101"/>
      <c r="M516" s="101"/>
      <c r="N516" s="101"/>
      <c r="O516" s="101"/>
      <c r="P516" s="101"/>
      <c r="Q516" s="101"/>
      <c r="R516" s="101"/>
      <c r="S516" s="101"/>
      <c r="T516" s="101"/>
      <c r="U516" s="101"/>
      <c r="V516" s="101"/>
      <c r="W516" s="101"/>
      <c r="X516" s="101"/>
      <c r="Y516" s="101"/>
      <c r="Z516" s="101"/>
      <c r="AA516" s="101"/>
      <c r="AB516" s="101"/>
      <c r="AC516" s="101"/>
      <c r="AD516" s="101"/>
    </row>
    <row r="517" ht="30.0" customHeight="1">
      <c r="A517" s="141"/>
      <c r="B517" s="101"/>
      <c r="C517" s="101"/>
      <c r="D517" s="101"/>
      <c r="E517" s="101"/>
      <c r="F517" s="101"/>
      <c r="G517" s="101"/>
      <c r="H517" s="101"/>
      <c r="I517" s="101"/>
      <c r="J517" s="142"/>
      <c r="K517" s="101"/>
      <c r="L517" s="101"/>
      <c r="M517" s="101"/>
      <c r="N517" s="101"/>
      <c r="O517" s="101"/>
      <c r="P517" s="101"/>
      <c r="Q517" s="101"/>
      <c r="R517" s="101"/>
      <c r="S517" s="101"/>
      <c r="T517" s="101"/>
      <c r="U517" s="101"/>
      <c r="V517" s="101"/>
      <c r="W517" s="101"/>
      <c r="X517" s="101"/>
      <c r="Y517" s="101"/>
      <c r="Z517" s="101"/>
      <c r="AA517" s="101"/>
      <c r="AB517" s="101"/>
      <c r="AC517" s="101"/>
      <c r="AD517" s="101"/>
    </row>
    <row r="518" ht="30.0" customHeight="1">
      <c r="A518" s="141"/>
      <c r="B518" s="101"/>
      <c r="C518" s="101"/>
      <c r="D518" s="101"/>
      <c r="E518" s="101"/>
      <c r="F518" s="101"/>
      <c r="G518" s="101"/>
      <c r="H518" s="101"/>
      <c r="I518" s="101"/>
      <c r="J518" s="142"/>
      <c r="K518" s="101"/>
      <c r="L518" s="101"/>
      <c r="M518" s="101"/>
      <c r="N518" s="101"/>
      <c r="O518" s="101"/>
      <c r="P518" s="101"/>
      <c r="Q518" s="101"/>
      <c r="R518" s="101"/>
      <c r="S518" s="101"/>
      <c r="T518" s="101"/>
      <c r="U518" s="101"/>
      <c r="V518" s="101"/>
      <c r="W518" s="101"/>
      <c r="X518" s="101"/>
      <c r="Y518" s="101"/>
      <c r="Z518" s="101"/>
      <c r="AA518" s="101"/>
      <c r="AB518" s="101"/>
      <c r="AC518" s="101"/>
      <c r="AD518" s="101"/>
    </row>
    <row r="519" ht="30.0" customHeight="1">
      <c r="A519" s="141"/>
      <c r="B519" s="101"/>
      <c r="C519" s="101"/>
      <c r="D519" s="101"/>
      <c r="E519" s="101"/>
      <c r="F519" s="101"/>
      <c r="G519" s="101"/>
      <c r="H519" s="101"/>
      <c r="I519" s="101"/>
      <c r="J519" s="142"/>
      <c r="K519" s="101"/>
      <c r="L519" s="101"/>
      <c r="M519" s="101"/>
      <c r="N519" s="101"/>
      <c r="O519" s="101"/>
      <c r="P519" s="101"/>
      <c r="Q519" s="101"/>
      <c r="R519" s="101"/>
      <c r="S519" s="101"/>
      <c r="T519" s="101"/>
      <c r="U519" s="101"/>
      <c r="V519" s="101"/>
      <c r="W519" s="101"/>
      <c r="X519" s="101"/>
      <c r="Y519" s="101"/>
      <c r="Z519" s="101"/>
      <c r="AA519" s="101"/>
      <c r="AB519" s="101"/>
      <c r="AC519" s="101"/>
      <c r="AD519" s="101"/>
    </row>
    <row r="520" ht="30.0" customHeight="1">
      <c r="A520" s="141"/>
      <c r="B520" s="101"/>
      <c r="C520" s="101"/>
      <c r="D520" s="101"/>
      <c r="E520" s="101"/>
      <c r="F520" s="101"/>
      <c r="G520" s="101"/>
      <c r="H520" s="101"/>
      <c r="I520" s="101"/>
      <c r="J520" s="142"/>
      <c r="K520" s="101"/>
      <c r="L520" s="101"/>
      <c r="M520" s="101"/>
      <c r="N520" s="101"/>
      <c r="O520" s="101"/>
      <c r="P520" s="101"/>
      <c r="Q520" s="101"/>
      <c r="R520" s="101"/>
      <c r="S520" s="101"/>
      <c r="T520" s="101"/>
      <c r="U520" s="101"/>
      <c r="V520" s="101"/>
      <c r="W520" s="101"/>
      <c r="X520" s="101"/>
      <c r="Y520" s="101"/>
      <c r="Z520" s="101"/>
      <c r="AA520" s="101"/>
      <c r="AB520" s="101"/>
      <c r="AC520" s="101"/>
      <c r="AD520" s="101"/>
    </row>
    <row r="521" ht="30.0" customHeight="1">
      <c r="A521" s="141"/>
      <c r="B521" s="101"/>
      <c r="C521" s="101"/>
      <c r="D521" s="101"/>
      <c r="E521" s="101"/>
      <c r="F521" s="101"/>
      <c r="G521" s="101"/>
      <c r="H521" s="101"/>
      <c r="I521" s="101"/>
      <c r="J521" s="142"/>
      <c r="K521" s="101"/>
      <c r="L521" s="101"/>
      <c r="M521" s="101"/>
      <c r="N521" s="101"/>
      <c r="O521" s="101"/>
      <c r="P521" s="101"/>
      <c r="Q521" s="101"/>
      <c r="R521" s="101"/>
      <c r="S521" s="101"/>
      <c r="T521" s="101"/>
      <c r="U521" s="101"/>
      <c r="V521" s="101"/>
      <c r="W521" s="101"/>
      <c r="X521" s="101"/>
      <c r="Y521" s="101"/>
      <c r="Z521" s="101"/>
      <c r="AA521" s="101"/>
      <c r="AB521" s="101"/>
      <c r="AC521" s="101"/>
      <c r="AD521" s="101"/>
    </row>
    <row r="522" ht="30.0" customHeight="1">
      <c r="A522" s="141"/>
      <c r="B522" s="101"/>
      <c r="C522" s="101"/>
      <c r="D522" s="101"/>
      <c r="E522" s="101"/>
      <c r="F522" s="101"/>
      <c r="G522" s="101"/>
      <c r="H522" s="101"/>
      <c r="I522" s="101"/>
      <c r="J522" s="142"/>
      <c r="K522" s="101"/>
      <c r="L522" s="101"/>
      <c r="M522" s="101"/>
      <c r="N522" s="101"/>
      <c r="O522" s="101"/>
      <c r="P522" s="101"/>
      <c r="Q522" s="101"/>
      <c r="R522" s="101"/>
      <c r="S522" s="101"/>
      <c r="T522" s="101"/>
      <c r="U522" s="101"/>
      <c r="V522" s="101"/>
      <c r="W522" s="101"/>
      <c r="X522" s="101"/>
      <c r="Y522" s="101"/>
      <c r="Z522" s="101"/>
      <c r="AA522" s="101"/>
      <c r="AB522" s="101"/>
      <c r="AC522" s="101"/>
      <c r="AD522" s="101"/>
    </row>
    <row r="523" ht="30.0" customHeight="1">
      <c r="A523" s="141"/>
      <c r="B523" s="101"/>
      <c r="C523" s="101"/>
      <c r="D523" s="101"/>
      <c r="E523" s="101"/>
      <c r="F523" s="101"/>
      <c r="G523" s="101"/>
      <c r="H523" s="101"/>
      <c r="I523" s="101"/>
      <c r="J523" s="142"/>
      <c r="K523" s="101"/>
      <c r="L523" s="101"/>
      <c r="M523" s="101"/>
      <c r="N523" s="101"/>
      <c r="O523" s="101"/>
      <c r="P523" s="101"/>
      <c r="Q523" s="101"/>
      <c r="R523" s="101"/>
      <c r="S523" s="101"/>
      <c r="T523" s="101"/>
      <c r="U523" s="101"/>
      <c r="V523" s="101"/>
      <c r="W523" s="101"/>
      <c r="X523" s="101"/>
      <c r="Y523" s="101"/>
      <c r="Z523" s="101"/>
      <c r="AA523" s="101"/>
      <c r="AB523" s="101"/>
      <c r="AC523" s="101"/>
      <c r="AD523" s="101"/>
    </row>
    <row r="524" ht="30.0" customHeight="1">
      <c r="A524" s="141"/>
      <c r="B524" s="101"/>
      <c r="C524" s="101"/>
      <c r="D524" s="101"/>
      <c r="E524" s="101"/>
      <c r="F524" s="101"/>
      <c r="G524" s="101"/>
      <c r="H524" s="101"/>
      <c r="I524" s="101"/>
      <c r="J524" s="142"/>
      <c r="K524" s="101"/>
      <c r="L524" s="101"/>
      <c r="M524" s="101"/>
      <c r="N524" s="101"/>
      <c r="O524" s="101"/>
      <c r="P524" s="101"/>
      <c r="Q524" s="101"/>
      <c r="R524" s="101"/>
      <c r="S524" s="101"/>
      <c r="T524" s="101"/>
      <c r="U524" s="101"/>
      <c r="V524" s="101"/>
      <c r="W524" s="101"/>
      <c r="X524" s="101"/>
      <c r="Y524" s="101"/>
      <c r="Z524" s="101"/>
      <c r="AA524" s="101"/>
      <c r="AB524" s="101"/>
      <c r="AC524" s="101"/>
      <c r="AD524" s="101"/>
    </row>
    <row r="525" ht="30.0" customHeight="1">
      <c r="A525" s="141"/>
      <c r="B525" s="101"/>
      <c r="C525" s="101"/>
      <c r="D525" s="101"/>
      <c r="E525" s="101"/>
      <c r="F525" s="101"/>
      <c r="G525" s="101"/>
      <c r="H525" s="101"/>
      <c r="I525" s="101"/>
      <c r="J525" s="142"/>
      <c r="K525" s="101"/>
      <c r="L525" s="101"/>
      <c r="M525" s="101"/>
      <c r="N525" s="101"/>
      <c r="O525" s="101"/>
      <c r="P525" s="101"/>
      <c r="Q525" s="101"/>
      <c r="R525" s="101"/>
      <c r="S525" s="101"/>
      <c r="T525" s="101"/>
      <c r="U525" s="101"/>
      <c r="V525" s="101"/>
      <c r="W525" s="101"/>
      <c r="X525" s="101"/>
      <c r="Y525" s="101"/>
      <c r="Z525" s="101"/>
      <c r="AA525" s="101"/>
      <c r="AB525" s="101"/>
      <c r="AC525" s="101"/>
      <c r="AD525" s="101"/>
    </row>
    <row r="526" ht="30.0" customHeight="1">
      <c r="A526" s="141"/>
      <c r="B526" s="101"/>
      <c r="C526" s="101"/>
      <c r="D526" s="101"/>
      <c r="E526" s="101"/>
      <c r="F526" s="101"/>
      <c r="G526" s="101"/>
      <c r="H526" s="101"/>
      <c r="I526" s="101"/>
      <c r="J526" s="142"/>
      <c r="K526" s="101"/>
      <c r="L526" s="101"/>
      <c r="M526" s="101"/>
      <c r="N526" s="101"/>
      <c r="O526" s="101"/>
      <c r="P526" s="101"/>
      <c r="Q526" s="101"/>
      <c r="R526" s="101"/>
      <c r="S526" s="101"/>
      <c r="T526" s="101"/>
      <c r="U526" s="101"/>
      <c r="V526" s="101"/>
      <c r="W526" s="101"/>
      <c r="X526" s="101"/>
      <c r="Y526" s="101"/>
      <c r="Z526" s="101"/>
      <c r="AA526" s="101"/>
      <c r="AB526" s="101"/>
      <c r="AC526" s="101"/>
      <c r="AD526" s="101"/>
    </row>
    <row r="527" ht="30.0" customHeight="1">
      <c r="A527" s="141"/>
      <c r="B527" s="101"/>
      <c r="C527" s="101"/>
      <c r="D527" s="101"/>
      <c r="E527" s="101"/>
      <c r="F527" s="101"/>
      <c r="G527" s="101"/>
      <c r="H527" s="101"/>
      <c r="I527" s="101"/>
      <c r="J527" s="142"/>
      <c r="K527" s="101"/>
      <c r="L527" s="101"/>
      <c r="M527" s="101"/>
      <c r="N527" s="101"/>
      <c r="O527" s="101"/>
      <c r="P527" s="101"/>
      <c r="Q527" s="101"/>
      <c r="R527" s="101"/>
      <c r="S527" s="101"/>
      <c r="T527" s="101"/>
      <c r="U527" s="101"/>
      <c r="V527" s="101"/>
      <c r="W527" s="101"/>
      <c r="X527" s="101"/>
      <c r="Y527" s="101"/>
      <c r="Z527" s="101"/>
      <c r="AA527" s="101"/>
      <c r="AB527" s="101"/>
      <c r="AC527" s="101"/>
      <c r="AD527" s="101"/>
    </row>
    <row r="528" ht="30.0" customHeight="1">
      <c r="A528" s="141"/>
      <c r="B528" s="101"/>
      <c r="C528" s="101"/>
      <c r="D528" s="101"/>
      <c r="E528" s="101"/>
      <c r="F528" s="101"/>
      <c r="G528" s="101"/>
      <c r="H528" s="101"/>
      <c r="I528" s="101"/>
      <c r="J528" s="142"/>
      <c r="K528" s="101"/>
      <c r="L528" s="101"/>
      <c r="M528" s="101"/>
      <c r="N528" s="101"/>
      <c r="O528" s="101"/>
      <c r="P528" s="101"/>
      <c r="Q528" s="101"/>
      <c r="R528" s="101"/>
      <c r="S528" s="101"/>
      <c r="T528" s="101"/>
      <c r="U528" s="101"/>
      <c r="V528" s="101"/>
      <c r="W528" s="101"/>
      <c r="X528" s="101"/>
      <c r="Y528" s="101"/>
      <c r="Z528" s="101"/>
      <c r="AA528" s="101"/>
      <c r="AB528" s="101"/>
      <c r="AC528" s="101"/>
      <c r="AD528" s="101"/>
    </row>
    <row r="529" ht="30.0" customHeight="1">
      <c r="A529" s="141"/>
      <c r="B529" s="101"/>
      <c r="C529" s="101"/>
      <c r="D529" s="101"/>
      <c r="E529" s="101"/>
      <c r="F529" s="101"/>
      <c r="G529" s="101"/>
      <c r="H529" s="101"/>
      <c r="I529" s="101"/>
      <c r="J529" s="142"/>
      <c r="K529" s="101"/>
      <c r="L529" s="101"/>
      <c r="M529" s="101"/>
      <c r="N529" s="101"/>
      <c r="O529" s="101"/>
      <c r="P529" s="101"/>
      <c r="Q529" s="101"/>
      <c r="R529" s="101"/>
      <c r="S529" s="101"/>
      <c r="T529" s="101"/>
      <c r="U529" s="101"/>
      <c r="V529" s="101"/>
      <c r="W529" s="101"/>
      <c r="X529" s="101"/>
      <c r="Y529" s="101"/>
      <c r="Z529" s="101"/>
      <c r="AA529" s="101"/>
      <c r="AB529" s="101"/>
      <c r="AC529" s="101"/>
      <c r="AD529" s="101"/>
    </row>
    <row r="530" ht="30.0" customHeight="1">
      <c r="A530" s="141"/>
      <c r="B530" s="101"/>
      <c r="C530" s="101"/>
      <c r="D530" s="101"/>
      <c r="E530" s="101"/>
      <c r="F530" s="101"/>
      <c r="G530" s="101"/>
      <c r="H530" s="101"/>
      <c r="I530" s="101"/>
      <c r="J530" s="142"/>
      <c r="K530" s="101"/>
      <c r="L530" s="101"/>
      <c r="M530" s="101"/>
      <c r="N530" s="101"/>
      <c r="O530" s="101"/>
      <c r="P530" s="101"/>
      <c r="Q530" s="101"/>
      <c r="R530" s="101"/>
      <c r="S530" s="101"/>
      <c r="T530" s="101"/>
      <c r="U530" s="101"/>
      <c r="V530" s="101"/>
      <c r="W530" s="101"/>
      <c r="X530" s="101"/>
      <c r="Y530" s="101"/>
      <c r="Z530" s="101"/>
      <c r="AA530" s="101"/>
      <c r="AB530" s="101"/>
      <c r="AC530" s="101"/>
      <c r="AD530" s="101"/>
    </row>
    <row r="531" ht="30.0" customHeight="1">
      <c r="A531" s="141"/>
      <c r="B531" s="101"/>
      <c r="C531" s="101"/>
      <c r="D531" s="101"/>
      <c r="E531" s="101"/>
      <c r="F531" s="101"/>
      <c r="G531" s="101"/>
      <c r="H531" s="101"/>
      <c r="I531" s="101"/>
      <c r="J531" s="142"/>
      <c r="K531" s="101"/>
      <c r="L531" s="101"/>
      <c r="M531" s="101"/>
      <c r="N531" s="101"/>
      <c r="O531" s="101"/>
      <c r="P531" s="101"/>
      <c r="Q531" s="101"/>
      <c r="R531" s="101"/>
      <c r="S531" s="101"/>
      <c r="T531" s="101"/>
      <c r="U531" s="101"/>
      <c r="V531" s="101"/>
      <c r="W531" s="101"/>
      <c r="X531" s="101"/>
      <c r="Y531" s="101"/>
      <c r="Z531" s="101"/>
      <c r="AA531" s="101"/>
      <c r="AB531" s="101"/>
      <c r="AC531" s="101"/>
      <c r="AD531" s="101"/>
    </row>
    <row r="532" ht="30.0" customHeight="1">
      <c r="A532" s="141"/>
      <c r="B532" s="101"/>
      <c r="C532" s="101"/>
      <c r="D532" s="101"/>
      <c r="E532" s="101"/>
      <c r="F532" s="101"/>
      <c r="G532" s="101"/>
      <c r="H532" s="101"/>
      <c r="I532" s="101"/>
      <c r="J532" s="142"/>
      <c r="K532" s="101"/>
      <c r="L532" s="101"/>
      <c r="M532" s="101"/>
      <c r="N532" s="101"/>
      <c r="O532" s="101"/>
      <c r="P532" s="101"/>
      <c r="Q532" s="101"/>
      <c r="R532" s="101"/>
      <c r="S532" s="101"/>
      <c r="T532" s="101"/>
      <c r="U532" s="101"/>
      <c r="V532" s="101"/>
      <c r="W532" s="101"/>
      <c r="X532" s="101"/>
      <c r="Y532" s="101"/>
      <c r="Z532" s="101"/>
      <c r="AA532" s="101"/>
      <c r="AB532" s="101"/>
      <c r="AC532" s="101"/>
      <c r="AD532" s="101"/>
    </row>
    <row r="533" ht="30.0" customHeight="1">
      <c r="A533" s="141"/>
      <c r="B533" s="101"/>
      <c r="C533" s="101"/>
      <c r="D533" s="101"/>
      <c r="E533" s="101"/>
      <c r="F533" s="101"/>
      <c r="G533" s="101"/>
      <c r="H533" s="101"/>
      <c r="I533" s="101"/>
      <c r="J533" s="142"/>
      <c r="K533" s="101"/>
      <c r="L533" s="101"/>
      <c r="M533" s="101"/>
      <c r="N533" s="101"/>
      <c r="O533" s="101"/>
      <c r="P533" s="101"/>
      <c r="Q533" s="101"/>
      <c r="R533" s="101"/>
      <c r="S533" s="101"/>
      <c r="T533" s="101"/>
      <c r="U533" s="101"/>
      <c r="V533" s="101"/>
      <c r="W533" s="101"/>
      <c r="X533" s="101"/>
      <c r="Y533" s="101"/>
      <c r="Z533" s="101"/>
      <c r="AA533" s="101"/>
      <c r="AB533" s="101"/>
      <c r="AC533" s="101"/>
      <c r="AD533" s="101"/>
    </row>
    <row r="534" ht="30.0" customHeight="1">
      <c r="A534" s="141"/>
      <c r="B534" s="101"/>
      <c r="C534" s="101"/>
      <c r="D534" s="101"/>
      <c r="E534" s="101"/>
      <c r="F534" s="101"/>
      <c r="G534" s="101"/>
      <c r="H534" s="101"/>
      <c r="I534" s="101"/>
      <c r="J534" s="142"/>
      <c r="K534" s="101"/>
      <c r="L534" s="101"/>
      <c r="M534" s="101"/>
      <c r="N534" s="101"/>
      <c r="O534" s="101"/>
      <c r="P534" s="101"/>
      <c r="Q534" s="101"/>
      <c r="R534" s="101"/>
      <c r="S534" s="101"/>
      <c r="T534" s="101"/>
      <c r="U534" s="101"/>
      <c r="V534" s="101"/>
      <c r="W534" s="101"/>
      <c r="X534" s="101"/>
      <c r="Y534" s="101"/>
      <c r="Z534" s="101"/>
      <c r="AA534" s="101"/>
      <c r="AB534" s="101"/>
      <c r="AC534" s="101"/>
      <c r="AD534" s="101"/>
    </row>
    <row r="535" ht="30.0" customHeight="1">
      <c r="A535" s="141"/>
      <c r="B535" s="101"/>
      <c r="C535" s="101"/>
      <c r="D535" s="101"/>
      <c r="E535" s="101"/>
      <c r="F535" s="101"/>
      <c r="G535" s="101"/>
      <c r="H535" s="101"/>
      <c r="I535" s="101"/>
      <c r="J535" s="142"/>
      <c r="K535" s="101"/>
      <c r="L535" s="101"/>
      <c r="M535" s="101"/>
      <c r="N535" s="101"/>
      <c r="O535" s="101"/>
      <c r="P535" s="101"/>
      <c r="Q535" s="101"/>
      <c r="R535" s="101"/>
      <c r="S535" s="101"/>
      <c r="T535" s="101"/>
      <c r="U535" s="101"/>
      <c r="V535" s="101"/>
      <c r="W535" s="101"/>
      <c r="X535" s="101"/>
      <c r="Y535" s="101"/>
      <c r="Z535" s="101"/>
      <c r="AA535" s="101"/>
      <c r="AB535" s="101"/>
      <c r="AC535" s="101"/>
      <c r="AD535" s="101"/>
    </row>
    <row r="536" ht="30.0" customHeight="1">
      <c r="A536" s="141"/>
      <c r="B536" s="101"/>
      <c r="C536" s="101"/>
      <c r="D536" s="101"/>
      <c r="E536" s="101"/>
      <c r="F536" s="101"/>
      <c r="G536" s="101"/>
      <c r="H536" s="101"/>
      <c r="I536" s="101"/>
      <c r="J536" s="142"/>
      <c r="K536" s="101"/>
      <c r="L536" s="101"/>
      <c r="M536" s="101"/>
      <c r="N536" s="101"/>
      <c r="O536" s="101"/>
      <c r="P536" s="101"/>
      <c r="Q536" s="101"/>
      <c r="R536" s="101"/>
      <c r="S536" s="101"/>
      <c r="T536" s="101"/>
      <c r="U536" s="101"/>
      <c r="V536" s="101"/>
      <c r="W536" s="101"/>
      <c r="X536" s="101"/>
      <c r="Y536" s="101"/>
      <c r="Z536" s="101"/>
      <c r="AA536" s="101"/>
      <c r="AB536" s="101"/>
      <c r="AC536" s="101"/>
      <c r="AD536" s="101"/>
    </row>
    <row r="537" ht="30.0" customHeight="1">
      <c r="A537" s="141"/>
      <c r="B537" s="101"/>
      <c r="C537" s="101"/>
      <c r="D537" s="101"/>
      <c r="E537" s="101"/>
      <c r="F537" s="101"/>
      <c r="G537" s="101"/>
      <c r="H537" s="101"/>
      <c r="I537" s="101"/>
      <c r="J537" s="142"/>
      <c r="K537" s="101"/>
      <c r="L537" s="101"/>
      <c r="M537" s="101"/>
      <c r="N537" s="101"/>
      <c r="O537" s="101"/>
      <c r="P537" s="101"/>
      <c r="Q537" s="101"/>
      <c r="R537" s="101"/>
      <c r="S537" s="101"/>
      <c r="T537" s="101"/>
      <c r="U537" s="101"/>
      <c r="V537" s="101"/>
      <c r="W537" s="101"/>
      <c r="X537" s="101"/>
      <c r="Y537" s="101"/>
      <c r="Z537" s="101"/>
      <c r="AA537" s="101"/>
      <c r="AB537" s="101"/>
      <c r="AC537" s="101"/>
      <c r="AD537" s="101"/>
    </row>
    <row r="538" ht="30.0" customHeight="1">
      <c r="A538" s="141"/>
      <c r="B538" s="101"/>
      <c r="C538" s="101"/>
      <c r="D538" s="101"/>
      <c r="E538" s="101"/>
      <c r="F538" s="101"/>
      <c r="G538" s="101"/>
      <c r="H538" s="101"/>
      <c r="I538" s="101"/>
      <c r="J538" s="142"/>
      <c r="K538" s="101"/>
      <c r="L538" s="101"/>
      <c r="M538" s="101"/>
      <c r="N538" s="101"/>
      <c r="O538" s="101"/>
      <c r="P538" s="101"/>
      <c r="Q538" s="101"/>
      <c r="R538" s="101"/>
      <c r="S538" s="101"/>
      <c r="T538" s="101"/>
      <c r="U538" s="101"/>
      <c r="V538" s="101"/>
      <c r="W538" s="101"/>
      <c r="X538" s="101"/>
      <c r="Y538" s="101"/>
      <c r="Z538" s="101"/>
      <c r="AA538" s="101"/>
      <c r="AB538" s="101"/>
      <c r="AC538" s="101"/>
      <c r="AD538" s="101"/>
    </row>
    <row r="539" ht="30.0" customHeight="1">
      <c r="A539" s="141"/>
      <c r="B539" s="101"/>
      <c r="C539" s="101"/>
      <c r="D539" s="101"/>
      <c r="E539" s="101"/>
      <c r="F539" s="101"/>
      <c r="G539" s="101"/>
      <c r="H539" s="101"/>
      <c r="I539" s="101"/>
      <c r="J539" s="142"/>
      <c r="K539" s="101"/>
      <c r="L539" s="101"/>
      <c r="M539" s="101"/>
      <c r="N539" s="101"/>
      <c r="O539" s="101"/>
      <c r="P539" s="101"/>
      <c r="Q539" s="101"/>
      <c r="R539" s="101"/>
      <c r="S539" s="101"/>
      <c r="T539" s="101"/>
      <c r="U539" s="101"/>
      <c r="V539" s="101"/>
      <c r="W539" s="101"/>
      <c r="X539" s="101"/>
      <c r="Y539" s="101"/>
      <c r="Z539" s="101"/>
      <c r="AA539" s="101"/>
      <c r="AB539" s="101"/>
      <c r="AC539" s="101"/>
      <c r="AD539" s="101"/>
    </row>
    <row r="540" ht="30.0" customHeight="1">
      <c r="A540" s="141"/>
      <c r="B540" s="101"/>
      <c r="C540" s="101"/>
      <c r="D540" s="101"/>
      <c r="E540" s="101"/>
      <c r="F540" s="101"/>
      <c r="G540" s="101"/>
      <c r="H540" s="101"/>
      <c r="I540" s="101"/>
      <c r="J540" s="142"/>
      <c r="K540" s="101"/>
      <c r="L540" s="101"/>
      <c r="M540" s="101"/>
      <c r="N540" s="101"/>
      <c r="O540" s="101"/>
      <c r="P540" s="101"/>
      <c r="Q540" s="101"/>
      <c r="R540" s="101"/>
      <c r="S540" s="101"/>
      <c r="T540" s="101"/>
      <c r="U540" s="101"/>
      <c r="V540" s="101"/>
      <c r="W540" s="101"/>
      <c r="X540" s="101"/>
      <c r="Y540" s="101"/>
      <c r="Z540" s="101"/>
      <c r="AA540" s="101"/>
      <c r="AB540" s="101"/>
      <c r="AC540" s="101"/>
      <c r="AD540" s="101"/>
    </row>
    <row r="541" ht="30.0" customHeight="1">
      <c r="A541" s="141"/>
      <c r="B541" s="101"/>
      <c r="C541" s="101"/>
      <c r="D541" s="101"/>
      <c r="E541" s="101"/>
      <c r="F541" s="101"/>
      <c r="G541" s="101"/>
      <c r="H541" s="101"/>
      <c r="I541" s="101"/>
      <c r="J541" s="142"/>
      <c r="K541" s="101"/>
      <c r="L541" s="101"/>
      <c r="M541" s="101"/>
      <c r="N541" s="101"/>
      <c r="O541" s="101"/>
      <c r="P541" s="101"/>
      <c r="Q541" s="101"/>
      <c r="R541" s="101"/>
      <c r="S541" s="101"/>
      <c r="T541" s="101"/>
      <c r="U541" s="101"/>
      <c r="V541" s="101"/>
      <c r="W541" s="101"/>
      <c r="X541" s="101"/>
      <c r="Y541" s="101"/>
      <c r="Z541" s="101"/>
      <c r="AA541" s="101"/>
      <c r="AB541" s="101"/>
      <c r="AC541" s="101"/>
      <c r="AD541" s="101"/>
    </row>
    <row r="542" ht="30.0" customHeight="1">
      <c r="A542" s="141"/>
      <c r="B542" s="101"/>
      <c r="C542" s="101"/>
      <c r="D542" s="101"/>
      <c r="E542" s="101"/>
      <c r="F542" s="101"/>
      <c r="G542" s="101"/>
      <c r="H542" s="101"/>
      <c r="I542" s="101"/>
      <c r="J542" s="142"/>
      <c r="K542" s="101"/>
      <c r="L542" s="101"/>
      <c r="M542" s="101"/>
      <c r="N542" s="101"/>
      <c r="O542" s="101"/>
      <c r="P542" s="101"/>
      <c r="Q542" s="101"/>
      <c r="R542" s="101"/>
      <c r="S542" s="101"/>
      <c r="T542" s="101"/>
      <c r="U542" s="101"/>
      <c r="V542" s="101"/>
      <c r="W542" s="101"/>
      <c r="X542" s="101"/>
      <c r="Y542" s="101"/>
      <c r="Z542" s="101"/>
      <c r="AA542" s="101"/>
      <c r="AB542" s="101"/>
      <c r="AC542" s="101"/>
      <c r="AD542" s="101"/>
    </row>
    <row r="543" ht="30.0" customHeight="1">
      <c r="A543" s="141"/>
      <c r="B543" s="101"/>
      <c r="C543" s="101"/>
      <c r="D543" s="101"/>
      <c r="E543" s="101"/>
      <c r="F543" s="101"/>
      <c r="G543" s="101"/>
      <c r="H543" s="101"/>
      <c r="I543" s="101"/>
      <c r="J543" s="142"/>
      <c r="K543" s="101"/>
      <c r="L543" s="101"/>
      <c r="M543" s="101"/>
      <c r="N543" s="101"/>
      <c r="O543" s="101"/>
      <c r="P543" s="101"/>
      <c r="Q543" s="101"/>
      <c r="R543" s="101"/>
      <c r="S543" s="101"/>
      <c r="T543" s="101"/>
      <c r="U543" s="101"/>
      <c r="V543" s="101"/>
      <c r="W543" s="101"/>
      <c r="X543" s="101"/>
      <c r="Y543" s="101"/>
      <c r="Z543" s="101"/>
      <c r="AA543" s="101"/>
      <c r="AB543" s="101"/>
      <c r="AC543" s="101"/>
      <c r="AD543" s="101"/>
    </row>
    <row r="544" ht="30.0" customHeight="1">
      <c r="A544" s="141"/>
      <c r="B544" s="101"/>
      <c r="C544" s="101"/>
      <c r="D544" s="101"/>
      <c r="E544" s="101"/>
      <c r="F544" s="101"/>
      <c r="G544" s="101"/>
      <c r="H544" s="101"/>
      <c r="I544" s="101"/>
      <c r="J544" s="142"/>
      <c r="K544" s="101"/>
      <c r="L544" s="101"/>
      <c r="M544" s="101"/>
      <c r="N544" s="101"/>
      <c r="O544" s="101"/>
      <c r="P544" s="101"/>
      <c r="Q544" s="101"/>
      <c r="R544" s="101"/>
      <c r="S544" s="101"/>
      <c r="T544" s="101"/>
      <c r="U544" s="101"/>
      <c r="V544" s="101"/>
      <c r="W544" s="101"/>
      <c r="X544" s="101"/>
      <c r="Y544" s="101"/>
      <c r="Z544" s="101"/>
      <c r="AA544" s="101"/>
      <c r="AB544" s="101"/>
      <c r="AC544" s="101"/>
      <c r="AD544" s="101"/>
    </row>
    <row r="545" ht="30.0" customHeight="1">
      <c r="A545" s="141"/>
      <c r="B545" s="101"/>
      <c r="C545" s="101"/>
      <c r="D545" s="101"/>
      <c r="E545" s="101"/>
      <c r="F545" s="101"/>
      <c r="G545" s="101"/>
      <c r="H545" s="101"/>
      <c r="I545" s="101"/>
      <c r="J545" s="142"/>
      <c r="K545" s="101"/>
      <c r="L545" s="101"/>
      <c r="M545" s="101"/>
      <c r="N545" s="101"/>
      <c r="O545" s="101"/>
      <c r="P545" s="101"/>
      <c r="Q545" s="101"/>
      <c r="R545" s="101"/>
      <c r="S545" s="101"/>
      <c r="T545" s="101"/>
      <c r="U545" s="101"/>
      <c r="V545" s="101"/>
      <c r="W545" s="101"/>
      <c r="X545" s="101"/>
      <c r="Y545" s="101"/>
      <c r="Z545" s="101"/>
      <c r="AA545" s="101"/>
      <c r="AB545" s="101"/>
      <c r="AC545" s="101"/>
      <c r="AD545" s="101"/>
    </row>
    <row r="546" ht="30.0" customHeight="1">
      <c r="A546" s="141"/>
      <c r="B546" s="101"/>
      <c r="C546" s="101"/>
      <c r="D546" s="101"/>
      <c r="E546" s="101"/>
      <c r="F546" s="101"/>
      <c r="G546" s="101"/>
      <c r="H546" s="101"/>
      <c r="I546" s="101"/>
      <c r="J546" s="142"/>
      <c r="K546" s="101"/>
      <c r="L546" s="101"/>
      <c r="M546" s="101"/>
      <c r="N546" s="101"/>
      <c r="O546" s="101"/>
      <c r="P546" s="101"/>
      <c r="Q546" s="101"/>
      <c r="R546" s="101"/>
      <c r="S546" s="101"/>
      <c r="T546" s="101"/>
      <c r="U546" s="101"/>
      <c r="V546" s="101"/>
      <c r="W546" s="101"/>
      <c r="X546" s="101"/>
      <c r="Y546" s="101"/>
      <c r="Z546" s="101"/>
      <c r="AA546" s="101"/>
      <c r="AB546" s="101"/>
      <c r="AC546" s="101"/>
      <c r="AD546" s="101"/>
    </row>
    <row r="547" ht="30.0" customHeight="1">
      <c r="A547" s="141"/>
      <c r="B547" s="101"/>
      <c r="C547" s="101"/>
      <c r="D547" s="101"/>
      <c r="E547" s="101"/>
      <c r="F547" s="101"/>
      <c r="G547" s="101"/>
      <c r="H547" s="101"/>
      <c r="I547" s="101"/>
      <c r="J547" s="142"/>
      <c r="K547" s="101"/>
      <c r="L547" s="101"/>
      <c r="M547" s="101"/>
      <c r="N547" s="101"/>
      <c r="O547" s="101"/>
      <c r="P547" s="101"/>
      <c r="Q547" s="101"/>
      <c r="R547" s="101"/>
      <c r="S547" s="101"/>
      <c r="T547" s="101"/>
      <c r="U547" s="101"/>
      <c r="V547" s="101"/>
      <c r="W547" s="101"/>
      <c r="X547" s="101"/>
      <c r="Y547" s="101"/>
      <c r="Z547" s="101"/>
      <c r="AA547" s="101"/>
      <c r="AB547" s="101"/>
      <c r="AC547" s="101"/>
      <c r="AD547" s="101"/>
    </row>
    <row r="548" ht="30.0" customHeight="1">
      <c r="A548" s="141"/>
      <c r="B548" s="101"/>
      <c r="C548" s="101"/>
      <c r="D548" s="101"/>
      <c r="E548" s="101"/>
      <c r="F548" s="101"/>
      <c r="G548" s="101"/>
      <c r="H548" s="101"/>
      <c r="I548" s="101"/>
      <c r="J548" s="142"/>
      <c r="K548" s="101"/>
      <c r="L548" s="101"/>
      <c r="M548" s="101"/>
      <c r="N548" s="101"/>
      <c r="O548" s="101"/>
      <c r="P548" s="101"/>
      <c r="Q548" s="101"/>
      <c r="R548" s="101"/>
      <c r="S548" s="101"/>
      <c r="T548" s="101"/>
      <c r="U548" s="101"/>
      <c r="V548" s="101"/>
      <c r="W548" s="101"/>
      <c r="X548" s="101"/>
      <c r="Y548" s="101"/>
      <c r="Z548" s="101"/>
      <c r="AA548" s="101"/>
      <c r="AB548" s="101"/>
      <c r="AC548" s="101"/>
      <c r="AD548" s="101"/>
    </row>
    <row r="549" ht="30.0" customHeight="1">
      <c r="A549" s="141"/>
      <c r="B549" s="101"/>
      <c r="C549" s="101"/>
      <c r="D549" s="101"/>
      <c r="E549" s="101"/>
      <c r="F549" s="101"/>
      <c r="G549" s="101"/>
      <c r="H549" s="101"/>
      <c r="I549" s="101"/>
      <c r="J549" s="142"/>
      <c r="K549" s="101"/>
      <c r="L549" s="101"/>
      <c r="M549" s="101"/>
      <c r="N549" s="101"/>
      <c r="O549" s="101"/>
      <c r="P549" s="101"/>
      <c r="Q549" s="101"/>
      <c r="R549" s="101"/>
      <c r="S549" s="101"/>
      <c r="T549" s="101"/>
      <c r="U549" s="101"/>
      <c r="V549" s="101"/>
      <c r="W549" s="101"/>
      <c r="X549" s="101"/>
      <c r="Y549" s="101"/>
      <c r="Z549" s="101"/>
      <c r="AA549" s="101"/>
      <c r="AB549" s="101"/>
      <c r="AC549" s="101"/>
      <c r="AD549" s="101"/>
    </row>
    <row r="550" ht="30.0" customHeight="1">
      <c r="A550" s="141"/>
      <c r="B550" s="101"/>
      <c r="C550" s="101"/>
      <c r="D550" s="101"/>
      <c r="E550" s="101"/>
      <c r="F550" s="101"/>
      <c r="G550" s="101"/>
      <c r="H550" s="101"/>
      <c r="I550" s="101"/>
      <c r="J550" s="142"/>
      <c r="K550" s="101"/>
      <c r="L550" s="101"/>
      <c r="M550" s="101"/>
      <c r="N550" s="101"/>
      <c r="O550" s="101"/>
      <c r="P550" s="101"/>
      <c r="Q550" s="101"/>
      <c r="R550" s="101"/>
      <c r="S550" s="101"/>
      <c r="T550" s="101"/>
      <c r="U550" s="101"/>
      <c r="V550" s="101"/>
      <c r="W550" s="101"/>
      <c r="X550" s="101"/>
      <c r="Y550" s="101"/>
      <c r="Z550" s="101"/>
      <c r="AA550" s="101"/>
      <c r="AB550" s="101"/>
      <c r="AC550" s="101"/>
      <c r="AD550" s="101"/>
    </row>
    <row r="551" ht="30.0" customHeight="1">
      <c r="A551" s="141"/>
      <c r="B551" s="101"/>
      <c r="C551" s="101"/>
      <c r="D551" s="101"/>
      <c r="E551" s="101"/>
      <c r="F551" s="101"/>
      <c r="G551" s="101"/>
      <c r="H551" s="101"/>
      <c r="I551" s="101"/>
      <c r="J551" s="142"/>
      <c r="K551" s="101"/>
      <c r="L551" s="101"/>
      <c r="M551" s="101"/>
      <c r="N551" s="101"/>
      <c r="O551" s="101"/>
      <c r="P551" s="101"/>
      <c r="Q551" s="101"/>
      <c r="R551" s="101"/>
      <c r="S551" s="101"/>
      <c r="T551" s="101"/>
      <c r="U551" s="101"/>
      <c r="V551" s="101"/>
      <c r="W551" s="101"/>
      <c r="X551" s="101"/>
      <c r="Y551" s="101"/>
      <c r="Z551" s="101"/>
      <c r="AA551" s="101"/>
      <c r="AB551" s="101"/>
      <c r="AC551" s="101"/>
      <c r="AD551" s="101"/>
    </row>
    <row r="552" ht="30.0" customHeight="1">
      <c r="A552" s="141"/>
      <c r="B552" s="101"/>
      <c r="C552" s="101"/>
      <c r="D552" s="101"/>
      <c r="E552" s="101"/>
      <c r="F552" s="101"/>
      <c r="G552" s="101"/>
      <c r="H552" s="101"/>
      <c r="I552" s="101"/>
      <c r="J552" s="142"/>
      <c r="K552" s="101"/>
      <c r="L552" s="101"/>
      <c r="M552" s="101"/>
      <c r="N552" s="101"/>
      <c r="O552" s="101"/>
      <c r="P552" s="101"/>
      <c r="Q552" s="101"/>
      <c r="R552" s="101"/>
      <c r="S552" s="101"/>
      <c r="T552" s="101"/>
      <c r="U552" s="101"/>
      <c r="V552" s="101"/>
      <c r="W552" s="101"/>
      <c r="X552" s="101"/>
      <c r="Y552" s="101"/>
      <c r="Z552" s="101"/>
      <c r="AA552" s="101"/>
      <c r="AB552" s="101"/>
      <c r="AC552" s="101"/>
      <c r="AD552" s="101"/>
    </row>
    <row r="553" ht="30.0" customHeight="1">
      <c r="A553" s="141"/>
      <c r="B553" s="101"/>
      <c r="C553" s="101"/>
      <c r="D553" s="101"/>
      <c r="E553" s="101"/>
      <c r="F553" s="101"/>
      <c r="G553" s="101"/>
      <c r="H553" s="101"/>
      <c r="I553" s="101"/>
      <c r="J553" s="142"/>
      <c r="K553" s="101"/>
      <c r="L553" s="101"/>
      <c r="M553" s="101"/>
      <c r="N553" s="101"/>
      <c r="O553" s="101"/>
      <c r="P553" s="101"/>
      <c r="Q553" s="101"/>
      <c r="R553" s="101"/>
      <c r="S553" s="101"/>
      <c r="T553" s="101"/>
      <c r="U553" s="101"/>
      <c r="V553" s="101"/>
      <c r="W553" s="101"/>
      <c r="X553" s="101"/>
      <c r="Y553" s="101"/>
      <c r="Z553" s="101"/>
      <c r="AA553" s="101"/>
      <c r="AB553" s="101"/>
      <c r="AC553" s="101"/>
      <c r="AD553" s="101"/>
    </row>
    <row r="554" ht="30.0" customHeight="1">
      <c r="A554" s="141"/>
      <c r="B554" s="101"/>
      <c r="C554" s="101"/>
      <c r="D554" s="101"/>
      <c r="E554" s="101"/>
      <c r="F554" s="101"/>
      <c r="G554" s="101"/>
      <c r="H554" s="101"/>
      <c r="I554" s="101"/>
      <c r="J554" s="142"/>
      <c r="K554" s="101"/>
      <c r="L554" s="101"/>
      <c r="M554" s="101"/>
      <c r="N554" s="101"/>
      <c r="O554" s="101"/>
      <c r="P554" s="101"/>
      <c r="Q554" s="101"/>
      <c r="R554" s="101"/>
      <c r="S554" s="101"/>
      <c r="T554" s="101"/>
      <c r="U554" s="101"/>
      <c r="V554" s="101"/>
      <c r="W554" s="101"/>
      <c r="X554" s="101"/>
      <c r="Y554" s="101"/>
      <c r="Z554" s="101"/>
      <c r="AA554" s="101"/>
      <c r="AB554" s="101"/>
      <c r="AC554" s="101"/>
      <c r="AD554" s="101"/>
    </row>
    <row r="555" ht="30.0" customHeight="1">
      <c r="A555" s="141"/>
      <c r="B555" s="101"/>
      <c r="C555" s="101"/>
      <c r="D555" s="101"/>
      <c r="E555" s="101"/>
      <c r="F555" s="101"/>
      <c r="G555" s="101"/>
      <c r="H555" s="101"/>
      <c r="I555" s="101"/>
      <c r="J555" s="142"/>
      <c r="K555" s="101"/>
      <c r="L555" s="101"/>
      <c r="M555" s="101"/>
      <c r="N555" s="101"/>
      <c r="O555" s="101"/>
      <c r="P555" s="101"/>
      <c r="Q555" s="101"/>
      <c r="R555" s="101"/>
      <c r="S555" s="101"/>
      <c r="T555" s="101"/>
      <c r="U555" s="101"/>
      <c r="V555" s="101"/>
      <c r="W555" s="101"/>
      <c r="X555" s="101"/>
      <c r="Y555" s="101"/>
      <c r="Z555" s="101"/>
      <c r="AA555" s="101"/>
      <c r="AB555" s="101"/>
      <c r="AC555" s="101"/>
      <c r="AD555" s="101"/>
    </row>
    <row r="556" ht="30.0" customHeight="1">
      <c r="A556" s="141"/>
      <c r="B556" s="101"/>
      <c r="C556" s="101"/>
      <c r="D556" s="101"/>
      <c r="E556" s="101"/>
      <c r="F556" s="101"/>
      <c r="G556" s="101"/>
      <c r="H556" s="101"/>
      <c r="I556" s="101"/>
      <c r="J556" s="142"/>
      <c r="K556" s="101"/>
      <c r="L556" s="101"/>
      <c r="M556" s="101"/>
      <c r="N556" s="101"/>
      <c r="O556" s="101"/>
      <c r="P556" s="101"/>
      <c r="Q556" s="101"/>
      <c r="R556" s="101"/>
      <c r="S556" s="101"/>
      <c r="T556" s="101"/>
      <c r="U556" s="101"/>
      <c r="V556" s="101"/>
      <c r="W556" s="101"/>
      <c r="X556" s="101"/>
      <c r="Y556" s="101"/>
      <c r="Z556" s="101"/>
      <c r="AA556" s="101"/>
      <c r="AB556" s="101"/>
      <c r="AC556" s="101"/>
      <c r="AD556" s="101"/>
    </row>
    <row r="557" ht="30.0" customHeight="1">
      <c r="A557" s="141"/>
      <c r="B557" s="101"/>
      <c r="C557" s="101"/>
      <c r="D557" s="101"/>
      <c r="E557" s="101"/>
      <c r="F557" s="101"/>
      <c r="G557" s="101"/>
      <c r="H557" s="101"/>
      <c r="I557" s="101"/>
      <c r="J557" s="142"/>
      <c r="K557" s="101"/>
      <c r="L557" s="101"/>
      <c r="M557" s="101"/>
      <c r="N557" s="101"/>
      <c r="O557" s="101"/>
      <c r="P557" s="101"/>
      <c r="Q557" s="101"/>
      <c r="R557" s="101"/>
      <c r="S557" s="101"/>
      <c r="T557" s="101"/>
      <c r="U557" s="101"/>
      <c r="V557" s="101"/>
      <c r="W557" s="101"/>
      <c r="X557" s="101"/>
      <c r="Y557" s="101"/>
      <c r="Z557" s="101"/>
      <c r="AA557" s="101"/>
      <c r="AB557" s="101"/>
      <c r="AC557" s="101"/>
      <c r="AD557" s="101"/>
    </row>
    <row r="558" ht="30.0" customHeight="1">
      <c r="A558" s="141"/>
      <c r="B558" s="101"/>
      <c r="C558" s="101"/>
      <c r="D558" s="101"/>
      <c r="E558" s="101"/>
      <c r="F558" s="101"/>
      <c r="G558" s="101"/>
      <c r="H558" s="101"/>
      <c r="I558" s="101"/>
      <c r="J558" s="142"/>
      <c r="K558" s="101"/>
      <c r="L558" s="101"/>
      <c r="M558" s="101"/>
      <c r="N558" s="101"/>
      <c r="O558" s="101"/>
      <c r="P558" s="101"/>
      <c r="Q558" s="101"/>
      <c r="R558" s="101"/>
      <c r="S558" s="101"/>
      <c r="T558" s="101"/>
      <c r="U558" s="101"/>
      <c r="V558" s="101"/>
      <c r="W558" s="101"/>
      <c r="X558" s="101"/>
      <c r="Y558" s="101"/>
      <c r="Z558" s="101"/>
      <c r="AA558" s="101"/>
      <c r="AB558" s="101"/>
      <c r="AC558" s="101"/>
      <c r="AD558" s="101"/>
    </row>
    <row r="559" ht="30.0" customHeight="1">
      <c r="A559" s="141"/>
      <c r="B559" s="101"/>
      <c r="C559" s="101"/>
      <c r="D559" s="101"/>
      <c r="E559" s="101"/>
      <c r="F559" s="101"/>
      <c r="G559" s="101"/>
      <c r="H559" s="101"/>
      <c r="I559" s="101"/>
      <c r="J559" s="142"/>
      <c r="K559" s="101"/>
      <c r="L559" s="101"/>
      <c r="M559" s="101"/>
      <c r="N559" s="101"/>
      <c r="O559" s="101"/>
      <c r="P559" s="101"/>
      <c r="Q559" s="101"/>
      <c r="R559" s="101"/>
      <c r="S559" s="101"/>
      <c r="T559" s="101"/>
      <c r="U559" s="101"/>
      <c r="V559" s="101"/>
      <c r="W559" s="101"/>
      <c r="X559" s="101"/>
      <c r="Y559" s="101"/>
      <c r="Z559" s="101"/>
      <c r="AA559" s="101"/>
      <c r="AB559" s="101"/>
      <c r="AC559" s="101"/>
      <c r="AD559" s="101"/>
    </row>
    <row r="560" ht="30.0" customHeight="1">
      <c r="A560" s="141"/>
      <c r="B560" s="101"/>
      <c r="C560" s="101"/>
      <c r="D560" s="101"/>
      <c r="E560" s="101"/>
      <c r="F560" s="101"/>
      <c r="G560" s="101"/>
      <c r="H560" s="101"/>
      <c r="I560" s="101"/>
      <c r="J560" s="142"/>
      <c r="K560" s="101"/>
      <c r="L560" s="101"/>
      <c r="M560" s="101"/>
      <c r="N560" s="101"/>
      <c r="O560" s="101"/>
      <c r="P560" s="101"/>
      <c r="Q560" s="101"/>
      <c r="R560" s="101"/>
      <c r="S560" s="101"/>
      <c r="T560" s="101"/>
      <c r="U560" s="101"/>
      <c r="V560" s="101"/>
      <c r="W560" s="101"/>
      <c r="X560" s="101"/>
      <c r="Y560" s="101"/>
      <c r="Z560" s="101"/>
      <c r="AA560" s="101"/>
      <c r="AB560" s="101"/>
      <c r="AC560" s="101"/>
      <c r="AD560" s="101"/>
    </row>
    <row r="561" ht="30.0" customHeight="1">
      <c r="A561" s="141"/>
      <c r="B561" s="101"/>
      <c r="C561" s="101"/>
      <c r="D561" s="101"/>
      <c r="E561" s="101"/>
      <c r="F561" s="101"/>
      <c r="G561" s="101"/>
      <c r="H561" s="101"/>
      <c r="I561" s="101"/>
      <c r="J561" s="142"/>
      <c r="K561" s="101"/>
      <c r="L561" s="101"/>
      <c r="M561" s="101"/>
      <c r="N561" s="101"/>
      <c r="O561" s="101"/>
      <c r="P561" s="101"/>
      <c r="Q561" s="101"/>
      <c r="R561" s="101"/>
      <c r="S561" s="101"/>
      <c r="T561" s="101"/>
      <c r="U561" s="101"/>
      <c r="V561" s="101"/>
      <c r="W561" s="101"/>
      <c r="X561" s="101"/>
      <c r="Y561" s="101"/>
      <c r="Z561" s="101"/>
      <c r="AA561" s="101"/>
      <c r="AB561" s="101"/>
      <c r="AC561" s="101"/>
      <c r="AD561" s="101"/>
    </row>
    <row r="562" ht="30.0" customHeight="1">
      <c r="A562" s="141"/>
      <c r="B562" s="101"/>
      <c r="C562" s="101"/>
      <c r="D562" s="101"/>
      <c r="E562" s="101"/>
      <c r="F562" s="101"/>
      <c r="G562" s="101"/>
      <c r="H562" s="101"/>
      <c r="I562" s="101"/>
      <c r="J562" s="142"/>
      <c r="K562" s="101"/>
      <c r="L562" s="101"/>
      <c r="M562" s="101"/>
      <c r="N562" s="101"/>
      <c r="O562" s="101"/>
      <c r="P562" s="101"/>
      <c r="Q562" s="101"/>
      <c r="R562" s="101"/>
      <c r="S562" s="101"/>
      <c r="T562" s="101"/>
      <c r="U562" s="101"/>
      <c r="V562" s="101"/>
      <c r="W562" s="101"/>
      <c r="X562" s="101"/>
      <c r="Y562" s="101"/>
      <c r="Z562" s="101"/>
      <c r="AA562" s="101"/>
      <c r="AB562" s="101"/>
      <c r="AC562" s="101"/>
      <c r="AD562" s="101"/>
    </row>
    <row r="563" ht="30.0" customHeight="1">
      <c r="A563" s="141"/>
      <c r="B563" s="101"/>
      <c r="C563" s="101"/>
      <c r="D563" s="101"/>
      <c r="E563" s="101"/>
      <c r="F563" s="101"/>
      <c r="G563" s="101"/>
      <c r="H563" s="101"/>
      <c r="I563" s="101"/>
      <c r="J563" s="142"/>
      <c r="K563" s="101"/>
      <c r="L563" s="101"/>
      <c r="M563" s="101"/>
      <c r="N563" s="101"/>
      <c r="O563" s="101"/>
      <c r="P563" s="101"/>
      <c r="Q563" s="101"/>
      <c r="R563" s="101"/>
      <c r="S563" s="101"/>
      <c r="T563" s="101"/>
      <c r="U563" s="101"/>
      <c r="V563" s="101"/>
      <c r="W563" s="101"/>
      <c r="X563" s="101"/>
      <c r="Y563" s="101"/>
      <c r="Z563" s="101"/>
      <c r="AA563" s="101"/>
      <c r="AB563" s="101"/>
      <c r="AC563" s="101"/>
      <c r="AD563" s="101"/>
    </row>
    <row r="564" ht="30.0" customHeight="1">
      <c r="A564" s="141"/>
      <c r="B564" s="101"/>
      <c r="C564" s="101"/>
      <c r="D564" s="101"/>
      <c r="E564" s="101"/>
      <c r="F564" s="101"/>
      <c r="G564" s="101"/>
      <c r="H564" s="101"/>
      <c r="I564" s="101"/>
      <c r="J564" s="142"/>
      <c r="K564" s="101"/>
      <c r="L564" s="101"/>
      <c r="M564" s="101"/>
      <c r="N564" s="101"/>
      <c r="O564" s="101"/>
      <c r="P564" s="101"/>
      <c r="Q564" s="101"/>
      <c r="R564" s="101"/>
      <c r="S564" s="101"/>
      <c r="T564" s="101"/>
      <c r="U564" s="101"/>
      <c r="V564" s="101"/>
      <c r="W564" s="101"/>
      <c r="X564" s="101"/>
      <c r="Y564" s="101"/>
      <c r="Z564" s="101"/>
      <c r="AA564" s="101"/>
      <c r="AB564" s="101"/>
      <c r="AC564" s="101"/>
      <c r="AD564" s="101"/>
    </row>
    <row r="565" ht="30.0" customHeight="1">
      <c r="A565" s="141"/>
      <c r="B565" s="101"/>
      <c r="C565" s="101"/>
      <c r="D565" s="101"/>
      <c r="E565" s="101"/>
      <c r="F565" s="101"/>
      <c r="G565" s="101"/>
      <c r="H565" s="101"/>
      <c r="I565" s="101"/>
      <c r="J565" s="142"/>
      <c r="K565" s="101"/>
      <c r="L565" s="101"/>
      <c r="M565" s="101"/>
      <c r="N565" s="101"/>
      <c r="O565" s="101"/>
      <c r="P565" s="101"/>
      <c r="Q565" s="101"/>
      <c r="R565" s="101"/>
      <c r="S565" s="101"/>
      <c r="T565" s="101"/>
      <c r="U565" s="101"/>
      <c r="V565" s="101"/>
      <c r="W565" s="101"/>
      <c r="X565" s="101"/>
      <c r="Y565" s="101"/>
      <c r="Z565" s="101"/>
      <c r="AA565" s="101"/>
      <c r="AB565" s="101"/>
      <c r="AC565" s="101"/>
      <c r="AD565" s="101"/>
    </row>
    <row r="566" ht="30.0" customHeight="1">
      <c r="A566" s="141"/>
      <c r="B566" s="101"/>
      <c r="C566" s="101"/>
      <c r="D566" s="101"/>
      <c r="E566" s="101"/>
      <c r="F566" s="101"/>
      <c r="G566" s="101"/>
      <c r="H566" s="101"/>
      <c r="I566" s="101"/>
      <c r="J566" s="142"/>
      <c r="K566" s="101"/>
      <c r="L566" s="101"/>
      <c r="M566" s="101"/>
      <c r="N566" s="101"/>
      <c r="O566" s="101"/>
      <c r="P566" s="101"/>
      <c r="Q566" s="101"/>
      <c r="R566" s="101"/>
      <c r="S566" s="101"/>
      <c r="T566" s="101"/>
      <c r="U566" s="101"/>
      <c r="V566" s="101"/>
      <c r="W566" s="101"/>
      <c r="X566" s="101"/>
      <c r="Y566" s="101"/>
      <c r="Z566" s="101"/>
      <c r="AA566" s="101"/>
      <c r="AB566" s="101"/>
      <c r="AC566" s="101"/>
      <c r="AD566" s="101"/>
    </row>
    <row r="567" ht="30.0" customHeight="1">
      <c r="A567" s="141"/>
      <c r="B567" s="101"/>
      <c r="C567" s="101"/>
      <c r="D567" s="101"/>
      <c r="E567" s="101"/>
      <c r="F567" s="101"/>
      <c r="G567" s="101"/>
      <c r="H567" s="101"/>
      <c r="I567" s="101"/>
      <c r="J567" s="142"/>
      <c r="K567" s="101"/>
      <c r="L567" s="101"/>
      <c r="M567" s="101"/>
      <c r="N567" s="101"/>
      <c r="O567" s="101"/>
      <c r="P567" s="101"/>
      <c r="Q567" s="101"/>
      <c r="R567" s="101"/>
      <c r="S567" s="101"/>
      <c r="T567" s="101"/>
      <c r="U567" s="101"/>
      <c r="V567" s="101"/>
      <c r="W567" s="101"/>
      <c r="X567" s="101"/>
      <c r="Y567" s="101"/>
      <c r="Z567" s="101"/>
      <c r="AA567" s="101"/>
      <c r="AB567" s="101"/>
      <c r="AC567" s="101"/>
      <c r="AD567" s="101"/>
    </row>
    <row r="568" ht="30.0" customHeight="1">
      <c r="A568" s="141"/>
      <c r="B568" s="101"/>
      <c r="C568" s="101"/>
      <c r="D568" s="101"/>
      <c r="E568" s="101"/>
      <c r="F568" s="101"/>
      <c r="G568" s="101"/>
      <c r="H568" s="101"/>
      <c r="I568" s="101"/>
      <c r="J568" s="142"/>
      <c r="K568" s="101"/>
      <c r="L568" s="101"/>
      <c r="M568" s="101"/>
      <c r="N568" s="101"/>
      <c r="O568" s="101"/>
      <c r="P568" s="101"/>
      <c r="Q568" s="101"/>
      <c r="R568" s="101"/>
      <c r="S568" s="101"/>
      <c r="T568" s="101"/>
      <c r="U568" s="101"/>
      <c r="V568" s="101"/>
      <c r="W568" s="101"/>
      <c r="X568" s="101"/>
      <c r="Y568" s="101"/>
      <c r="Z568" s="101"/>
      <c r="AA568" s="101"/>
      <c r="AB568" s="101"/>
      <c r="AC568" s="101"/>
      <c r="AD568" s="101"/>
    </row>
    <row r="569" ht="30.0" customHeight="1">
      <c r="A569" s="141"/>
      <c r="B569" s="101"/>
      <c r="C569" s="101"/>
      <c r="D569" s="101"/>
      <c r="E569" s="101"/>
      <c r="F569" s="101"/>
      <c r="G569" s="101"/>
      <c r="H569" s="101"/>
      <c r="I569" s="101"/>
      <c r="J569" s="142"/>
      <c r="K569" s="101"/>
      <c r="L569" s="101"/>
      <c r="M569" s="101"/>
      <c r="N569" s="101"/>
      <c r="O569" s="101"/>
      <c r="P569" s="101"/>
      <c r="Q569" s="101"/>
      <c r="R569" s="101"/>
      <c r="S569" s="101"/>
      <c r="T569" s="101"/>
      <c r="U569" s="101"/>
      <c r="V569" s="101"/>
      <c r="W569" s="101"/>
      <c r="X569" s="101"/>
      <c r="Y569" s="101"/>
      <c r="Z569" s="101"/>
      <c r="AA569" s="101"/>
      <c r="AB569" s="101"/>
      <c r="AC569" s="101"/>
      <c r="AD569" s="101"/>
    </row>
    <row r="570" ht="30.0" customHeight="1">
      <c r="A570" s="141"/>
      <c r="B570" s="101"/>
      <c r="C570" s="101"/>
      <c r="D570" s="101"/>
      <c r="E570" s="101"/>
      <c r="F570" s="101"/>
      <c r="G570" s="101"/>
      <c r="H570" s="101"/>
      <c r="I570" s="101"/>
      <c r="J570" s="142"/>
      <c r="K570" s="101"/>
      <c r="L570" s="101"/>
      <c r="M570" s="101"/>
      <c r="N570" s="101"/>
      <c r="O570" s="101"/>
      <c r="P570" s="101"/>
      <c r="Q570" s="101"/>
      <c r="R570" s="101"/>
      <c r="S570" s="101"/>
      <c r="T570" s="101"/>
      <c r="U570" s="101"/>
      <c r="V570" s="101"/>
      <c r="W570" s="101"/>
      <c r="X570" s="101"/>
      <c r="Y570" s="101"/>
      <c r="Z570" s="101"/>
      <c r="AA570" s="101"/>
      <c r="AB570" s="101"/>
      <c r="AC570" s="101"/>
      <c r="AD570" s="101"/>
    </row>
    <row r="571" ht="30.0" customHeight="1">
      <c r="A571" s="141"/>
      <c r="B571" s="101"/>
      <c r="C571" s="101"/>
      <c r="D571" s="101"/>
      <c r="E571" s="101"/>
      <c r="F571" s="101"/>
      <c r="G571" s="101"/>
      <c r="H571" s="101"/>
      <c r="I571" s="101"/>
      <c r="J571" s="142"/>
      <c r="K571" s="101"/>
      <c r="L571" s="101"/>
      <c r="M571" s="101"/>
      <c r="N571" s="101"/>
      <c r="O571" s="101"/>
      <c r="P571" s="101"/>
      <c r="Q571" s="101"/>
      <c r="R571" s="101"/>
      <c r="S571" s="101"/>
      <c r="T571" s="101"/>
      <c r="U571" s="101"/>
      <c r="V571" s="101"/>
      <c r="W571" s="101"/>
      <c r="X571" s="101"/>
      <c r="Y571" s="101"/>
      <c r="Z571" s="101"/>
      <c r="AA571" s="101"/>
      <c r="AB571" s="101"/>
      <c r="AC571" s="101"/>
      <c r="AD571" s="101"/>
    </row>
    <row r="572" ht="30.0" customHeight="1">
      <c r="A572" s="141"/>
      <c r="B572" s="101"/>
      <c r="C572" s="101"/>
      <c r="D572" s="101"/>
      <c r="E572" s="101"/>
      <c r="F572" s="101"/>
      <c r="G572" s="101"/>
      <c r="H572" s="101"/>
      <c r="I572" s="101"/>
      <c r="J572" s="142"/>
      <c r="K572" s="101"/>
      <c r="L572" s="101"/>
      <c r="M572" s="101"/>
      <c r="N572" s="101"/>
      <c r="O572" s="101"/>
      <c r="P572" s="101"/>
      <c r="Q572" s="101"/>
      <c r="R572" s="101"/>
      <c r="S572" s="101"/>
      <c r="T572" s="101"/>
      <c r="U572" s="101"/>
      <c r="V572" s="101"/>
      <c r="W572" s="101"/>
      <c r="X572" s="101"/>
      <c r="Y572" s="101"/>
      <c r="Z572" s="101"/>
      <c r="AA572" s="101"/>
      <c r="AB572" s="101"/>
      <c r="AC572" s="101"/>
      <c r="AD572" s="101"/>
    </row>
    <row r="573" ht="30.0" customHeight="1">
      <c r="A573" s="141"/>
      <c r="B573" s="101"/>
      <c r="C573" s="101"/>
      <c r="D573" s="101"/>
      <c r="E573" s="101"/>
      <c r="F573" s="101"/>
      <c r="G573" s="101"/>
      <c r="H573" s="101"/>
      <c r="I573" s="101"/>
      <c r="J573" s="142"/>
      <c r="K573" s="101"/>
      <c r="L573" s="101"/>
      <c r="M573" s="101"/>
      <c r="N573" s="101"/>
      <c r="O573" s="101"/>
      <c r="P573" s="101"/>
      <c r="Q573" s="101"/>
      <c r="R573" s="101"/>
      <c r="S573" s="101"/>
      <c r="T573" s="101"/>
      <c r="U573" s="101"/>
      <c r="V573" s="101"/>
      <c r="W573" s="101"/>
      <c r="X573" s="101"/>
      <c r="Y573" s="101"/>
      <c r="Z573" s="101"/>
      <c r="AA573" s="101"/>
      <c r="AB573" s="101"/>
      <c r="AC573" s="101"/>
      <c r="AD573" s="101"/>
    </row>
    <row r="574" ht="30.0" customHeight="1">
      <c r="A574" s="141"/>
      <c r="B574" s="101"/>
      <c r="C574" s="101"/>
      <c r="D574" s="101"/>
      <c r="E574" s="101"/>
      <c r="F574" s="101"/>
      <c r="G574" s="101"/>
      <c r="H574" s="101"/>
      <c r="I574" s="101"/>
      <c r="J574" s="142"/>
      <c r="K574" s="101"/>
      <c r="L574" s="101"/>
      <c r="M574" s="101"/>
      <c r="N574" s="101"/>
      <c r="O574" s="101"/>
      <c r="P574" s="101"/>
      <c r="Q574" s="101"/>
      <c r="R574" s="101"/>
      <c r="S574" s="101"/>
      <c r="T574" s="101"/>
      <c r="U574" s="101"/>
      <c r="V574" s="101"/>
      <c r="W574" s="101"/>
      <c r="X574" s="101"/>
      <c r="Y574" s="101"/>
      <c r="Z574" s="101"/>
      <c r="AA574" s="101"/>
      <c r="AB574" s="101"/>
      <c r="AC574" s="101"/>
      <c r="AD574" s="101"/>
    </row>
    <row r="575" ht="30.0" customHeight="1">
      <c r="A575" s="141"/>
      <c r="B575" s="101"/>
      <c r="C575" s="101"/>
      <c r="D575" s="101"/>
      <c r="E575" s="101"/>
      <c r="F575" s="101"/>
      <c r="G575" s="101"/>
      <c r="H575" s="101"/>
      <c r="I575" s="101"/>
      <c r="J575" s="142"/>
      <c r="K575" s="101"/>
      <c r="L575" s="101"/>
      <c r="M575" s="101"/>
      <c r="N575" s="101"/>
      <c r="O575" s="101"/>
      <c r="P575" s="101"/>
      <c r="Q575" s="101"/>
      <c r="R575" s="101"/>
      <c r="S575" s="101"/>
      <c r="T575" s="101"/>
      <c r="U575" s="101"/>
      <c r="V575" s="101"/>
      <c r="W575" s="101"/>
      <c r="X575" s="101"/>
      <c r="Y575" s="101"/>
      <c r="Z575" s="101"/>
      <c r="AA575" s="101"/>
      <c r="AB575" s="101"/>
      <c r="AC575" s="101"/>
      <c r="AD575" s="101"/>
    </row>
    <row r="576" ht="30.0" customHeight="1">
      <c r="A576" s="141"/>
      <c r="B576" s="101"/>
      <c r="C576" s="101"/>
      <c r="D576" s="101"/>
      <c r="E576" s="101"/>
      <c r="F576" s="101"/>
      <c r="G576" s="101"/>
      <c r="H576" s="101"/>
      <c r="I576" s="101"/>
      <c r="J576" s="142"/>
      <c r="K576" s="101"/>
      <c r="L576" s="101"/>
      <c r="M576" s="101"/>
      <c r="N576" s="101"/>
      <c r="O576" s="101"/>
      <c r="P576" s="101"/>
      <c r="Q576" s="101"/>
      <c r="R576" s="101"/>
      <c r="S576" s="101"/>
      <c r="T576" s="101"/>
      <c r="U576" s="101"/>
      <c r="V576" s="101"/>
      <c r="W576" s="101"/>
      <c r="X576" s="101"/>
      <c r="Y576" s="101"/>
      <c r="Z576" s="101"/>
      <c r="AA576" s="101"/>
      <c r="AB576" s="101"/>
      <c r="AC576" s="101"/>
      <c r="AD576" s="101"/>
    </row>
    <row r="577" ht="30.0" customHeight="1">
      <c r="A577" s="141"/>
      <c r="B577" s="101"/>
      <c r="C577" s="101"/>
      <c r="D577" s="101"/>
      <c r="E577" s="101"/>
      <c r="F577" s="101"/>
      <c r="G577" s="101"/>
      <c r="H577" s="101"/>
      <c r="I577" s="101"/>
      <c r="J577" s="142"/>
      <c r="K577" s="101"/>
      <c r="L577" s="101"/>
      <c r="M577" s="101"/>
      <c r="N577" s="101"/>
      <c r="O577" s="101"/>
      <c r="P577" s="101"/>
      <c r="Q577" s="101"/>
      <c r="R577" s="101"/>
      <c r="S577" s="101"/>
      <c r="T577" s="101"/>
      <c r="U577" s="101"/>
      <c r="V577" s="101"/>
      <c r="W577" s="101"/>
      <c r="X577" s="101"/>
      <c r="Y577" s="101"/>
      <c r="Z577" s="101"/>
      <c r="AA577" s="101"/>
      <c r="AB577" s="101"/>
      <c r="AC577" s="101"/>
      <c r="AD577" s="101"/>
    </row>
    <row r="578" ht="30.0" customHeight="1">
      <c r="A578" s="141"/>
      <c r="B578" s="101"/>
      <c r="C578" s="101"/>
      <c r="D578" s="101"/>
      <c r="E578" s="101"/>
      <c r="F578" s="101"/>
      <c r="G578" s="101"/>
      <c r="H578" s="101"/>
      <c r="I578" s="101"/>
      <c r="J578" s="142"/>
      <c r="K578" s="101"/>
      <c r="L578" s="101"/>
      <c r="M578" s="101"/>
      <c r="N578" s="101"/>
      <c r="O578" s="101"/>
      <c r="P578" s="101"/>
      <c r="Q578" s="101"/>
      <c r="R578" s="101"/>
      <c r="S578" s="101"/>
      <c r="T578" s="101"/>
      <c r="U578" s="101"/>
      <c r="V578" s="101"/>
      <c r="W578" s="101"/>
      <c r="X578" s="101"/>
      <c r="Y578" s="101"/>
      <c r="Z578" s="101"/>
      <c r="AA578" s="101"/>
      <c r="AB578" s="101"/>
      <c r="AC578" s="101"/>
      <c r="AD578" s="101"/>
    </row>
    <row r="579" ht="30.0" customHeight="1">
      <c r="A579" s="141"/>
      <c r="B579" s="101"/>
      <c r="C579" s="101"/>
      <c r="D579" s="101"/>
      <c r="E579" s="101"/>
      <c r="F579" s="101"/>
      <c r="G579" s="101"/>
      <c r="H579" s="101"/>
      <c r="I579" s="101"/>
      <c r="J579" s="142"/>
      <c r="K579" s="101"/>
      <c r="L579" s="101"/>
      <c r="M579" s="101"/>
      <c r="N579" s="101"/>
      <c r="O579" s="101"/>
      <c r="P579" s="101"/>
      <c r="Q579" s="101"/>
      <c r="R579" s="101"/>
      <c r="S579" s="101"/>
      <c r="T579" s="101"/>
      <c r="U579" s="101"/>
      <c r="V579" s="101"/>
      <c r="W579" s="101"/>
      <c r="X579" s="101"/>
      <c r="Y579" s="101"/>
      <c r="Z579" s="101"/>
      <c r="AA579" s="101"/>
      <c r="AB579" s="101"/>
      <c r="AC579" s="101"/>
      <c r="AD579" s="101"/>
    </row>
    <row r="580" ht="30.0" customHeight="1">
      <c r="A580" s="141"/>
      <c r="B580" s="101"/>
      <c r="C580" s="101"/>
      <c r="D580" s="101"/>
      <c r="E580" s="101"/>
      <c r="F580" s="101"/>
      <c r="G580" s="101"/>
      <c r="H580" s="101"/>
      <c r="I580" s="101"/>
      <c r="J580" s="142"/>
      <c r="K580" s="101"/>
      <c r="L580" s="101"/>
      <c r="M580" s="101"/>
      <c r="N580" s="101"/>
      <c r="O580" s="101"/>
      <c r="P580" s="101"/>
      <c r="Q580" s="101"/>
      <c r="R580" s="101"/>
      <c r="S580" s="101"/>
      <c r="T580" s="101"/>
      <c r="U580" s="101"/>
      <c r="V580" s="101"/>
      <c r="W580" s="101"/>
      <c r="X580" s="101"/>
      <c r="Y580" s="101"/>
      <c r="Z580" s="101"/>
      <c r="AA580" s="101"/>
      <c r="AB580" s="101"/>
      <c r="AC580" s="101"/>
      <c r="AD580" s="101"/>
    </row>
    <row r="581" ht="30.0" customHeight="1">
      <c r="A581" s="141"/>
      <c r="B581" s="101"/>
      <c r="C581" s="101"/>
      <c r="D581" s="101"/>
      <c r="E581" s="101"/>
      <c r="F581" s="101"/>
      <c r="G581" s="101"/>
      <c r="H581" s="101"/>
      <c r="I581" s="101"/>
      <c r="J581" s="142"/>
      <c r="K581" s="101"/>
      <c r="L581" s="101"/>
      <c r="M581" s="101"/>
      <c r="N581" s="101"/>
      <c r="O581" s="101"/>
      <c r="P581" s="101"/>
      <c r="Q581" s="101"/>
      <c r="R581" s="101"/>
      <c r="S581" s="101"/>
      <c r="T581" s="101"/>
      <c r="U581" s="101"/>
      <c r="V581" s="101"/>
      <c r="W581" s="101"/>
      <c r="X581" s="101"/>
      <c r="Y581" s="101"/>
      <c r="Z581" s="101"/>
      <c r="AA581" s="101"/>
      <c r="AB581" s="101"/>
      <c r="AC581" s="101"/>
      <c r="AD581" s="101"/>
    </row>
    <row r="582" ht="30.0" customHeight="1">
      <c r="A582" s="141"/>
      <c r="B582" s="101"/>
      <c r="C582" s="101"/>
      <c r="D582" s="101"/>
      <c r="E582" s="101"/>
      <c r="F582" s="101"/>
      <c r="G582" s="101"/>
      <c r="H582" s="101"/>
      <c r="I582" s="101"/>
      <c r="J582" s="142"/>
      <c r="K582" s="101"/>
      <c r="L582" s="101"/>
      <c r="M582" s="101"/>
      <c r="N582" s="101"/>
      <c r="O582" s="101"/>
      <c r="P582" s="101"/>
      <c r="Q582" s="101"/>
      <c r="R582" s="101"/>
      <c r="S582" s="101"/>
      <c r="T582" s="101"/>
      <c r="U582" s="101"/>
      <c r="V582" s="101"/>
      <c r="W582" s="101"/>
      <c r="X582" s="101"/>
      <c r="Y582" s="101"/>
      <c r="Z582" s="101"/>
      <c r="AA582" s="101"/>
      <c r="AB582" s="101"/>
      <c r="AC582" s="101"/>
      <c r="AD582" s="101"/>
    </row>
    <row r="583" ht="30.0" customHeight="1">
      <c r="A583" s="141"/>
      <c r="B583" s="101"/>
      <c r="C583" s="101"/>
      <c r="D583" s="101"/>
      <c r="E583" s="101"/>
      <c r="F583" s="101"/>
      <c r="G583" s="101"/>
      <c r="H583" s="101"/>
      <c r="I583" s="101"/>
      <c r="J583" s="142"/>
      <c r="K583" s="101"/>
      <c r="L583" s="101"/>
      <c r="M583" s="101"/>
      <c r="N583" s="101"/>
      <c r="O583" s="101"/>
      <c r="P583" s="101"/>
      <c r="Q583" s="101"/>
      <c r="R583" s="101"/>
      <c r="S583" s="101"/>
      <c r="T583" s="101"/>
      <c r="U583" s="101"/>
      <c r="V583" s="101"/>
      <c r="W583" s="101"/>
      <c r="X583" s="101"/>
      <c r="Y583" s="101"/>
      <c r="Z583" s="101"/>
      <c r="AA583" s="101"/>
      <c r="AB583" s="101"/>
      <c r="AC583" s="101"/>
      <c r="AD583" s="101"/>
    </row>
    <row r="584" ht="30.0" customHeight="1">
      <c r="A584" s="141"/>
      <c r="B584" s="101"/>
      <c r="C584" s="101"/>
      <c r="D584" s="101"/>
      <c r="E584" s="101"/>
      <c r="F584" s="101"/>
      <c r="G584" s="101"/>
      <c r="H584" s="101"/>
      <c r="I584" s="101"/>
      <c r="J584" s="142"/>
      <c r="K584" s="101"/>
      <c r="L584" s="101"/>
      <c r="M584" s="101"/>
      <c r="N584" s="101"/>
      <c r="O584" s="101"/>
      <c r="P584" s="101"/>
      <c r="Q584" s="101"/>
      <c r="R584" s="101"/>
      <c r="S584" s="101"/>
      <c r="T584" s="101"/>
      <c r="U584" s="101"/>
      <c r="V584" s="101"/>
      <c r="W584" s="101"/>
      <c r="X584" s="101"/>
      <c r="Y584" s="101"/>
      <c r="Z584" s="101"/>
      <c r="AA584" s="101"/>
      <c r="AB584" s="101"/>
      <c r="AC584" s="101"/>
      <c r="AD584" s="101"/>
    </row>
    <row r="585" ht="30.0" customHeight="1">
      <c r="A585" s="141"/>
      <c r="B585" s="101"/>
      <c r="C585" s="101"/>
      <c r="D585" s="101"/>
      <c r="E585" s="101"/>
      <c r="F585" s="101"/>
      <c r="G585" s="101"/>
      <c r="H585" s="101"/>
      <c r="I585" s="101"/>
      <c r="J585" s="142"/>
      <c r="K585" s="101"/>
      <c r="L585" s="101"/>
      <c r="M585" s="101"/>
      <c r="N585" s="101"/>
      <c r="O585" s="101"/>
      <c r="P585" s="101"/>
      <c r="Q585" s="101"/>
      <c r="R585" s="101"/>
      <c r="S585" s="101"/>
      <c r="T585" s="101"/>
      <c r="U585" s="101"/>
      <c r="V585" s="101"/>
      <c r="W585" s="101"/>
      <c r="X585" s="101"/>
      <c r="Y585" s="101"/>
      <c r="Z585" s="101"/>
      <c r="AA585" s="101"/>
      <c r="AB585" s="101"/>
      <c r="AC585" s="101"/>
      <c r="AD585" s="101"/>
    </row>
    <row r="586" ht="30.0" customHeight="1">
      <c r="A586" s="141"/>
      <c r="B586" s="101"/>
      <c r="C586" s="101"/>
      <c r="D586" s="101"/>
      <c r="E586" s="101"/>
      <c r="F586" s="101"/>
      <c r="G586" s="101"/>
      <c r="H586" s="101"/>
      <c r="I586" s="101"/>
      <c r="J586" s="142"/>
      <c r="K586" s="101"/>
      <c r="L586" s="101"/>
      <c r="M586" s="101"/>
      <c r="N586" s="101"/>
      <c r="O586" s="101"/>
      <c r="P586" s="101"/>
      <c r="Q586" s="101"/>
      <c r="R586" s="101"/>
      <c r="S586" s="101"/>
      <c r="T586" s="101"/>
      <c r="U586" s="101"/>
      <c r="V586" s="101"/>
      <c r="W586" s="101"/>
      <c r="X586" s="101"/>
      <c r="Y586" s="101"/>
      <c r="Z586" s="101"/>
      <c r="AA586" s="101"/>
      <c r="AB586" s="101"/>
      <c r="AC586" s="101"/>
      <c r="AD586" s="101"/>
    </row>
    <row r="587" ht="30.0" customHeight="1">
      <c r="A587" s="141"/>
      <c r="B587" s="101"/>
      <c r="C587" s="101"/>
      <c r="D587" s="101"/>
      <c r="E587" s="101"/>
      <c r="F587" s="101"/>
      <c r="G587" s="101"/>
      <c r="H587" s="101"/>
      <c r="I587" s="101"/>
      <c r="J587" s="142"/>
      <c r="K587" s="101"/>
      <c r="L587" s="101"/>
      <c r="M587" s="101"/>
      <c r="N587" s="101"/>
      <c r="O587" s="101"/>
      <c r="P587" s="101"/>
      <c r="Q587" s="101"/>
      <c r="R587" s="101"/>
      <c r="S587" s="101"/>
      <c r="T587" s="101"/>
      <c r="U587" s="101"/>
      <c r="V587" s="101"/>
      <c r="W587" s="101"/>
      <c r="X587" s="101"/>
      <c r="Y587" s="101"/>
      <c r="Z587" s="101"/>
      <c r="AA587" s="101"/>
      <c r="AB587" s="101"/>
      <c r="AC587" s="101"/>
      <c r="AD587" s="101"/>
    </row>
    <row r="588" ht="30.0" customHeight="1">
      <c r="A588" s="141"/>
      <c r="B588" s="101"/>
      <c r="C588" s="101"/>
      <c r="D588" s="101"/>
      <c r="E588" s="101"/>
      <c r="F588" s="101"/>
      <c r="G588" s="101"/>
      <c r="H588" s="101"/>
      <c r="I588" s="101"/>
      <c r="J588" s="142"/>
      <c r="K588" s="101"/>
      <c r="L588" s="101"/>
      <c r="M588" s="101"/>
      <c r="N588" s="101"/>
      <c r="O588" s="101"/>
      <c r="P588" s="101"/>
      <c r="Q588" s="101"/>
      <c r="R588" s="101"/>
      <c r="S588" s="101"/>
      <c r="T588" s="101"/>
      <c r="U588" s="101"/>
      <c r="V588" s="101"/>
      <c r="W588" s="101"/>
      <c r="X588" s="101"/>
      <c r="Y588" s="101"/>
      <c r="Z588" s="101"/>
      <c r="AA588" s="101"/>
      <c r="AB588" s="101"/>
      <c r="AC588" s="101"/>
      <c r="AD588" s="101"/>
    </row>
    <row r="589" ht="30.0" customHeight="1">
      <c r="A589" s="141"/>
      <c r="B589" s="101"/>
      <c r="C589" s="101"/>
      <c r="D589" s="101"/>
      <c r="E589" s="101"/>
      <c r="F589" s="101"/>
      <c r="G589" s="101"/>
      <c r="H589" s="101"/>
      <c r="I589" s="101"/>
      <c r="J589" s="142"/>
      <c r="K589" s="101"/>
      <c r="L589" s="101"/>
      <c r="M589" s="101"/>
      <c r="N589" s="101"/>
      <c r="O589" s="101"/>
      <c r="P589" s="101"/>
      <c r="Q589" s="101"/>
      <c r="R589" s="101"/>
      <c r="S589" s="101"/>
      <c r="T589" s="101"/>
      <c r="U589" s="101"/>
      <c r="V589" s="101"/>
      <c r="W589" s="101"/>
      <c r="X589" s="101"/>
      <c r="Y589" s="101"/>
      <c r="Z589" s="101"/>
      <c r="AA589" s="101"/>
      <c r="AB589" s="101"/>
      <c r="AC589" s="101"/>
      <c r="AD589" s="101"/>
    </row>
    <row r="590" ht="30.0" customHeight="1">
      <c r="A590" s="141"/>
      <c r="B590" s="101"/>
      <c r="C590" s="101"/>
      <c r="D590" s="101"/>
      <c r="E590" s="101"/>
      <c r="F590" s="101"/>
      <c r="G590" s="101"/>
      <c r="H590" s="101"/>
      <c r="I590" s="101"/>
      <c r="J590" s="142"/>
      <c r="K590" s="101"/>
      <c r="L590" s="101"/>
      <c r="M590" s="101"/>
      <c r="N590" s="101"/>
      <c r="O590" s="101"/>
      <c r="P590" s="101"/>
      <c r="Q590" s="101"/>
      <c r="R590" s="101"/>
      <c r="S590" s="101"/>
      <c r="T590" s="101"/>
      <c r="U590" s="101"/>
      <c r="V590" s="101"/>
      <c r="W590" s="101"/>
      <c r="X590" s="101"/>
      <c r="Y590" s="101"/>
      <c r="Z590" s="101"/>
      <c r="AA590" s="101"/>
      <c r="AB590" s="101"/>
      <c r="AC590" s="101"/>
      <c r="AD590" s="101"/>
    </row>
    <row r="591" ht="30.0" customHeight="1">
      <c r="A591" s="141"/>
      <c r="B591" s="101"/>
      <c r="C591" s="101"/>
      <c r="D591" s="101"/>
      <c r="E591" s="101"/>
      <c r="F591" s="101"/>
      <c r="G591" s="101"/>
      <c r="H591" s="101"/>
      <c r="I591" s="101"/>
      <c r="J591" s="142"/>
      <c r="K591" s="101"/>
      <c r="L591" s="101"/>
      <c r="M591" s="101"/>
      <c r="N591" s="101"/>
      <c r="O591" s="101"/>
      <c r="P591" s="101"/>
      <c r="Q591" s="101"/>
      <c r="R591" s="101"/>
      <c r="S591" s="101"/>
      <c r="T591" s="101"/>
      <c r="U591" s="101"/>
      <c r="V591" s="101"/>
      <c r="W591" s="101"/>
      <c r="X591" s="101"/>
      <c r="Y591" s="101"/>
      <c r="Z591" s="101"/>
      <c r="AA591" s="101"/>
      <c r="AB591" s="101"/>
      <c r="AC591" s="101"/>
      <c r="AD591" s="101"/>
    </row>
    <row r="592" ht="30.0" customHeight="1">
      <c r="A592" s="141"/>
      <c r="B592" s="101"/>
      <c r="C592" s="101"/>
      <c r="D592" s="101"/>
      <c r="E592" s="101"/>
      <c r="F592" s="101"/>
      <c r="G592" s="101"/>
      <c r="H592" s="101"/>
      <c r="I592" s="101"/>
      <c r="J592" s="142"/>
      <c r="K592" s="101"/>
      <c r="L592" s="101"/>
      <c r="M592" s="101"/>
      <c r="N592" s="101"/>
      <c r="O592" s="101"/>
      <c r="P592" s="101"/>
      <c r="Q592" s="101"/>
      <c r="R592" s="101"/>
      <c r="S592" s="101"/>
      <c r="T592" s="101"/>
      <c r="U592" s="101"/>
      <c r="V592" s="101"/>
      <c r="W592" s="101"/>
      <c r="X592" s="101"/>
      <c r="Y592" s="101"/>
      <c r="Z592" s="101"/>
      <c r="AA592" s="101"/>
      <c r="AB592" s="101"/>
      <c r="AC592" s="101"/>
      <c r="AD592" s="101"/>
    </row>
    <row r="593" ht="30.0" customHeight="1">
      <c r="A593" s="141"/>
      <c r="B593" s="101"/>
      <c r="C593" s="101"/>
      <c r="D593" s="101"/>
      <c r="E593" s="101"/>
      <c r="F593" s="101"/>
      <c r="G593" s="101"/>
      <c r="H593" s="101"/>
      <c r="I593" s="101"/>
      <c r="J593" s="142"/>
      <c r="K593" s="101"/>
      <c r="L593" s="101"/>
      <c r="M593" s="101"/>
      <c r="N593" s="101"/>
      <c r="O593" s="101"/>
      <c r="P593" s="101"/>
      <c r="Q593" s="101"/>
      <c r="R593" s="101"/>
      <c r="S593" s="101"/>
      <c r="T593" s="101"/>
      <c r="U593" s="101"/>
      <c r="V593" s="101"/>
      <c r="W593" s="101"/>
      <c r="X593" s="101"/>
      <c r="Y593" s="101"/>
      <c r="Z593" s="101"/>
      <c r="AA593" s="101"/>
      <c r="AB593" s="101"/>
      <c r="AC593" s="101"/>
      <c r="AD593" s="101"/>
    </row>
    <row r="594" ht="30.0" customHeight="1">
      <c r="A594" s="141"/>
      <c r="B594" s="101"/>
      <c r="C594" s="101"/>
      <c r="D594" s="101"/>
      <c r="E594" s="101"/>
      <c r="F594" s="101"/>
      <c r="G594" s="101"/>
      <c r="H594" s="101"/>
      <c r="I594" s="101"/>
      <c r="J594" s="142"/>
      <c r="K594" s="101"/>
      <c r="L594" s="101"/>
      <c r="M594" s="101"/>
      <c r="N594" s="101"/>
      <c r="O594" s="101"/>
      <c r="P594" s="101"/>
      <c r="Q594" s="101"/>
      <c r="R594" s="101"/>
      <c r="S594" s="101"/>
      <c r="T594" s="101"/>
      <c r="U594" s="101"/>
      <c r="V594" s="101"/>
      <c r="W594" s="101"/>
      <c r="X594" s="101"/>
      <c r="Y594" s="101"/>
      <c r="Z594" s="101"/>
      <c r="AA594" s="101"/>
      <c r="AB594" s="101"/>
      <c r="AC594" s="101"/>
      <c r="AD594" s="101"/>
    </row>
    <row r="595" ht="30.0" customHeight="1">
      <c r="A595" s="141"/>
      <c r="B595" s="101"/>
      <c r="C595" s="101"/>
      <c r="D595" s="101"/>
      <c r="E595" s="101"/>
      <c r="F595" s="101"/>
      <c r="G595" s="101"/>
      <c r="H595" s="101"/>
      <c r="I595" s="101"/>
      <c r="J595" s="142"/>
      <c r="K595" s="101"/>
      <c r="L595" s="101"/>
      <c r="M595" s="101"/>
      <c r="N595" s="101"/>
      <c r="O595" s="101"/>
      <c r="P595" s="101"/>
      <c r="Q595" s="101"/>
      <c r="R595" s="101"/>
      <c r="S595" s="101"/>
      <c r="T595" s="101"/>
      <c r="U595" s="101"/>
      <c r="V595" s="101"/>
      <c r="W595" s="101"/>
      <c r="X595" s="101"/>
      <c r="Y595" s="101"/>
      <c r="Z595" s="101"/>
      <c r="AA595" s="101"/>
      <c r="AB595" s="101"/>
      <c r="AC595" s="101"/>
      <c r="AD595" s="101"/>
    </row>
    <row r="596" ht="30.0" customHeight="1">
      <c r="A596" s="141"/>
      <c r="B596" s="101"/>
      <c r="C596" s="101"/>
      <c r="D596" s="101"/>
      <c r="E596" s="101"/>
      <c r="F596" s="101"/>
      <c r="G596" s="101"/>
      <c r="H596" s="101"/>
      <c r="I596" s="101"/>
      <c r="J596" s="142"/>
      <c r="K596" s="101"/>
      <c r="L596" s="101"/>
      <c r="M596" s="101"/>
      <c r="N596" s="101"/>
      <c r="O596" s="101"/>
      <c r="P596" s="101"/>
      <c r="Q596" s="101"/>
      <c r="R596" s="101"/>
      <c r="S596" s="101"/>
      <c r="T596" s="101"/>
      <c r="U596" s="101"/>
      <c r="V596" s="101"/>
      <c r="W596" s="101"/>
      <c r="X596" s="101"/>
      <c r="Y596" s="101"/>
      <c r="Z596" s="101"/>
      <c r="AA596" s="101"/>
      <c r="AB596" s="101"/>
      <c r="AC596" s="101"/>
      <c r="AD596" s="101"/>
    </row>
    <row r="597" ht="30.0" customHeight="1">
      <c r="A597" s="141"/>
      <c r="B597" s="101"/>
      <c r="C597" s="101"/>
      <c r="D597" s="101"/>
      <c r="E597" s="101"/>
      <c r="F597" s="101"/>
      <c r="G597" s="101"/>
      <c r="H597" s="101"/>
      <c r="I597" s="101"/>
      <c r="J597" s="142"/>
      <c r="K597" s="101"/>
      <c r="L597" s="101"/>
      <c r="M597" s="101"/>
      <c r="N597" s="101"/>
      <c r="O597" s="101"/>
      <c r="P597" s="101"/>
      <c r="Q597" s="101"/>
      <c r="R597" s="101"/>
      <c r="S597" s="101"/>
      <c r="T597" s="101"/>
      <c r="U597" s="101"/>
      <c r="V597" s="101"/>
      <c r="W597" s="101"/>
      <c r="X597" s="101"/>
      <c r="Y597" s="101"/>
      <c r="Z597" s="101"/>
      <c r="AA597" s="101"/>
      <c r="AB597" s="101"/>
      <c r="AC597" s="101"/>
      <c r="AD597" s="101"/>
    </row>
    <row r="598" ht="30.0" customHeight="1">
      <c r="A598" s="141"/>
      <c r="B598" s="101"/>
      <c r="C598" s="101"/>
      <c r="D598" s="101"/>
      <c r="E598" s="101"/>
      <c r="F598" s="101"/>
      <c r="G598" s="101"/>
      <c r="H598" s="101"/>
      <c r="I598" s="101"/>
      <c r="J598" s="142"/>
      <c r="K598" s="101"/>
      <c r="L598" s="101"/>
      <c r="M598" s="101"/>
      <c r="N598" s="101"/>
      <c r="O598" s="101"/>
      <c r="P598" s="101"/>
      <c r="Q598" s="101"/>
      <c r="R598" s="101"/>
      <c r="S598" s="101"/>
      <c r="T598" s="101"/>
      <c r="U598" s="101"/>
      <c r="V598" s="101"/>
      <c r="W598" s="101"/>
      <c r="X598" s="101"/>
      <c r="Y598" s="101"/>
      <c r="Z598" s="101"/>
      <c r="AA598" s="101"/>
      <c r="AB598" s="101"/>
      <c r="AC598" s="101"/>
      <c r="AD598" s="101"/>
    </row>
    <row r="599" ht="30.0" customHeight="1">
      <c r="A599" s="141"/>
      <c r="B599" s="101"/>
      <c r="C599" s="101"/>
      <c r="D599" s="101"/>
      <c r="E599" s="101"/>
      <c r="F599" s="101"/>
      <c r="G599" s="101"/>
      <c r="H599" s="101"/>
      <c r="I599" s="101"/>
      <c r="J599" s="142"/>
      <c r="K599" s="101"/>
      <c r="L599" s="101"/>
      <c r="M599" s="101"/>
      <c r="N599" s="101"/>
      <c r="O599" s="101"/>
      <c r="P599" s="101"/>
      <c r="Q599" s="101"/>
      <c r="R599" s="101"/>
      <c r="S599" s="101"/>
      <c r="T599" s="101"/>
      <c r="U599" s="101"/>
      <c r="V599" s="101"/>
      <c r="W599" s="101"/>
      <c r="X599" s="101"/>
      <c r="Y599" s="101"/>
      <c r="Z599" s="101"/>
      <c r="AA599" s="101"/>
      <c r="AB599" s="101"/>
      <c r="AC599" s="101"/>
      <c r="AD599" s="101"/>
    </row>
    <row r="600" ht="30.0" customHeight="1">
      <c r="A600" s="141"/>
      <c r="B600" s="101"/>
      <c r="C600" s="101"/>
      <c r="D600" s="101"/>
      <c r="E600" s="101"/>
      <c r="F600" s="101"/>
      <c r="G600" s="101"/>
      <c r="H600" s="101"/>
      <c r="I600" s="101"/>
      <c r="J600" s="142"/>
      <c r="K600" s="101"/>
      <c r="L600" s="101"/>
      <c r="M600" s="101"/>
      <c r="N600" s="101"/>
      <c r="O600" s="101"/>
      <c r="P600" s="101"/>
      <c r="Q600" s="101"/>
      <c r="R600" s="101"/>
      <c r="S600" s="101"/>
      <c r="T600" s="101"/>
      <c r="U600" s="101"/>
      <c r="V600" s="101"/>
      <c r="W600" s="101"/>
      <c r="X600" s="101"/>
      <c r="Y600" s="101"/>
      <c r="Z600" s="101"/>
      <c r="AA600" s="101"/>
      <c r="AB600" s="101"/>
      <c r="AC600" s="101"/>
      <c r="AD600" s="101"/>
    </row>
    <row r="601" ht="30.0" customHeight="1">
      <c r="A601" s="141"/>
      <c r="B601" s="101"/>
      <c r="C601" s="101"/>
      <c r="D601" s="101"/>
      <c r="E601" s="101"/>
      <c r="F601" s="101"/>
      <c r="G601" s="101"/>
      <c r="H601" s="101"/>
      <c r="I601" s="101"/>
      <c r="J601" s="142"/>
      <c r="K601" s="101"/>
      <c r="L601" s="101"/>
      <c r="M601" s="101"/>
      <c r="N601" s="101"/>
      <c r="O601" s="101"/>
      <c r="P601" s="101"/>
      <c r="Q601" s="101"/>
      <c r="R601" s="101"/>
      <c r="S601" s="101"/>
      <c r="T601" s="101"/>
      <c r="U601" s="101"/>
      <c r="V601" s="101"/>
      <c r="W601" s="101"/>
      <c r="X601" s="101"/>
      <c r="Y601" s="101"/>
      <c r="Z601" s="101"/>
      <c r="AA601" s="101"/>
      <c r="AB601" s="101"/>
      <c r="AC601" s="101"/>
      <c r="AD601" s="101"/>
    </row>
    <row r="602" ht="30.0" customHeight="1">
      <c r="A602" s="141"/>
      <c r="B602" s="101"/>
      <c r="C602" s="101"/>
      <c r="D602" s="101"/>
      <c r="E602" s="101"/>
      <c r="F602" s="101"/>
      <c r="G602" s="101"/>
      <c r="H602" s="101"/>
      <c r="I602" s="101"/>
      <c r="J602" s="142"/>
      <c r="K602" s="101"/>
      <c r="L602" s="101"/>
      <c r="M602" s="101"/>
      <c r="N602" s="101"/>
      <c r="O602" s="101"/>
      <c r="P602" s="101"/>
      <c r="Q602" s="101"/>
      <c r="R602" s="101"/>
      <c r="S602" s="101"/>
      <c r="T602" s="101"/>
      <c r="U602" s="101"/>
      <c r="V602" s="101"/>
      <c r="W602" s="101"/>
      <c r="X602" s="101"/>
      <c r="Y602" s="101"/>
      <c r="Z602" s="101"/>
      <c r="AA602" s="101"/>
      <c r="AB602" s="101"/>
      <c r="AC602" s="101"/>
      <c r="AD602" s="101"/>
    </row>
    <row r="603" ht="30.0" customHeight="1">
      <c r="A603" s="141"/>
      <c r="B603" s="101"/>
      <c r="C603" s="101"/>
      <c r="D603" s="101"/>
      <c r="E603" s="101"/>
      <c r="F603" s="101"/>
      <c r="G603" s="101"/>
      <c r="H603" s="101"/>
      <c r="I603" s="101"/>
      <c r="J603" s="142"/>
      <c r="K603" s="101"/>
      <c r="L603" s="101"/>
      <c r="M603" s="101"/>
      <c r="N603" s="101"/>
      <c r="O603" s="101"/>
      <c r="P603" s="101"/>
      <c r="Q603" s="101"/>
      <c r="R603" s="101"/>
      <c r="S603" s="101"/>
      <c r="T603" s="101"/>
      <c r="U603" s="101"/>
      <c r="V603" s="101"/>
      <c r="W603" s="101"/>
      <c r="X603" s="101"/>
      <c r="Y603" s="101"/>
      <c r="Z603" s="101"/>
      <c r="AA603" s="101"/>
      <c r="AB603" s="101"/>
      <c r="AC603" s="101"/>
      <c r="AD603" s="101"/>
    </row>
    <row r="604" ht="30.0" customHeight="1">
      <c r="A604" s="141"/>
      <c r="B604" s="101"/>
      <c r="C604" s="101"/>
      <c r="D604" s="101"/>
      <c r="E604" s="101"/>
      <c r="F604" s="101"/>
      <c r="G604" s="101"/>
      <c r="H604" s="101"/>
      <c r="I604" s="101"/>
      <c r="J604" s="142"/>
      <c r="K604" s="101"/>
      <c r="L604" s="101"/>
      <c r="M604" s="101"/>
      <c r="N604" s="101"/>
      <c r="O604" s="101"/>
      <c r="P604" s="101"/>
      <c r="Q604" s="101"/>
      <c r="R604" s="101"/>
      <c r="S604" s="101"/>
      <c r="T604" s="101"/>
      <c r="U604" s="101"/>
      <c r="V604" s="101"/>
      <c r="W604" s="101"/>
      <c r="X604" s="101"/>
      <c r="Y604" s="101"/>
      <c r="Z604" s="101"/>
      <c r="AA604" s="101"/>
      <c r="AB604" s="101"/>
      <c r="AC604" s="101"/>
      <c r="AD604" s="101"/>
    </row>
    <row r="605" ht="30.0" customHeight="1">
      <c r="A605" s="141"/>
      <c r="B605" s="101"/>
      <c r="C605" s="101"/>
      <c r="D605" s="101"/>
      <c r="E605" s="101"/>
      <c r="F605" s="101"/>
      <c r="G605" s="101"/>
      <c r="H605" s="101"/>
      <c r="I605" s="101"/>
      <c r="J605" s="142"/>
      <c r="K605" s="101"/>
      <c r="L605" s="101"/>
      <c r="M605" s="101"/>
      <c r="N605" s="101"/>
      <c r="O605" s="101"/>
      <c r="P605" s="101"/>
      <c r="Q605" s="101"/>
      <c r="R605" s="101"/>
      <c r="S605" s="101"/>
      <c r="T605" s="101"/>
      <c r="U605" s="101"/>
      <c r="V605" s="101"/>
      <c r="W605" s="101"/>
      <c r="X605" s="101"/>
      <c r="Y605" s="101"/>
      <c r="Z605" s="101"/>
      <c r="AA605" s="101"/>
      <c r="AB605" s="101"/>
      <c r="AC605" s="101"/>
      <c r="AD605" s="101"/>
    </row>
    <row r="606" ht="30.0" customHeight="1">
      <c r="A606" s="141"/>
      <c r="B606" s="101"/>
      <c r="C606" s="101"/>
      <c r="D606" s="101"/>
      <c r="E606" s="101"/>
      <c r="F606" s="101"/>
      <c r="G606" s="101"/>
      <c r="H606" s="101"/>
      <c r="I606" s="101"/>
      <c r="J606" s="142"/>
      <c r="K606" s="101"/>
      <c r="L606" s="101"/>
      <c r="M606" s="101"/>
      <c r="N606" s="101"/>
      <c r="O606" s="101"/>
      <c r="P606" s="101"/>
      <c r="Q606" s="101"/>
      <c r="R606" s="101"/>
      <c r="S606" s="101"/>
      <c r="T606" s="101"/>
      <c r="U606" s="101"/>
      <c r="V606" s="101"/>
      <c r="W606" s="101"/>
      <c r="X606" s="101"/>
      <c r="Y606" s="101"/>
      <c r="Z606" s="101"/>
      <c r="AA606" s="101"/>
      <c r="AB606" s="101"/>
      <c r="AC606" s="101"/>
      <c r="AD606" s="101"/>
    </row>
    <row r="607" ht="30.0" customHeight="1">
      <c r="A607" s="141"/>
      <c r="B607" s="101"/>
      <c r="C607" s="101"/>
      <c r="D607" s="101"/>
      <c r="E607" s="101"/>
      <c r="F607" s="101"/>
      <c r="G607" s="101"/>
      <c r="H607" s="101"/>
      <c r="I607" s="101"/>
      <c r="J607" s="142"/>
      <c r="K607" s="101"/>
      <c r="L607" s="101"/>
      <c r="M607" s="101"/>
      <c r="N607" s="101"/>
      <c r="O607" s="101"/>
      <c r="P607" s="101"/>
      <c r="Q607" s="101"/>
      <c r="R607" s="101"/>
      <c r="S607" s="101"/>
      <c r="T607" s="101"/>
      <c r="U607" s="101"/>
      <c r="V607" s="101"/>
      <c r="W607" s="101"/>
      <c r="X607" s="101"/>
      <c r="Y607" s="101"/>
      <c r="Z607" s="101"/>
      <c r="AA607" s="101"/>
      <c r="AB607" s="101"/>
      <c r="AC607" s="101"/>
      <c r="AD607" s="101"/>
    </row>
    <row r="608" ht="30.0" customHeight="1">
      <c r="A608" s="141"/>
      <c r="B608" s="101"/>
      <c r="C608" s="101"/>
      <c r="D608" s="101"/>
      <c r="E608" s="101"/>
      <c r="F608" s="101"/>
      <c r="G608" s="101"/>
      <c r="H608" s="101"/>
      <c r="I608" s="101"/>
      <c r="J608" s="142"/>
      <c r="K608" s="101"/>
      <c r="L608" s="101"/>
      <c r="M608" s="101"/>
      <c r="N608" s="101"/>
      <c r="O608" s="101"/>
      <c r="P608" s="101"/>
      <c r="Q608" s="101"/>
      <c r="R608" s="101"/>
      <c r="S608" s="101"/>
      <c r="T608" s="101"/>
      <c r="U608" s="101"/>
      <c r="V608" s="101"/>
      <c r="W608" s="101"/>
      <c r="X608" s="101"/>
      <c r="Y608" s="101"/>
      <c r="Z608" s="101"/>
      <c r="AA608" s="101"/>
      <c r="AB608" s="101"/>
      <c r="AC608" s="101"/>
      <c r="AD608" s="101"/>
    </row>
    <row r="609" ht="30.0" customHeight="1">
      <c r="A609" s="141"/>
      <c r="B609" s="101"/>
      <c r="C609" s="101"/>
      <c r="D609" s="101"/>
      <c r="E609" s="101"/>
      <c r="F609" s="101"/>
      <c r="G609" s="101"/>
      <c r="H609" s="101"/>
      <c r="I609" s="101"/>
      <c r="J609" s="142"/>
      <c r="K609" s="101"/>
      <c r="L609" s="101"/>
      <c r="M609" s="101"/>
      <c r="N609" s="101"/>
      <c r="O609" s="101"/>
      <c r="P609" s="101"/>
      <c r="Q609" s="101"/>
      <c r="R609" s="101"/>
      <c r="S609" s="101"/>
      <c r="T609" s="101"/>
      <c r="U609" s="101"/>
      <c r="V609" s="101"/>
      <c r="W609" s="101"/>
      <c r="X609" s="101"/>
      <c r="Y609" s="101"/>
      <c r="Z609" s="101"/>
      <c r="AA609" s="101"/>
      <c r="AB609" s="101"/>
      <c r="AC609" s="101"/>
      <c r="AD609" s="101"/>
    </row>
    <row r="610" ht="30.0" customHeight="1">
      <c r="A610" s="141"/>
      <c r="B610" s="101"/>
      <c r="C610" s="101"/>
      <c r="D610" s="101"/>
      <c r="E610" s="101"/>
      <c r="F610" s="101"/>
      <c r="G610" s="101"/>
      <c r="H610" s="101"/>
      <c r="I610" s="101"/>
      <c r="J610" s="142"/>
      <c r="K610" s="101"/>
      <c r="L610" s="101"/>
      <c r="M610" s="101"/>
      <c r="N610" s="101"/>
      <c r="O610" s="101"/>
      <c r="P610" s="101"/>
      <c r="Q610" s="101"/>
      <c r="R610" s="101"/>
      <c r="S610" s="101"/>
      <c r="T610" s="101"/>
      <c r="U610" s="101"/>
      <c r="V610" s="101"/>
      <c r="W610" s="101"/>
      <c r="X610" s="101"/>
      <c r="Y610" s="101"/>
      <c r="Z610" s="101"/>
      <c r="AA610" s="101"/>
      <c r="AB610" s="101"/>
      <c r="AC610" s="101"/>
      <c r="AD610" s="101"/>
    </row>
    <row r="611" ht="30.0" customHeight="1">
      <c r="A611" s="141"/>
      <c r="B611" s="101"/>
      <c r="C611" s="101"/>
      <c r="D611" s="101"/>
      <c r="E611" s="101"/>
      <c r="F611" s="101"/>
      <c r="G611" s="101"/>
      <c r="H611" s="101"/>
      <c r="I611" s="101"/>
      <c r="J611" s="142"/>
      <c r="K611" s="101"/>
      <c r="L611" s="101"/>
      <c r="M611" s="101"/>
      <c r="N611" s="101"/>
      <c r="O611" s="101"/>
      <c r="P611" s="101"/>
      <c r="Q611" s="101"/>
      <c r="R611" s="101"/>
      <c r="S611" s="101"/>
      <c r="T611" s="101"/>
      <c r="U611" s="101"/>
      <c r="V611" s="101"/>
      <c r="W611" s="101"/>
      <c r="X611" s="101"/>
      <c r="Y611" s="101"/>
      <c r="Z611" s="101"/>
      <c r="AA611" s="101"/>
      <c r="AB611" s="101"/>
      <c r="AC611" s="101"/>
      <c r="AD611" s="101"/>
    </row>
    <row r="612" ht="30.0" customHeight="1">
      <c r="A612" s="141"/>
      <c r="B612" s="101"/>
      <c r="C612" s="101"/>
      <c r="D612" s="101"/>
      <c r="E612" s="101"/>
      <c r="F612" s="101"/>
      <c r="G612" s="101"/>
      <c r="H612" s="101"/>
      <c r="I612" s="101"/>
      <c r="J612" s="142"/>
      <c r="K612" s="101"/>
      <c r="L612" s="101"/>
      <c r="M612" s="101"/>
      <c r="N612" s="101"/>
      <c r="O612" s="101"/>
      <c r="P612" s="101"/>
      <c r="Q612" s="101"/>
      <c r="R612" s="101"/>
      <c r="S612" s="101"/>
      <c r="T612" s="101"/>
      <c r="U612" s="101"/>
      <c r="V612" s="101"/>
      <c r="W612" s="101"/>
      <c r="X612" s="101"/>
      <c r="Y612" s="101"/>
      <c r="Z612" s="101"/>
      <c r="AA612" s="101"/>
      <c r="AB612" s="101"/>
      <c r="AC612" s="101"/>
      <c r="AD612" s="101"/>
    </row>
    <row r="613" ht="30.0" customHeight="1">
      <c r="A613" s="141"/>
      <c r="B613" s="101"/>
      <c r="C613" s="101"/>
      <c r="D613" s="101"/>
      <c r="E613" s="101"/>
      <c r="F613" s="101"/>
      <c r="G613" s="101"/>
      <c r="H613" s="101"/>
      <c r="I613" s="101"/>
      <c r="J613" s="142"/>
      <c r="K613" s="101"/>
      <c r="L613" s="101"/>
      <c r="M613" s="101"/>
      <c r="N613" s="101"/>
      <c r="O613" s="101"/>
      <c r="P613" s="101"/>
      <c r="Q613" s="101"/>
      <c r="R613" s="101"/>
      <c r="S613" s="101"/>
      <c r="T613" s="101"/>
      <c r="U613" s="101"/>
      <c r="V613" s="101"/>
      <c r="W613" s="101"/>
      <c r="X613" s="101"/>
      <c r="Y613" s="101"/>
      <c r="Z613" s="101"/>
      <c r="AA613" s="101"/>
      <c r="AB613" s="101"/>
      <c r="AC613" s="101"/>
      <c r="AD613" s="101"/>
    </row>
    <row r="614" ht="30.0" customHeight="1">
      <c r="A614" s="141"/>
      <c r="B614" s="101"/>
      <c r="C614" s="101"/>
      <c r="D614" s="101"/>
      <c r="E614" s="101"/>
      <c r="F614" s="101"/>
      <c r="G614" s="101"/>
      <c r="H614" s="101"/>
      <c r="I614" s="101"/>
      <c r="J614" s="142"/>
      <c r="K614" s="101"/>
      <c r="L614" s="101"/>
      <c r="M614" s="101"/>
      <c r="N614" s="101"/>
      <c r="O614" s="101"/>
      <c r="P614" s="101"/>
      <c r="Q614" s="101"/>
      <c r="R614" s="101"/>
      <c r="S614" s="101"/>
      <c r="T614" s="101"/>
      <c r="U614" s="101"/>
      <c r="V614" s="101"/>
      <c r="W614" s="101"/>
      <c r="X614" s="101"/>
      <c r="Y614" s="101"/>
      <c r="Z614" s="101"/>
      <c r="AA614" s="101"/>
      <c r="AB614" s="101"/>
      <c r="AC614" s="101"/>
      <c r="AD614" s="101"/>
    </row>
    <row r="615" ht="30.0" customHeight="1">
      <c r="A615" s="141"/>
      <c r="B615" s="101"/>
      <c r="C615" s="101"/>
      <c r="D615" s="101"/>
      <c r="E615" s="101"/>
      <c r="F615" s="101"/>
      <c r="G615" s="101"/>
      <c r="H615" s="101"/>
      <c r="I615" s="101"/>
      <c r="J615" s="142"/>
      <c r="K615" s="101"/>
      <c r="L615" s="101"/>
      <c r="M615" s="101"/>
      <c r="N615" s="101"/>
      <c r="O615" s="101"/>
      <c r="P615" s="101"/>
      <c r="Q615" s="101"/>
      <c r="R615" s="101"/>
      <c r="S615" s="101"/>
      <c r="T615" s="101"/>
      <c r="U615" s="101"/>
      <c r="V615" s="101"/>
      <c r="W615" s="101"/>
      <c r="X615" s="101"/>
      <c r="Y615" s="101"/>
      <c r="Z615" s="101"/>
      <c r="AA615" s="101"/>
      <c r="AB615" s="101"/>
      <c r="AC615" s="101"/>
      <c r="AD615" s="101"/>
    </row>
    <row r="616" ht="30.0" customHeight="1">
      <c r="A616" s="141"/>
      <c r="B616" s="101"/>
      <c r="C616" s="101"/>
      <c r="D616" s="101"/>
      <c r="E616" s="101"/>
      <c r="F616" s="101"/>
      <c r="G616" s="101"/>
      <c r="H616" s="101"/>
      <c r="I616" s="101"/>
      <c r="J616" s="142"/>
      <c r="K616" s="101"/>
      <c r="L616" s="101"/>
      <c r="M616" s="101"/>
      <c r="N616" s="101"/>
      <c r="O616" s="101"/>
      <c r="P616" s="101"/>
      <c r="Q616" s="101"/>
      <c r="R616" s="101"/>
      <c r="S616" s="101"/>
      <c r="T616" s="101"/>
      <c r="U616" s="101"/>
      <c r="V616" s="101"/>
      <c r="W616" s="101"/>
      <c r="X616" s="101"/>
      <c r="Y616" s="101"/>
      <c r="Z616" s="101"/>
      <c r="AA616" s="101"/>
      <c r="AB616" s="101"/>
      <c r="AC616" s="101"/>
      <c r="AD616" s="101"/>
    </row>
    <row r="617" ht="30.0" customHeight="1">
      <c r="A617" s="141"/>
      <c r="B617" s="101"/>
      <c r="C617" s="101"/>
      <c r="D617" s="101"/>
      <c r="E617" s="101"/>
      <c r="F617" s="101"/>
      <c r="G617" s="101"/>
      <c r="H617" s="101"/>
      <c r="I617" s="101"/>
      <c r="J617" s="142"/>
      <c r="K617" s="101"/>
      <c r="L617" s="101"/>
      <c r="M617" s="101"/>
      <c r="N617" s="101"/>
      <c r="O617" s="101"/>
      <c r="P617" s="101"/>
      <c r="Q617" s="101"/>
      <c r="R617" s="101"/>
      <c r="S617" s="101"/>
      <c r="T617" s="101"/>
      <c r="U617" s="101"/>
      <c r="V617" s="101"/>
      <c r="W617" s="101"/>
      <c r="X617" s="101"/>
      <c r="Y617" s="101"/>
      <c r="Z617" s="101"/>
      <c r="AA617" s="101"/>
      <c r="AB617" s="101"/>
      <c r="AC617" s="101"/>
      <c r="AD617" s="101"/>
    </row>
    <row r="618" ht="30.0" customHeight="1">
      <c r="A618" s="141"/>
      <c r="B618" s="101"/>
      <c r="C618" s="101"/>
      <c r="D618" s="101"/>
      <c r="E618" s="101"/>
      <c r="F618" s="101"/>
      <c r="G618" s="101"/>
      <c r="H618" s="101"/>
      <c r="I618" s="101"/>
      <c r="J618" s="142"/>
      <c r="K618" s="101"/>
      <c r="L618" s="101"/>
      <c r="M618" s="101"/>
      <c r="N618" s="101"/>
      <c r="O618" s="101"/>
      <c r="P618" s="101"/>
      <c r="Q618" s="101"/>
      <c r="R618" s="101"/>
      <c r="S618" s="101"/>
      <c r="T618" s="101"/>
      <c r="U618" s="101"/>
      <c r="V618" s="101"/>
      <c r="W618" s="101"/>
      <c r="X618" s="101"/>
      <c r="Y618" s="101"/>
      <c r="Z618" s="101"/>
      <c r="AA618" s="101"/>
      <c r="AB618" s="101"/>
      <c r="AC618" s="101"/>
      <c r="AD618" s="101"/>
    </row>
    <row r="619" ht="30.0" customHeight="1">
      <c r="A619" s="141"/>
      <c r="B619" s="101"/>
      <c r="C619" s="101"/>
      <c r="D619" s="101"/>
      <c r="E619" s="101"/>
      <c r="F619" s="101"/>
      <c r="G619" s="101"/>
      <c r="H619" s="101"/>
      <c r="I619" s="101"/>
      <c r="J619" s="142"/>
      <c r="K619" s="101"/>
      <c r="L619" s="101"/>
      <c r="M619" s="101"/>
      <c r="N619" s="101"/>
      <c r="O619" s="101"/>
      <c r="P619" s="101"/>
      <c r="Q619" s="101"/>
      <c r="R619" s="101"/>
      <c r="S619" s="101"/>
      <c r="T619" s="101"/>
      <c r="U619" s="101"/>
      <c r="V619" s="101"/>
      <c r="W619" s="101"/>
      <c r="X619" s="101"/>
      <c r="Y619" s="101"/>
      <c r="Z619" s="101"/>
      <c r="AA619" s="101"/>
      <c r="AB619" s="101"/>
      <c r="AC619" s="101"/>
      <c r="AD619" s="101"/>
    </row>
    <row r="620" ht="30.0" customHeight="1">
      <c r="A620" s="141"/>
      <c r="B620" s="101"/>
      <c r="C620" s="101"/>
      <c r="D620" s="101"/>
      <c r="E620" s="101"/>
      <c r="F620" s="101"/>
      <c r="G620" s="101"/>
      <c r="H620" s="101"/>
      <c r="I620" s="101"/>
      <c r="J620" s="142"/>
      <c r="K620" s="101"/>
      <c r="L620" s="101"/>
      <c r="M620" s="101"/>
      <c r="N620" s="101"/>
      <c r="O620" s="101"/>
      <c r="P620" s="101"/>
      <c r="Q620" s="101"/>
      <c r="R620" s="101"/>
      <c r="S620" s="101"/>
      <c r="T620" s="101"/>
      <c r="U620" s="101"/>
      <c r="V620" s="101"/>
      <c r="W620" s="101"/>
      <c r="X620" s="101"/>
      <c r="Y620" s="101"/>
      <c r="Z620" s="101"/>
      <c r="AA620" s="101"/>
      <c r="AB620" s="101"/>
      <c r="AC620" s="101"/>
      <c r="AD620" s="101"/>
    </row>
    <row r="621" ht="30.0" customHeight="1">
      <c r="A621" s="141"/>
      <c r="B621" s="101"/>
      <c r="C621" s="101"/>
      <c r="D621" s="101"/>
      <c r="E621" s="101"/>
      <c r="F621" s="101"/>
      <c r="G621" s="101"/>
      <c r="H621" s="101"/>
      <c r="I621" s="101"/>
      <c r="J621" s="142"/>
      <c r="K621" s="101"/>
      <c r="L621" s="101"/>
      <c r="M621" s="101"/>
      <c r="N621" s="101"/>
      <c r="O621" s="101"/>
      <c r="P621" s="101"/>
      <c r="Q621" s="101"/>
      <c r="R621" s="101"/>
      <c r="S621" s="101"/>
      <c r="T621" s="101"/>
      <c r="U621" s="101"/>
      <c r="V621" s="101"/>
      <c r="W621" s="101"/>
      <c r="X621" s="101"/>
      <c r="Y621" s="101"/>
      <c r="Z621" s="101"/>
      <c r="AA621" s="101"/>
      <c r="AB621" s="101"/>
      <c r="AC621" s="101"/>
      <c r="AD621" s="101"/>
    </row>
    <row r="622" ht="30.0" customHeight="1">
      <c r="A622" s="141"/>
      <c r="B622" s="101"/>
      <c r="C622" s="101"/>
      <c r="D622" s="101"/>
      <c r="E622" s="101"/>
      <c r="F622" s="101"/>
      <c r="G622" s="101"/>
      <c r="H622" s="101"/>
      <c r="I622" s="101"/>
      <c r="J622" s="142"/>
      <c r="K622" s="101"/>
      <c r="L622" s="101"/>
      <c r="M622" s="101"/>
      <c r="N622" s="101"/>
      <c r="O622" s="101"/>
      <c r="P622" s="101"/>
      <c r="Q622" s="101"/>
      <c r="R622" s="101"/>
      <c r="S622" s="101"/>
      <c r="T622" s="101"/>
      <c r="U622" s="101"/>
      <c r="V622" s="101"/>
      <c r="W622" s="101"/>
      <c r="X622" s="101"/>
      <c r="Y622" s="101"/>
      <c r="Z622" s="101"/>
      <c r="AA622" s="101"/>
      <c r="AB622" s="101"/>
      <c r="AC622" s="101"/>
      <c r="AD622" s="101"/>
    </row>
    <row r="623" ht="30.0" customHeight="1">
      <c r="A623" s="141"/>
      <c r="B623" s="101"/>
      <c r="C623" s="101"/>
      <c r="D623" s="101"/>
      <c r="E623" s="101"/>
      <c r="F623" s="101"/>
      <c r="G623" s="101"/>
      <c r="H623" s="101"/>
      <c r="I623" s="101"/>
      <c r="J623" s="142"/>
      <c r="K623" s="101"/>
      <c r="L623" s="101"/>
      <c r="M623" s="101"/>
      <c r="N623" s="101"/>
      <c r="O623" s="101"/>
      <c r="P623" s="101"/>
      <c r="Q623" s="101"/>
      <c r="R623" s="101"/>
      <c r="S623" s="101"/>
      <c r="T623" s="101"/>
      <c r="U623" s="101"/>
      <c r="V623" s="101"/>
      <c r="W623" s="101"/>
      <c r="X623" s="101"/>
      <c r="Y623" s="101"/>
      <c r="Z623" s="101"/>
      <c r="AA623" s="101"/>
      <c r="AB623" s="101"/>
      <c r="AC623" s="101"/>
      <c r="AD623" s="101"/>
    </row>
    <row r="624" ht="30.0" customHeight="1">
      <c r="A624" s="141"/>
      <c r="B624" s="101"/>
      <c r="C624" s="101"/>
      <c r="D624" s="101"/>
      <c r="E624" s="101"/>
      <c r="F624" s="101"/>
      <c r="G624" s="101"/>
      <c r="H624" s="101"/>
      <c r="I624" s="101"/>
      <c r="J624" s="142"/>
      <c r="K624" s="101"/>
      <c r="L624" s="101"/>
      <c r="M624" s="101"/>
      <c r="N624" s="101"/>
      <c r="O624" s="101"/>
      <c r="P624" s="101"/>
      <c r="Q624" s="101"/>
      <c r="R624" s="101"/>
      <c r="S624" s="101"/>
      <c r="T624" s="101"/>
      <c r="U624" s="101"/>
      <c r="V624" s="101"/>
      <c r="W624" s="101"/>
      <c r="X624" s="101"/>
      <c r="Y624" s="101"/>
      <c r="Z624" s="101"/>
      <c r="AA624" s="101"/>
      <c r="AB624" s="101"/>
      <c r="AC624" s="101"/>
      <c r="AD624" s="101"/>
    </row>
    <row r="625" ht="30.0" customHeight="1">
      <c r="A625" s="141"/>
      <c r="B625" s="101"/>
      <c r="C625" s="101"/>
      <c r="D625" s="101"/>
      <c r="E625" s="101"/>
      <c r="F625" s="101"/>
      <c r="G625" s="101"/>
      <c r="H625" s="101"/>
      <c r="I625" s="101"/>
      <c r="J625" s="142"/>
      <c r="K625" s="101"/>
      <c r="L625" s="101"/>
      <c r="M625" s="101"/>
      <c r="N625" s="101"/>
      <c r="O625" s="101"/>
      <c r="P625" s="101"/>
      <c r="Q625" s="101"/>
      <c r="R625" s="101"/>
      <c r="S625" s="101"/>
      <c r="T625" s="101"/>
      <c r="U625" s="101"/>
      <c r="V625" s="101"/>
      <c r="W625" s="101"/>
      <c r="X625" s="101"/>
      <c r="Y625" s="101"/>
      <c r="Z625" s="101"/>
      <c r="AA625" s="101"/>
      <c r="AB625" s="101"/>
      <c r="AC625" s="101"/>
      <c r="AD625" s="101"/>
    </row>
    <row r="626" ht="30.0" customHeight="1">
      <c r="A626" s="141"/>
      <c r="B626" s="101"/>
      <c r="C626" s="101"/>
      <c r="D626" s="101"/>
      <c r="E626" s="101"/>
      <c r="F626" s="101"/>
      <c r="G626" s="101"/>
      <c r="H626" s="101"/>
      <c r="I626" s="101"/>
      <c r="J626" s="142"/>
      <c r="K626" s="101"/>
      <c r="L626" s="101"/>
      <c r="M626" s="101"/>
      <c r="N626" s="101"/>
      <c r="O626" s="101"/>
      <c r="P626" s="101"/>
      <c r="Q626" s="101"/>
      <c r="R626" s="101"/>
      <c r="S626" s="101"/>
      <c r="T626" s="101"/>
      <c r="U626" s="101"/>
      <c r="V626" s="101"/>
      <c r="W626" s="101"/>
      <c r="X626" s="101"/>
      <c r="Y626" s="101"/>
      <c r="Z626" s="101"/>
      <c r="AA626" s="101"/>
      <c r="AB626" s="101"/>
      <c r="AC626" s="101"/>
      <c r="AD626" s="101"/>
    </row>
    <row r="627" ht="30.0" customHeight="1">
      <c r="A627" s="141"/>
      <c r="B627" s="101"/>
      <c r="C627" s="101"/>
      <c r="D627" s="101"/>
      <c r="E627" s="101"/>
      <c r="F627" s="101"/>
      <c r="G627" s="101"/>
      <c r="H627" s="101"/>
      <c r="I627" s="101"/>
      <c r="J627" s="142"/>
      <c r="K627" s="101"/>
      <c r="L627" s="101"/>
      <c r="M627" s="101"/>
      <c r="N627" s="101"/>
      <c r="O627" s="101"/>
      <c r="P627" s="101"/>
      <c r="Q627" s="101"/>
      <c r="R627" s="101"/>
      <c r="S627" s="101"/>
      <c r="T627" s="101"/>
      <c r="U627" s="101"/>
      <c r="V627" s="101"/>
      <c r="W627" s="101"/>
      <c r="X627" s="101"/>
      <c r="Y627" s="101"/>
      <c r="Z627" s="101"/>
      <c r="AA627" s="101"/>
      <c r="AB627" s="101"/>
      <c r="AC627" s="101"/>
      <c r="AD627" s="101"/>
    </row>
    <row r="628" ht="30.0" customHeight="1">
      <c r="A628" s="141"/>
      <c r="B628" s="101"/>
      <c r="C628" s="101"/>
      <c r="D628" s="101"/>
      <c r="E628" s="101"/>
      <c r="F628" s="101"/>
      <c r="G628" s="101"/>
      <c r="H628" s="101"/>
      <c r="I628" s="101"/>
      <c r="J628" s="142"/>
      <c r="K628" s="101"/>
      <c r="L628" s="101"/>
      <c r="M628" s="101"/>
      <c r="N628" s="101"/>
      <c r="O628" s="101"/>
      <c r="P628" s="101"/>
      <c r="Q628" s="101"/>
      <c r="R628" s="101"/>
      <c r="S628" s="101"/>
      <c r="T628" s="101"/>
      <c r="U628" s="101"/>
      <c r="V628" s="101"/>
      <c r="W628" s="101"/>
      <c r="X628" s="101"/>
      <c r="Y628" s="101"/>
      <c r="Z628" s="101"/>
      <c r="AA628" s="101"/>
      <c r="AB628" s="101"/>
      <c r="AC628" s="101"/>
      <c r="AD628" s="101"/>
    </row>
    <row r="629" ht="30.0" customHeight="1">
      <c r="A629" s="141"/>
      <c r="B629" s="101"/>
      <c r="C629" s="101"/>
      <c r="D629" s="101"/>
      <c r="E629" s="101"/>
      <c r="F629" s="101"/>
      <c r="G629" s="101"/>
      <c r="H629" s="101"/>
      <c r="I629" s="101"/>
      <c r="J629" s="142"/>
      <c r="K629" s="101"/>
      <c r="L629" s="101"/>
      <c r="M629" s="101"/>
      <c r="N629" s="101"/>
      <c r="O629" s="101"/>
      <c r="P629" s="101"/>
      <c r="Q629" s="101"/>
      <c r="R629" s="101"/>
      <c r="S629" s="101"/>
      <c r="T629" s="101"/>
      <c r="U629" s="101"/>
      <c r="V629" s="101"/>
      <c r="W629" s="101"/>
      <c r="X629" s="101"/>
      <c r="Y629" s="101"/>
      <c r="Z629" s="101"/>
      <c r="AA629" s="101"/>
      <c r="AB629" s="101"/>
      <c r="AC629" s="101"/>
      <c r="AD629" s="101"/>
    </row>
    <row r="630" ht="30.0" customHeight="1">
      <c r="A630" s="141"/>
      <c r="B630" s="101"/>
      <c r="C630" s="101"/>
      <c r="D630" s="101"/>
      <c r="E630" s="101"/>
      <c r="F630" s="101"/>
      <c r="G630" s="101"/>
      <c r="H630" s="101"/>
      <c r="I630" s="101"/>
      <c r="J630" s="142"/>
      <c r="K630" s="101"/>
      <c r="L630" s="101"/>
      <c r="M630" s="101"/>
      <c r="N630" s="101"/>
      <c r="O630" s="101"/>
      <c r="P630" s="101"/>
      <c r="Q630" s="101"/>
      <c r="R630" s="101"/>
      <c r="S630" s="101"/>
      <c r="T630" s="101"/>
      <c r="U630" s="101"/>
      <c r="V630" s="101"/>
      <c r="W630" s="101"/>
      <c r="X630" s="101"/>
      <c r="Y630" s="101"/>
      <c r="Z630" s="101"/>
      <c r="AA630" s="101"/>
      <c r="AB630" s="101"/>
      <c r="AC630" s="101"/>
      <c r="AD630" s="101"/>
    </row>
    <row r="631" ht="30.0" customHeight="1">
      <c r="A631" s="141"/>
      <c r="B631" s="101"/>
      <c r="C631" s="101"/>
      <c r="D631" s="101"/>
      <c r="E631" s="101"/>
      <c r="F631" s="101"/>
      <c r="G631" s="101"/>
      <c r="H631" s="101"/>
      <c r="I631" s="101"/>
      <c r="J631" s="142"/>
      <c r="K631" s="101"/>
      <c r="L631" s="101"/>
      <c r="M631" s="101"/>
      <c r="N631" s="101"/>
      <c r="O631" s="101"/>
      <c r="P631" s="101"/>
      <c r="Q631" s="101"/>
      <c r="R631" s="101"/>
      <c r="S631" s="101"/>
      <c r="T631" s="101"/>
      <c r="U631" s="101"/>
      <c r="V631" s="101"/>
      <c r="W631" s="101"/>
      <c r="X631" s="101"/>
      <c r="Y631" s="101"/>
      <c r="Z631" s="101"/>
      <c r="AA631" s="101"/>
      <c r="AB631" s="101"/>
      <c r="AC631" s="101"/>
      <c r="AD631" s="101"/>
    </row>
    <row r="632" ht="30.0" customHeight="1">
      <c r="A632" s="141"/>
      <c r="B632" s="101"/>
      <c r="C632" s="101"/>
      <c r="D632" s="101"/>
      <c r="E632" s="101"/>
      <c r="F632" s="101"/>
      <c r="G632" s="101"/>
      <c r="H632" s="101"/>
      <c r="I632" s="101"/>
      <c r="J632" s="142"/>
      <c r="K632" s="101"/>
      <c r="L632" s="101"/>
      <c r="M632" s="101"/>
      <c r="N632" s="101"/>
      <c r="O632" s="101"/>
      <c r="P632" s="101"/>
      <c r="Q632" s="101"/>
      <c r="R632" s="101"/>
      <c r="S632" s="101"/>
      <c r="T632" s="101"/>
      <c r="U632" s="101"/>
      <c r="V632" s="101"/>
      <c r="W632" s="101"/>
      <c r="X632" s="101"/>
      <c r="Y632" s="101"/>
      <c r="Z632" s="101"/>
      <c r="AA632" s="101"/>
      <c r="AB632" s="101"/>
      <c r="AC632" s="101"/>
      <c r="AD632" s="101"/>
    </row>
    <row r="633" ht="30.0" customHeight="1">
      <c r="A633" s="141"/>
      <c r="B633" s="101"/>
      <c r="C633" s="101"/>
      <c r="D633" s="101"/>
      <c r="E633" s="101"/>
      <c r="F633" s="101"/>
      <c r="G633" s="101"/>
      <c r="H633" s="101"/>
      <c r="I633" s="101"/>
      <c r="J633" s="142"/>
      <c r="K633" s="101"/>
      <c r="L633" s="101"/>
      <c r="M633" s="101"/>
      <c r="N633" s="101"/>
      <c r="O633" s="101"/>
      <c r="P633" s="101"/>
      <c r="Q633" s="101"/>
      <c r="R633" s="101"/>
      <c r="S633" s="101"/>
      <c r="T633" s="101"/>
      <c r="U633" s="101"/>
      <c r="V633" s="101"/>
      <c r="W633" s="101"/>
      <c r="X633" s="101"/>
      <c r="Y633" s="101"/>
      <c r="Z633" s="101"/>
      <c r="AA633" s="101"/>
      <c r="AB633" s="101"/>
      <c r="AC633" s="101"/>
      <c r="AD633" s="101"/>
    </row>
    <row r="634" ht="30.0" customHeight="1">
      <c r="A634" s="141"/>
      <c r="B634" s="101"/>
      <c r="C634" s="101"/>
      <c r="D634" s="101"/>
      <c r="E634" s="101"/>
      <c r="F634" s="101"/>
      <c r="G634" s="101"/>
      <c r="H634" s="101"/>
      <c r="I634" s="101"/>
      <c r="J634" s="142"/>
      <c r="K634" s="101"/>
      <c r="L634" s="101"/>
      <c r="M634" s="101"/>
      <c r="N634" s="101"/>
      <c r="O634" s="101"/>
      <c r="P634" s="101"/>
      <c r="Q634" s="101"/>
      <c r="R634" s="101"/>
      <c r="S634" s="101"/>
      <c r="T634" s="101"/>
      <c r="U634" s="101"/>
      <c r="V634" s="101"/>
      <c r="W634" s="101"/>
      <c r="X634" s="101"/>
      <c r="Y634" s="101"/>
      <c r="Z634" s="101"/>
      <c r="AA634" s="101"/>
      <c r="AB634" s="101"/>
      <c r="AC634" s="101"/>
      <c r="AD634" s="101"/>
    </row>
    <row r="635" ht="30.0" customHeight="1">
      <c r="A635" s="141"/>
      <c r="B635" s="101"/>
      <c r="C635" s="101"/>
      <c r="D635" s="101"/>
      <c r="E635" s="101"/>
      <c r="F635" s="101"/>
      <c r="G635" s="101"/>
      <c r="H635" s="101"/>
      <c r="I635" s="101"/>
      <c r="J635" s="142"/>
      <c r="K635" s="101"/>
      <c r="L635" s="101"/>
      <c r="M635" s="101"/>
      <c r="N635" s="101"/>
      <c r="O635" s="101"/>
      <c r="P635" s="101"/>
      <c r="Q635" s="101"/>
      <c r="R635" s="101"/>
      <c r="S635" s="101"/>
      <c r="T635" s="101"/>
      <c r="U635" s="101"/>
      <c r="V635" s="101"/>
      <c r="W635" s="101"/>
      <c r="X635" s="101"/>
      <c r="Y635" s="101"/>
      <c r="Z635" s="101"/>
      <c r="AA635" s="101"/>
      <c r="AB635" s="101"/>
      <c r="AC635" s="101"/>
      <c r="AD635" s="101"/>
    </row>
    <row r="636" ht="30.0" customHeight="1">
      <c r="A636" s="141"/>
      <c r="B636" s="101"/>
      <c r="C636" s="101"/>
      <c r="D636" s="101"/>
      <c r="E636" s="101"/>
      <c r="F636" s="101"/>
      <c r="G636" s="101"/>
      <c r="H636" s="101"/>
      <c r="I636" s="101"/>
      <c r="J636" s="142"/>
      <c r="K636" s="101"/>
      <c r="L636" s="101"/>
      <c r="M636" s="101"/>
      <c r="N636" s="101"/>
      <c r="O636" s="101"/>
      <c r="P636" s="101"/>
      <c r="Q636" s="101"/>
      <c r="R636" s="101"/>
      <c r="S636" s="101"/>
      <c r="T636" s="101"/>
      <c r="U636" s="101"/>
      <c r="V636" s="101"/>
      <c r="W636" s="101"/>
      <c r="X636" s="101"/>
      <c r="Y636" s="101"/>
      <c r="Z636" s="101"/>
      <c r="AA636" s="101"/>
      <c r="AB636" s="101"/>
      <c r="AC636" s="101"/>
      <c r="AD636" s="101"/>
    </row>
    <row r="637" ht="30.0" customHeight="1">
      <c r="A637" s="141"/>
      <c r="B637" s="101"/>
      <c r="C637" s="101"/>
      <c r="D637" s="101"/>
      <c r="E637" s="101"/>
      <c r="F637" s="101"/>
      <c r="G637" s="101"/>
      <c r="H637" s="101"/>
      <c r="I637" s="101"/>
      <c r="J637" s="142"/>
      <c r="K637" s="101"/>
      <c r="L637" s="101"/>
      <c r="M637" s="101"/>
      <c r="N637" s="101"/>
      <c r="O637" s="101"/>
      <c r="P637" s="101"/>
      <c r="Q637" s="101"/>
      <c r="R637" s="101"/>
      <c r="S637" s="101"/>
      <c r="T637" s="101"/>
      <c r="U637" s="101"/>
      <c r="V637" s="101"/>
      <c r="W637" s="101"/>
      <c r="X637" s="101"/>
      <c r="Y637" s="101"/>
      <c r="Z637" s="101"/>
      <c r="AA637" s="101"/>
      <c r="AB637" s="101"/>
      <c r="AC637" s="101"/>
      <c r="AD637" s="101"/>
    </row>
    <row r="638" ht="30.0" customHeight="1">
      <c r="A638" s="141"/>
      <c r="B638" s="101"/>
      <c r="C638" s="101"/>
      <c r="D638" s="101"/>
      <c r="E638" s="101"/>
      <c r="F638" s="101"/>
      <c r="G638" s="101"/>
      <c r="H638" s="101"/>
      <c r="I638" s="101"/>
      <c r="J638" s="142"/>
      <c r="K638" s="101"/>
      <c r="L638" s="101"/>
      <c r="M638" s="101"/>
      <c r="N638" s="101"/>
      <c r="O638" s="101"/>
      <c r="P638" s="101"/>
      <c r="Q638" s="101"/>
      <c r="R638" s="101"/>
      <c r="S638" s="101"/>
      <c r="T638" s="101"/>
      <c r="U638" s="101"/>
      <c r="V638" s="101"/>
      <c r="W638" s="101"/>
      <c r="X638" s="101"/>
      <c r="Y638" s="101"/>
      <c r="Z638" s="101"/>
      <c r="AA638" s="101"/>
      <c r="AB638" s="101"/>
      <c r="AC638" s="101"/>
      <c r="AD638" s="101"/>
    </row>
    <row r="639" ht="30.0" customHeight="1">
      <c r="A639" s="141"/>
      <c r="B639" s="101"/>
      <c r="C639" s="101"/>
      <c r="D639" s="101"/>
      <c r="E639" s="101"/>
      <c r="F639" s="101"/>
      <c r="G639" s="101"/>
      <c r="H639" s="101"/>
      <c r="I639" s="101"/>
      <c r="J639" s="142"/>
      <c r="K639" s="101"/>
      <c r="L639" s="101"/>
      <c r="M639" s="101"/>
      <c r="N639" s="101"/>
      <c r="O639" s="101"/>
      <c r="P639" s="101"/>
      <c r="Q639" s="101"/>
      <c r="R639" s="101"/>
      <c r="S639" s="101"/>
      <c r="T639" s="101"/>
      <c r="U639" s="101"/>
      <c r="V639" s="101"/>
      <c r="W639" s="101"/>
      <c r="X639" s="101"/>
      <c r="Y639" s="101"/>
      <c r="Z639" s="101"/>
      <c r="AA639" s="101"/>
      <c r="AB639" s="101"/>
      <c r="AC639" s="101"/>
      <c r="AD639" s="101"/>
    </row>
    <row r="640" ht="30.0" customHeight="1">
      <c r="A640" s="141"/>
      <c r="B640" s="101"/>
      <c r="C640" s="101"/>
      <c r="D640" s="101"/>
      <c r="E640" s="101"/>
      <c r="F640" s="101"/>
      <c r="G640" s="101"/>
      <c r="H640" s="101"/>
      <c r="I640" s="101"/>
      <c r="J640" s="142"/>
      <c r="K640" s="101"/>
      <c r="L640" s="101"/>
      <c r="M640" s="101"/>
      <c r="N640" s="101"/>
      <c r="O640" s="101"/>
      <c r="P640" s="101"/>
      <c r="Q640" s="101"/>
      <c r="R640" s="101"/>
      <c r="S640" s="101"/>
      <c r="T640" s="101"/>
      <c r="U640" s="101"/>
      <c r="V640" s="101"/>
      <c r="W640" s="101"/>
      <c r="X640" s="101"/>
      <c r="Y640" s="101"/>
      <c r="Z640" s="101"/>
      <c r="AA640" s="101"/>
      <c r="AB640" s="101"/>
      <c r="AC640" s="101"/>
      <c r="AD640" s="101"/>
    </row>
    <row r="641" ht="30.0" customHeight="1">
      <c r="A641" s="141"/>
      <c r="B641" s="101"/>
      <c r="C641" s="101"/>
      <c r="D641" s="101"/>
      <c r="E641" s="101"/>
      <c r="F641" s="101"/>
      <c r="G641" s="101"/>
      <c r="H641" s="101"/>
      <c r="I641" s="101"/>
      <c r="J641" s="142"/>
      <c r="K641" s="101"/>
      <c r="L641" s="101"/>
      <c r="M641" s="101"/>
      <c r="N641" s="101"/>
      <c r="O641" s="101"/>
      <c r="P641" s="101"/>
      <c r="Q641" s="101"/>
      <c r="R641" s="101"/>
      <c r="S641" s="101"/>
      <c r="T641" s="101"/>
      <c r="U641" s="101"/>
      <c r="V641" s="101"/>
      <c r="W641" s="101"/>
      <c r="X641" s="101"/>
      <c r="Y641" s="101"/>
      <c r="Z641" s="101"/>
      <c r="AA641" s="101"/>
      <c r="AB641" s="101"/>
      <c r="AC641" s="101"/>
      <c r="AD641" s="101"/>
    </row>
    <row r="642" ht="30.0" customHeight="1">
      <c r="A642" s="141"/>
      <c r="B642" s="101"/>
      <c r="C642" s="101"/>
      <c r="D642" s="101"/>
      <c r="E642" s="101"/>
      <c r="F642" s="101"/>
      <c r="G642" s="101"/>
      <c r="H642" s="101"/>
      <c r="I642" s="101"/>
      <c r="J642" s="142"/>
      <c r="K642" s="101"/>
      <c r="L642" s="101"/>
      <c r="M642" s="101"/>
      <c r="N642" s="101"/>
      <c r="O642" s="101"/>
      <c r="P642" s="101"/>
      <c r="Q642" s="101"/>
      <c r="R642" s="101"/>
      <c r="S642" s="101"/>
      <c r="T642" s="101"/>
      <c r="U642" s="101"/>
      <c r="V642" s="101"/>
      <c r="W642" s="101"/>
      <c r="X642" s="101"/>
      <c r="Y642" s="101"/>
      <c r="Z642" s="101"/>
      <c r="AA642" s="101"/>
      <c r="AB642" s="101"/>
      <c r="AC642" s="101"/>
      <c r="AD642" s="101"/>
    </row>
    <row r="643" ht="30.0" customHeight="1">
      <c r="A643" s="141"/>
      <c r="B643" s="101"/>
      <c r="C643" s="101"/>
      <c r="D643" s="101"/>
      <c r="E643" s="101"/>
      <c r="F643" s="101"/>
      <c r="G643" s="101"/>
      <c r="H643" s="101"/>
      <c r="I643" s="101"/>
      <c r="J643" s="142"/>
      <c r="K643" s="101"/>
      <c r="L643" s="101"/>
      <c r="M643" s="101"/>
      <c r="N643" s="101"/>
      <c r="O643" s="101"/>
      <c r="P643" s="101"/>
      <c r="Q643" s="101"/>
      <c r="R643" s="101"/>
      <c r="S643" s="101"/>
      <c r="T643" s="101"/>
      <c r="U643" s="101"/>
      <c r="V643" s="101"/>
      <c r="W643" s="101"/>
      <c r="X643" s="101"/>
      <c r="Y643" s="101"/>
      <c r="Z643" s="101"/>
      <c r="AA643" s="101"/>
      <c r="AB643" s="101"/>
      <c r="AC643" s="101"/>
      <c r="AD643" s="101"/>
    </row>
    <row r="644" ht="30.0" customHeight="1">
      <c r="A644" s="141"/>
      <c r="B644" s="101"/>
      <c r="C644" s="101"/>
      <c r="D644" s="101"/>
      <c r="E644" s="101"/>
      <c r="F644" s="101"/>
      <c r="G644" s="101"/>
      <c r="H644" s="101"/>
      <c r="I644" s="101"/>
      <c r="J644" s="142"/>
      <c r="K644" s="101"/>
      <c r="L644" s="101"/>
      <c r="M644" s="101"/>
      <c r="N644" s="101"/>
      <c r="O644" s="101"/>
      <c r="P644" s="101"/>
      <c r="Q644" s="101"/>
      <c r="R644" s="101"/>
      <c r="S644" s="101"/>
      <c r="T644" s="101"/>
      <c r="U644" s="101"/>
      <c r="V644" s="101"/>
      <c r="W644" s="101"/>
      <c r="X644" s="101"/>
      <c r="Y644" s="101"/>
      <c r="Z644" s="101"/>
      <c r="AA644" s="101"/>
      <c r="AB644" s="101"/>
      <c r="AC644" s="101"/>
      <c r="AD644" s="101"/>
    </row>
    <row r="645" ht="30.0" customHeight="1">
      <c r="A645" s="141"/>
      <c r="B645" s="101"/>
      <c r="C645" s="101"/>
      <c r="D645" s="101"/>
      <c r="E645" s="101"/>
      <c r="F645" s="101"/>
      <c r="G645" s="101"/>
      <c r="H645" s="101"/>
      <c r="I645" s="101"/>
      <c r="J645" s="142"/>
      <c r="K645" s="101"/>
      <c r="L645" s="101"/>
      <c r="M645" s="101"/>
      <c r="N645" s="101"/>
      <c r="O645" s="101"/>
      <c r="P645" s="101"/>
      <c r="Q645" s="101"/>
      <c r="R645" s="101"/>
      <c r="S645" s="101"/>
      <c r="T645" s="101"/>
      <c r="U645" s="101"/>
      <c r="V645" s="101"/>
      <c r="W645" s="101"/>
      <c r="X645" s="101"/>
      <c r="Y645" s="101"/>
      <c r="Z645" s="101"/>
      <c r="AA645" s="101"/>
      <c r="AB645" s="101"/>
      <c r="AC645" s="101"/>
      <c r="AD645" s="101"/>
    </row>
    <row r="646" ht="30.0" customHeight="1">
      <c r="A646" s="141"/>
      <c r="B646" s="101"/>
      <c r="C646" s="101"/>
      <c r="D646" s="101"/>
      <c r="E646" s="101"/>
      <c r="F646" s="101"/>
      <c r="G646" s="101"/>
      <c r="H646" s="101"/>
      <c r="I646" s="101"/>
      <c r="J646" s="142"/>
      <c r="K646" s="101"/>
      <c r="L646" s="101"/>
      <c r="M646" s="101"/>
      <c r="N646" s="101"/>
      <c r="O646" s="101"/>
      <c r="P646" s="101"/>
      <c r="Q646" s="101"/>
      <c r="R646" s="101"/>
      <c r="S646" s="101"/>
      <c r="T646" s="101"/>
      <c r="U646" s="101"/>
      <c r="V646" s="101"/>
      <c r="W646" s="101"/>
      <c r="X646" s="101"/>
      <c r="Y646" s="101"/>
      <c r="Z646" s="101"/>
      <c r="AA646" s="101"/>
      <c r="AB646" s="101"/>
      <c r="AC646" s="101"/>
      <c r="AD646" s="101"/>
    </row>
    <row r="647" ht="30.0" customHeight="1">
      <c r="A647" s="141"/>
      <c r="B647" s="101"/>
      <c r="C647" s="101"/>
      <c r="D647" s="101"/>
      <c r="E647" s="101"/>
      <c r="F647" s="101"/>
      <c r="G647" s="101"/>
      <c r="H647" s="101"/>
      <c r="I647" s="101"/>
      <c r="J647" s="142"/>
      <c r="K647" s="101"/>
      <c r="L647" s="101"/>
      <c r="M647" s="101"/>
      <c r="N647" s="101"/>
      <c r="O647" s="101"/>
      <c r="P647" s="101"/>
      <c r="Q647" s="101"/>
      <c r="R647" s="101"/>
      <c r="S647" s="101"/>
      <c r="T647" s="101"/>
      <c r="U647" s="101"/>
      <c r="V647" s="101"/>
      <c r="W647" s="101"/>
      <c r="X647" s="101"/>
      <c r="Y647" s="101"/>
      <c r="Z647" s="101"/>
      <c r="AA647" s="101"/>
      <c r="AB647" s="101"/>
      <c r="AC647" s="101"/>
      <c r="AD647" s="101"/>
    </row>
    <row r="648" ht="30.0" customHeight="1">
      <c r="A648" s="141"/>
      <c r="B648" s="101"/>
      <c r="C648" s="101"/>
      <c r="D648" s="101"/>
      <c r="E648" s="101"/>
      <c r="F648" s="101"/>
      <c r="G648" s="101"/>
      <c r="H648" s="101"/>
      <c r="I648" s="101"/>
      <c r="J648" s="142"/>
      <c r="K648" s="101"/>
      <c r="L648" s="101"/>
      <c r="M648" s="101"/>
      <c r="N648" s="101"/>
      <c r="O648" s="101"/>
      <c r="P648" s="101"/>
      <c r="Q648" s="101"/>
      <c r="R648" s="101"/>
      <c r="S648" s="101"/>
      <c r="T648" s="101"/>
      <c r="U648" s="101"/>
      <c r="V648" s="101"/>
      <c r="W648" s="101"/>
      <c r="X648" s="101"/>
      <c r="Y648" s="101"/>
      <c r="Z648" s="101"/>
      <c r="AA648" s="101"/>
      <c r="AB648" s="101"/>
      <c r="AC648" s="101"/>
      <c r="AD648" s="101"/>
    </row>
    <row r="649" ht="30.0" customHeight="1">
      <c r="A649" s="141"/>
      <c r="B649" s="101"/>
      <c r="C649" s="101"/>
      <c r="D649" s="101"/>
      <c r="E649" s="101"/>
      <c r="F649" s="101"/>
      <c r="G649" s="101"/>
      <c r="H649" s="101"/>
      <c r="I649" s="101"/>
      <c r="J649" s="142"/>
      <c r="K649" s="101"/>
      <c r="L649" s="101"/>
      <c r="M649" s="101"/>
      <c r="N649" s="101"/>
      <c r="O649" s="101"/>
      <c r="P649" s="101"/>
      <c r="Q649" s="101"/>
      <c r="R649" s="101"/>
      <c r="S649" s="101"/>
      <c r="T649" s="101"/>
      <c r="U649" s="101"/>
      <c r="V649" s="101"/>
      <c r="W649" s="101"/>
      <c r="X649" s="101"/>
      <c r="Y649" s="101"/>
      <c r="Z649" s="101"/>
      <c r="AA649" s="101"/>
      <c r="AB649" s="101"/>
      <c r="AC649" s="101"/>
      <c r="AD649" s="101"/>
    </row>
    <row r="650" ht="30.0" customHeight="1">
      <c r="A650" s="141"/>
      <c r="B650" s="101"/>
      <c r="C650" s="101"/>
      <c r="D650" s="101"/>
      <c r="E650" s="101"/>
      <c r="F650" s="101"/>
      <c r="G650" s="101"/>
      <c r="H650" s="101"/>
      <c r="I650" s="101"/>
      <c r="J650" s="142"/>
      <c r="K650" s="101"/>
      <c r="L650" s="101"/>
      <c r="M650" s="101"/>
      <c r="N650" s="101"/>
      <c r="O650" s="101"/>
      <c r="P650" s="101"/>
      <c r="Q650" s="101"/>
      <c r="R650" s="101"/>
      <c r="S650" s="101"/>
      <c r="T650" s="101"/>
      <c r="U650" s="101"/>
      <c r="V650" s="101"/>
      <c r="W650" s="101"/>
      <c r="X650" s="101"/>
      <c r="Y650" s="101"/>
      <c r="Z650" s="101"/>
      <c r="AA650" s="101"/>
      <c r="AB650" s="101"/>
      <c r="AC650" s="101"/>
      <c r="AD650" s="101"/>
    </row>
    <row r="651" ht="30.0" customHeight="1">
      <c r="A651" s="141"/>
      <c r="B651" s="101"/>
      <c r="C651" s="101"/>
      <c r="D651" s="101"/>
      <c r="E651" s="101"/>
      <c r="F651" s="101"/>
      <c r="G651" s="101"/>
      <c r="H651" s="101"/>
      <c r="I651" s="101"/>
      <c r="J651" s="142"/>
      <c r="K651" s="101"/>
      <c r="L651" s="101"/>
      <c r="M651" s="101"/>
      <c r="N651" s="101"/>
      <c r="O651" s="101"/>
      <c r="P651" s="101"/>
      <c r="Q651" s="101"/>
      <c r="R651" s="101"/>
      <c r="S651" s="101"/>
      <c r="T651" s="101"/>
      <c r="U651" s="101"/>
      <c r="V651" s="101"/>
      <c r="W651" s="101"/>
      <c r="X651" s="101"/>
      <c r="Y651" s="101"/>
      <c r="Z651" s="101"/>
      <c r="AA651" s="101"/>
      <c r="AB651" s="101"/>
      <c r="AC651" s="101"/>
      <c r="AD651" s="101"/>
    </row>
    <row r="652" ht="30.0" customHeight="1">
      <c r="A652" s="141"/>
      <c r="B652" s="101"/>
      <c r="C652" s="101"/>
      <c r="D652" s="101"/>
      <c r="E652" s="101"/>
      <c r="F652" s="101"/>
      <c r="G652" s="101"/>
      <c r="H652" s="101"/>
      <c r="I652" s="101"/>
      <c r="J652" s="142"/>
      <c r="K652" s="101"/>
      <c r="L652" s="101"/>
      <c r="M652" s="101"/>
      <c r="N652" s="101"/>
      <c r="O652" s="101"/>
      <c r="P652" s="101"/>
      <c r="Q652" s="101"/>
      <c r="R652" s="101"/>
      <c r="S652" s="101"/>
      <c r="T652" s="101"/>
      <c r="U652" s="101"/>
      <c r="V652" s="101"/>
      <c r="W652" s="101"/>
      <c r="X652" s="101"/>
      <c r="Y652" s="101"/>
      <c r="Z652" s="101"/>
      <c r="AA652" s="101"/>
      <c r="AB652" s="101"/>
      <c r="AC652" s="101"/>
      <c r="AD652" s="101"/>
    </row>
    <row r="653" ht="30.0" customHeight="1">
      <c r="A653" s="141"/>
      <c r="B653" s="101"/>
      <c r="C653" s="101"/>
      <c r="D653" s="101"/>
      <c r="E653" s="101"/>
      <c r="F653" s="101"/>
      <c r="G653" s="101"/>
      <c r="H653" s="101"/>
      <c r="I653" s="101"/>
      <c r="J653" s="142"/>
      <c r="K653" s="101"/>
      <c r="L653" s="101"/>
      <c r="M653" s="101"/>
      <c r="N653" s="101"/>
      <c r="O653" s="101"/>
      <c r="P653" s="101"/>
      <c r="Q653" s="101"/>
      <c r="R653" s="101"/>
      <c r="S653" s="101"/>
      <c r="T653" s="101"/>
      <c r="U653" s="101"/>
      <c r="V653" s="101"/>
      <c r="W653" s="101"/>
      <c r="X653" s="101"/>
      <c r="Y653" s="101"/>
      <c r="Z653" s="101"/>
      <c r="AA653" s="101"/>
      <c r="AB653" s="101"/>
      <c r="AC653" s="101"/>
      <c r="AD653" s="101"/>
    </row>
    <row r="654" ht="30.0" customHeight="1">
      <c r="A654" s="141"/>
      <c r="B654" s="101"/>
      <c r="C654" s="101"/>
      <c r="D654" s="101"/>
      <c r="E654" s="101"/>
      <c r="F654" s="101"/>
      <c r="G654" s="101"/>
      <c r="H654" s="101"/>
      <c r="I654" s="101"/>
      <c r="J654" s="142"/>
      <c r="K654" s="101"/>
      <c r="L654" s="101"/>
      <c r="M654" s="101"/>
      <c r="N654" s="101"/>
      <c r="O654" s="101"/>
      <c r="P654" s="101"/>
      <c r="Q654" s="101"/>
      <c r="R654" s="101"/>
      <c r="S654" s="101"/>
      <c r="T654" s="101"/>
      <c r="U654" s="101"/>
      <c r="V654" s="101"/>
      <c r="W654" s="101"/>
      <c r="X654" s="101"/>
      <c r="Y654" s="101"/>
      <c r="Z654" s="101"/>
      <c r="AA654" s="101"/>
      <c r="AB654" s="101"/>
      <c r="AC654" s="101"/>
      <c r="AD654" s="101"/>
    </row>
    <row r="655" ht="30.0" customHeight="1">
      <c r="A655" s="141"/>
      <c r="B655" s="101"/>
      <c r="C655" s="101"/>
      <c r="D655" s="101"/>
      <c r="E655" s="101"/>
      <c r="F655" s="101"/>
      <c r="G655" s="101"/>
      <c r="H655" s="101"/>
      <c r="I655" s="101"/>
      <c r="J655" s="142"/>
      <c r="K655" s="101"/>
      <c r="L655" s="101"/>
      <c r="M655" s="101"/>
      <c r="N655" s="101"/>
      <c r="O655" s="101"/>
      <c r="P655" s="101"/>
      <c r="Q655" s="101"/>
      <c r="R655" s="101"/>
      <c r="S655" s="101"/>
      <c r="T655" s="101"/>
      <c r="U655" s="101"/>
      <c r="V655" s="101"/>
      <c r="W655" s="101"/>
      <c r="X655" s="101"/>
      <c r="Y655" s="101"/>
      <c r="Z655" s="101"/>
      <c r="AA655" s="101"/>
      <c r="AB655" s="101"/>
      <c r="AC655" s="101"/>
      <c r="AD655" s="101"/>
    </row>
    <row r="656" ht="30.0" customHeight="1">
      <c r="A656" s="141"/>
      <c r="B656" s="101"/>
      <c r="C656" s="101"/>
      <c r="D656" s="101"/>
      <c r="E656" s="101"/>
      <c r="F656" s="101"/>
      <c r="G656" s="101"/>
      <c r="H656" s="101"/>
      <c r="I656" s="101"/>
      <c r="J656" s="142"/>
      <c r="K656" s="101"/>
      <c r="L656" s="101"/>
      <c r="M656" s="101"/>
      <c r="N656" s="101"/>
      <c r="O656" s="101"/>
      <c r="P656" s="101"/>
      <c r="Q656" s="101"/>
      <c r="R656" s="101"/>
      <c r="S656" s="101"/>
      <c r="T656" s="101"/>
      <c r="U656" s="101"/>
      <c r="V656" s="101"/>
      <c r="W656" s="101"/>
      <c r="X656" s="101"/>
      <c r="Y656" s="101"/>
      <c r="Z656" s="101"/>
      <c r="AA656" s="101"/>
      <c r="AB656" s="101"/>
      <c r="AC656" s="101"/>
      <c r="AD656" s="101"/>
    </row>
    <row r="657" ht="30.0" customHeight="1">
      <c r="A657" s="141"/>
      <c r="B657" s="101"/>
      <c r="C657" s="101"/>
      <c r="D657" s="101"/>
      <c r="E657" s="101"/>
      <c r="F657" s="101"/>
      <c r="G657" s="101"/>
      <c r="H657" s="101"/>
      <c r="I657" s="101"/>
      <c r="J657" s="142"/>
      <c r="K657" s="101"/>
      <c r="L657" s="101"/>
      <c r="M657" s="101"/>
      <c r="N657" s="101"/>
      <c r="O657" s="101"/>
      <c r="P657" s="101"/>
      <c r="Q657" s="101"/>
      <c r="R657" s="101"/>
      <c r="S657" s="101"/>
      <c r="T657" s="101"/>
      <c r="U657" s="101"/>
      <c r="V657" s="101"/>
      <c r="W657" s="101"/>
      <c r="X657" s="101"/>
      <c r="Y657" s="101"/>
      <c r="Z657" s="101"/>
      <c r="AA657" s="101"/>
      <c r="AB657" s="101"/>
      <c r="AC657" s="101"/>
      <c r="AD657" s="101"/>
    </row>
    <row r="658" ht="30.0" customHeight="1">
      <c r="A658" s="141"/>
      <c r="B658" s="101"/>
      <c r="C658" s="101"/>
      <c r="D658" s="101"/>
      <c r="E658" s="101"/>
      <c r="F658" s="101"/>
      <c r="G658" s="101"/>
      <c r="H658" s="101"/>
      <c r="I658" s="101"/>
      <c r="J658" s="142"/>
      <c r="K658" s="101"/>
      <c r="L658" s="101"/>
      <c r="M658" s="101"/>
      <c r="N658" s="101"/>
      <c r="O658" s="101"/>
      <c r="P658" s="101"/>
      <c r="Q658" s="101"/>
      <c r="R658" s="101"/>
      <c r="S658" s="101"/>
      <c r="T658" s="101"/>
      <c r="U658" s="101"/>
      <c r="V658" s="101"/>
      <c r="W658" s="101"/>
      <c r="X658" s="101"/>
      <c r="Y658" s="101"/>
      <c r="Z658" s="101"/>
      <c r="AA658" s="101"/>
      <c r="AB658" s="101"/>
      <c r="AC658" s="101"/>
      <c r="AD658" s="101"/>
    </row>
    <row r="659" ht="30.0" customHeight="1">
      <c r="A659" s="141"/>
      <c r="B659" s="101"/>
      <c r="C659" s="101"/>
      <c r="D659" s="101"/>
      <c r="E659" s="101"/>
      <c r="F659" s="101"/>
      <c r="G659" s="101"/>
      <c r="H659" s="101"/>
      <c r="I659" s="101"/>
      <c r="J659" s="142"/>
      <c r="K659" s="101"/>
      <c r="L659" s="101"/>
      <c r="M659" s="101"/>
      <c r="N659" s="101"/>
      <c r="O659" s="101"/>
      <c r="P659" s="101"/>
      <c r="Q659" s="101"/>
      <c r="R659" s="101"/>
      <c r="S659" s="101"/>
      <c r="T659" s="101"/>
      <c r="U659" s="101"/>
      <c r="V659" s="101"/>
      <c r="W659" s="101"/>
      <c r="X659" s="101"/>
      <c r="Y659" s="101"/>
      <c r="Z659" s="101"/>
      <c r="AA659" s="101"/>
      <c r="AB659" s="101"/>
      <c r="AC659" s="101"/>
      <c r="AD659" s="101"/>
    </row>
    <row r="660" ht="30.0" customHeight="1">
      <c r="A660" s="141"/>
      <c r="B660" s="101"/>
      <c r="C660" s="101"/>
      <c r="D660" s="101"/>
      <c r="E660" s="101"/>
      <c r="F660" s="101"/>
      <c r="G660" s="101"/>
      <c r="H660" s="101"/>
      <c r="I660" s="101"/>
      <c r="J660" s="142"/>
      <c r="K660" s="101"/>
      <c r="L660" s="101"/>
      <c r="M660" s="101"/>
      <c r="N660" s="101"/>
      <c r="O660" s="101"/>
      <c r="P660" s="101"/>
      <c r="Q660" s="101"/>
      <c r="R660" s="101"/>
      <c r="S660" s="101"/>
      <c r="T660" s="101"/>
      <c r="U660" s="101"/>
      <c r="V660" s="101"/>
      <c r="W660" s="101"/>
      <c r="X660" s="101"/>
      <c r="Y660" s="101"/>
      <c r="Z660" s="101"/>
      <c r="AA660" s="101"/>
      <c r="AB660" s="101"/>
      <c r="AC660" s="101"/>
      <c r="AD660" s="101"/>
    </row>
    <row r="661" ht="30.0" customHeight="1">
      <c r="A661" s="141"/>
      <c r="B661" s="101"/>
      <c r="C661" s="101"/>
      <c r="D661" s="101"/>
      <c r="E661" s="101"/>
      <c r="F661" s="101"/>
      <c r="G661" s="101"/>
      <c r="H661" s="101"/>
      <c r="I661" s="101"/>
      <c r="J661" s="142"/>
      <c r="K661" s="101"/>
      <c r="L661" s="101"/>
      <c r="M661" s="101"/>
      <c r="N661" s="101"/>
      <c r="O661" s="101"/>
      <c r="P661" s="101"/>
      <c r="Q661" s="101"/>
      <c r="R661" s="101"/>
      <c r="S661" s="101"/>
      <c r="T661" s="101"/>
      <c r="U661" s="101"/>
      <c r="V661" s="101"/>
      <c r="W661" s="101"/>
      <c r="X661" s="101"/>
      <c r="Y661" s="101"/>
      <c r="Z661" s="101"/>
      <c r="AA661" s="101"/>
      <c r="AB661" s="101"/>
      <c r="AC661" s="101"/>
      <c r="AD661" s="101"/>
    </row>
    <row r="662" ht="30.0" customHeight="1">
      <c r="A662" s="141"/>
      <c r="B662" s="101"/>
      <c r="C662" s="101"/>
      <c r="D662" s="101"/>
      <c r="E662" s="101"/>
      <c r="F662" s="101"/>
      <c r="G662" s="101"/>
      <c r="H662" s="101"/>
      <c r="I662" s="101"/>
      <c r="J662" s="142"/>
      <c r="K662" s="101"/>
      <c r="L662" s="101"/>
      <c r="M662" s="101"/>
      <c r="N662" s="101"/>
      <c r="O662" s="101"/>
      <c r="P662" s="101"/>
      <c r="Q662" s="101"/>
      <c r="R662" s="101"/>
      <c r="S662" s="101"/>
      <c r="T662" s="101"/>
      <c r="U662" s="101"/>
      <c r="V662" s="101"/>
      <c r="W662" s="101"/>
      <c r="X662" s="101"/>
      <c r="Y662" s="101"/>
      <c r="Z662" s="101"/>
      <c r="AA662" s="101"/>
      <c r="AB662" s="101"/>
      <c r="AC662" s="101"/>
      <c r="AD662" s="101"/>
    </row>
    <row r="663" ht="30.0" customHeight="1">
      <c r="A663" s="141"/>
      <c r="B663" s="101"/>
      <c r="C663" s="101"/>
      <c r="D663" s="101"/>
      <c r="E663" s="101"/>
      <c r="F663" s="101"/>
      <c r="G663" s="101"/>
      <c r="H663" s="101"/>
      <c r="I663" s="101"/>
      <c r="J663" s="142"/>
      <c r="K663" s="101"/>
      <c r="L663" s="101"/>
      <c r="M663" s="101"/>
      <c r="N663" s="101"/>
      <c r="O663" s="101"/>
      <c r="P663" s="101"/>
      <c r="Q663" s="101"/>
      <c r="R663" s="101"/>
      <c r="S663" s="101"/>
      <c r="T663" s="101"/>
      <c r="U663" s="101"/>
      <c r="V663" s="101"/>
      <c r="W663" s="101"/>
      <c r="X663" s="101"/>
      <c r="Y663" s="101"/>
      <c r="Z663" s="101"/>
      <c r="AA663" s="101"/>
      <c r="AB663" s="101"/>
      <c r="AC663" s="101"/>
      <c r="AD663" s="101"/>
    </row>
    <row r="664" ht="30.0" customHeight="1">
      <c r="A664" s="141"/>
      <c r="B664" s="101"/>
      <c r="C664" s="101"/>
      <c r="D664" s="101"/>
      <c r="E664" s="101"/>
      <c r="F664" s="101"/>
      <c r="G664" s="101"/>
      <c r="H664" s="101"/>
      <c r="I664" s="101"/>
      <c r="J664" s="142"/>
      <c r="K664" s="101"/>
      <c r="L664" s="101"/>
      <c r="M664" s="101"/>
      <c r="N664" s="101"/>
      <c r="O664" s="101"/>
      <c r="P664" s="101"/>
      <c r="Q664" s="101"/>
      <c r="R664" s="101"/>
      <c r="S664" s="101"/>
      <c r="T664" s="101"/>
      <c r="U664" s="101"/>
      <c r="V664" s="101"/>
      <c r="W664" s="101"/>
      <c r="X664" s="101"/>
      <c r="Y664" s="101"/>
      <c r="Z664" s="101"/>
      <c r="AA664" s="101"/>
      <c r="AB664" s="101"/>
      <c r="AC664" s="101"/>
      <c r="AD664" s="101"/>
    </row>
    <row r="665" ht="30.0" customHeight="1">
      <c r="A665" s="141"/>
      <c r="B665" s="101"/>
      <c r="C665" s="101"/>
      <c r="D665" s="101"/>
      <c r="E665" s="101"/>
      <c r="F665" s="101"/>
      <c r="G665" s="101"/>
      <c r="H665" s="101"/>
      <c r="I665" s="101"/>
      <c r="J665" s="142"/>
      <c r="K665" s="101"/>
      <c r="L665" s="101"/>
      <c r="M665" s="101"/>
      <c r="N665" s="101"/>
      <c r="O665" s="101"/>
      <c r="P665" s="101"/>
      <c r="Q665" s="101"/>
      <c r="R665" s="101"/>
      <c r="S665" s="101"/>
      <c r="T665" s="101"/>
      <c r="U665" s="101"/>
      <c r="V665" s="101"/>
      <c r="W665" s="101"/>
      <c r="X665" s="101"/>
      <c r="Y665" s="101"/>
      <c r="Z665" s="101"/>
      <c r="AA665" s="101"/>
      <c r="AB665" s="101"/>
      <c r="AC665" s="101"/>
      <c r="AD665" s="101"/>
    </row>
    <row r="666" ht="30.0" customHeight="1">
      <c r="A666" s="141"/>
      <c r="B666" s="101"/>
      <c r="C666" s="101"/>
      <c r="D666" s="101"/>
      <c r="E666" s="101"/>
      <c r="F666" s="101"/>
      <c r="G666" s="101"/>
      <c r="H666" s="101"/>
      <c r="I666" s="101"/>
      <c r="J666" s="142"/>
      <c r="K666" s="101"/>
      <c r="L666" s="101"/>
      <c r="M666" s="101"/>
      <c r="N666" s="101"/>
      <c r="O666" s="101"/>
      <c r="P666" s="101"/>
      <c r="Q666" s="101"/>
      <c r="R666" s="101"/>
      <c r="S666" s="101"/>
      <c r="T666" s="101"/>
      <c r="U666" s="101"/>
      <c r="V666" s="101"/>
      <c r="W666" s="101"/>
      <c r="X666" s="101"/>
      <c r="Y666" s="101"/>
      <c r="Z666" s="101"/>
      <c r="AA666" s="101"/>
      <c r="AB666" s="101"/>
      <c r="AC666" s="101"/>
      <c r="AD666" s="101"/>
    </row>
    <row r="667" ht="30.0" customHeight="1">
      <c r="A667" s="141"/>
      <c r="B667" s="101"/>
      <c r="C667" s="101"/>
      <c r="D667" s="101"/>
      <c r="E667" s="101"/>
      <c r="F667" s="101"/>
      <c r="G667" s="101"/>
      <c r="H667" s="101"/>
      <c r="I667" s="101"/>
      <c r="J667" s="142"/>
      <c r="K667" s="101"/>
      <c r="L667" s="101"/>
      <c r="M667" s="101"/>
      <c r="N667" s="101"/>
      <c r="O667" s="101"/>
      <c r="P667" s="101"/>
      <c r="Q667" s="101"/>
      <c r="R667" s="101"/>
      <c r="S667" s="101"/>
      <c r="T667" s="101"/>
      <c r="U667" s="101"/>
      <c r="V667" s="101"/>
      <c r="W667" s="101"/>
      <c r="X667" s="101"/>
      <c r="Y667" s="101"/>
      <c r="Z667" s="101"/>
      <c r="AA667" s="101"/>
      <c r="AB667" s="101"/>
      <c r="AC667" s="101"/>
      <c r="AD667" s="101"/>
    </row>
    <row r="668" ht="30.0" customHeight="1">
      <c r="A668" s="141"/>
      <c r="B668" s="101"/>
      <c r="C668" s="101"/>
      <c r="D668" s="101"/>
      <c r="E668" s="101"/>
      <c r="F668" s="101"/>
      <c r="G668" s="101"/>
      <c r="H668" s="101"/>
      <c r="I668" s="101"/>
      <c r="J668" s="142"/>
      <c r="K668" s="101"/>
      <c r="L668" s="101"/>
      <c r="M668" s="101"/>
      <c r="N668" s="101"/>
      <c r="O668" s="101"/>
      <c r="P668" s="101"/>
      <c r="Q668" s="101"/>
      <c r="R668" s="101"/>
      <c r="S668" s="101"/>
      <c r="T668" s="101"/>
      <c r="U668" s="101"/>
      <c r="V668" s="101"/>
      <c r="W668" s="101"/>
      <c r="X668" s="101"/>
      <c r="Y668" s="101"/>
      <c r="Z668" s="101"/>
      <c r="AA668" s="101"/>
      <c r="AB668" s="101"/>
      <c r="AC668" s="101"/>
      <c r="AD668" s="101"/>
    </row>
    <row r="669" ht="30.0" customHeight="1">
      <c r="A669" s="141"/>
      <c r="B669" s="101"/>
      <c r="C669" s="101"/>
      <c r="D669" s="101"/>
      <c r="E669" s="101"/>
      <c r="F669" s="101"/>
      <c r="G669" s="101"/>
      <c r="H669" s="101"/>
      <c r="I669" s="101"/>
      <c r="J669" s="142"/>
      <c r="K669" s="101"/>
      <c r="L669" s="101"/>
      <c r="M669" s="101"/>
      <c r="N669" s="101"/>
      <c r="O669" s="101"/>
      <c r="P669" s="101"/>
      <c r="Q669" s="101"/>
      <c r="R669" s="101"/>
      <c r="S669" s="101"/>
      <c r="T669" s="101"/>
      <c r="U669" s="101"/>
      <c r="V669" s="101"/>
      <c r="W669" s="101"/>
      <c r="X669" s="101"/>
      <c r="Y669" s="101"/>
      <c r="Z669" s="101"/>
      <c r="AA669" s="101"/>
      <c r="AB669" s="101"/>
      <c r="AC669" s="101"/>
      <c r="AD669" s="101"/>
    </row>
    <row r="670" ht="30.0" customHeight="1">
      <c r="A670" s="141"/>
      <c r="B670" s="101"/>
      <c r="C670" s="101"/>
      <c r="D670" s="101"/>
      <c r="E670" s="101"/>
      <c r="F670" s="101"/>
      <c r="G670" s="101"/>
      <c r="H670" s="101"/>
      <c r="I670" s="101"/>
      <c r="J670" s="142"/>
      <c r="K670" s="101"/>
      <c r="L670" s="101"/>
      <c r="M670" s="101"/>
      <c r="N670" s="101"/>
      <c r="O670" s="101"/>
      <c r="P670" s="101"/>
      <c r="Q670" s="101"/>
      <c r="R670" s="101"/>
      <c r="S670" s="101"/>
      <c r="T670" s="101"/>
      <c r="U670" s="101"/>
      <c r="V670" s="101"/>
      <c r="W670" s="101"/>
      <c r="X670" s="101"/>
      <c r="Y670" s="101"/>
      <c r="Z670" s="101"/>
      <c r="AA670" s="101"/>
      <c r="AB670" s="101"/>
      <c r="AC670" s="101"/>
      <c r="AD670" s="101"/>
    </row>
    <row r="671" ht="30.0" customHeight="1">
      <c r="A671" s="141"/>
      <c r="B671" s="101"/>
      <c r="C671" s="101"/>
      <c r="D671" s="101"/>
      <c r="E671" s="101"/>
      <c r="F671" s="101"/>
      <c r="G671" s="101"/>
      <c r="H671" s="101"/>
      <c r="I671" s="101"/>
      <c r="J671" s="142"/>
      <c r="K671" s="101"/>
      <c r="L671" s="101"/>
      <c r="M671" s="101"/>
      <c r="N671" s="101"/>
      <c r="O671" s="101"/>
      <c r="P671" s="101"/>
      <c r="Q671" s="101"/>
      <c r="R671" s="101"/>
      <c r="S671" s="101"/>
      <c r="T671" s="101"/>
      <c r="U671" s="101"/>
      <c r="V671" s="101"/>
      <c r="W671" s="101"/>
      <c r="X671" s="101"/>
      <c r="Y671" s="101"/>
      <c r="Z671" s="101"/>
      <c r="AA671" s="101"/>
      <c r="AB671" s="101"/>
      <c r="AC671" s="101"/>
      <c r="AD671" s="101"/>
    </row>
    <row r="672" ht="30.0" customHeight="1">
      <c r="A672" s="141"/>
      <c r="B672" s="101"/>
      <c r="C672" s="101"/>
      <c r="D672" s="101"/>
      <c r="E672" s="101"/>
      <c r="F672" s="101"/>
      <c r="G672" s="101"/>
      <c r="H672" s="101"/>
      <c r="I672" s="101"/>
      <c r="J672" s="142"/>
      <c r="K672" s="101"/>
      <c r="L672" s="101"/>
      <c r="M672" s="101"/>
      <c r="N672" s="101"/>
      <c r="O672" s="101"/>
      <c r="P672" s="101"/>
      <c r="Q672" s="101"/>
      <c r="R672" s="101"/>
      <c r="S672" s="101"/>
      <c r="T672" s="101"/>
      <c r="U672" s="101"/>
      <c r="V672" s="101"/>
      <c r="W672" s="101"/>
      <c r="X672" s="101"/>
      <c r="Y672" s="101"/>
      <c r="Z672" s="101"/>
      <c r="AA672" s="101"/>
      <c r="AB672" s="101"/>
      <c r="AC672" s="101"/>
      <c r="AD672" s="101"/>
    </row>
    <row r="673" ht="30.0" customHeight="1">
      <c r="A673" s="141"/>
      <c r="B673" s="101"/>
      <c r="C673" s="101"/>
      <c r="D673" s="101"/>
      <c r="E673" s="101"/>
      <c r="F673" s="101"/>
      <c r="G673" s="101"/>
      <c r="H673" s="101"/>
      <c r="I673" s="101"/>
      <c r="J673" s="142"/>
      <c r="K673" s="101"/>
      <c r="L673" s="101"/>
      <c r="M673" s="101"/>
      <c r="N673" s="101"/>
      <c r="O673" s="101"/>
      <c r="P673" s="101"/>
      <c r="Q673" s="101"/>
      <c r="R673" s="101"/>
      <c r="S673" s="101"/>
      <c r="T673" s="101"/>
      <c r="U673" s="101"/>
      <c r="V673" s="101"/>
      <c r="W673" s="101"/>
      <c r="X673" s="101"/>
      <c r="Y673" s="101"/>
      <c r="Z673" s="101"/>
      <c r="AA673" s="101"/>
      <c r="AB673" s="101"/>
      <c r="AC673" s="101"/>
      <c r="AD673" s="101"/>
    </row>
    <row r="674" ht="30.0" customHeight="1">
      <c r="A674" s="141"/>
      <c r="B674" s="101"/>
      <c r="C674" s="101"/>
      <c r="D674" s="101"/>
      <c r="E674" s="101"/>
      <c r="F674" s="101"/>
      <c r="G674" s="101"/>
      <c r="H674" s="101"/>
      <c r="I674" s="101"/>
      <c r="J674" s="142"/>
      <c r="K674" s="101"/>
      <c r="L674" s="101"/>
      <c r="M674" s="101"/>
      <c r="N674" s="101"/>
      <c r="O674" s="101"/>
      <c r="P674" s="101"/>
      <c r="Q674" s="101"/>
      <c r="R674" s="101"/>
      <c r="S674" s="101"/>
      <c r="T674" s="101"/>
      <c r="U674" s="101"/>
      <c r="V674" s="101"/>
      <c r="W674" s="101"/>
      <c r="X674" s="101"/>
      <c r="Y674" s="101"/>
      <c r="Z674" s="101"/>
      <c r="AA674" s="101"/>
      <c r="AB674" s="101"/>
      <c r="AC674" s="101"/>
      <c r="AD674" s="101"/>
    </row>
    <row r="675" ht="30.0" customHeight="1">
      <c r="A675" s="141"/>
      <c r="B675" s="101"/>
      <c r="C675" s="101"/>
      <c r="D675" s="101"/>
      <c r="E675" s="101"/>
      <c r="F675" s="101"/>
      <c r="G675" s="101"/>
      <c r="H675" s="101"/>
      <c r="I675" s="101"/>
      <c r="J675" s="142"/>
      <c r="K675" s="101"/>
      <c r="L675" s="101"/>
      <c r="M675" s="101"/>
      <c r="N675" s="101"/>
      <c r="O675" s="101"/>
      <c r="P675" s="101"/>
      <c r="Q675" s="101"/>
      <c r="R675" s="101"/>
      <c r="S675" s="101"/>
      <c r="T675" s="101"/>
      <c r="U675" s="101"/>
      <c r="V675" s="101"/>
      <c r="W675" s="101"/>
      <c r="X675" s="101"/>
      <c r="Y675" s="101"/>
      <c r="Z675" s="101"/>
      <c r="AA675" s="101"/>
      <c r="AB675" s="101"/>
      <c r="AC675" s="101"/>
      <c r="AD675" s="101"/>
    </row>
    <row r="676" ht="30.0" customHeight="1">
      <c r="A676" s="141"/>
      <c r="B676" s="101"/>
      <c r="C676" s="101"/>
      <c r="D676" s="101"/>
      <c r="E676" s="101"/>
      <c r="F676" s="101"/>
      <c r="G676" s="101"/>
      <c r="H676" s="101"/>
      <c r="I676" s="101"/>
      <c r="J676" s="142"/>
      <c r="K676" s="101"/>
      <c r="L676" s="101"/>
      <c r="M676" s="101"/>
      <c r="N676" s="101"/>
      <c r="O676" s="101"/>
      <c r="P676" s="101"/>
      <c r="Q676" s="101"/>
      <c r="R676" s="101"/>
      <c r="S676" s="101"/>
      <c r="T676" s="101"/>
      <c r="U676" s="101"/>
      <c r="V676" s="101"/>
      <c r="W676" s="101"/>
      <c r="X676" s="101"/>
      <c r="Y676" s="101"/>
      <c r="Z676" s="101"/>
      <c r="AA676" s="101"/>
      <c r="AB676" s="101"/>
      <c r="AC676" s="101"/>
      <c r="AD676" s="101"/>
    </row>
    <row r="677" ht="30.0" customHeight="1">
      <c r="A677" s="141"/>
      <c r="B677" s="101"/>
      <c r="C677" s="101"/>
      <c r="D677" s="101"/>
      <c r="E677" s="101"/>
      <c r="F677" s="101"/>
      <c r="G677" s="101"/>
      <c r="H677" s="101"/>
      <c r="I677" s="101"/>
      <c r="J677" s="142"/>
      <c r="K677" s="101"/>
      <c r="L677" s="101"/>
      <c r="M677" s="101"/>
      <c r="N677" s="101"/>
      <c r="O677" s="101"/>
      <c r="P677" s="101"/>
      <c r="Q677" s="101"/>
      <c r="R677" s="101"/>
      <c r="S677" s="101"/>
      <c r="T677" s="101"/>
      <c r="U677" s="101"/>
      <c r="V677" s="101"/>
      <c r="W677" s="101"/>
      <c r="X677" s="101"/>
      <c r="Y677" s="101"/>
      <c r="Z677" s="101"/>
      <c r="AA677" s="101"/>
      <c r="AB677" s="101"/>
      <c r="AC677" s="101"/>
      <c r="AD677" s="101"/>
    </row>
    <row r="678" ht="30.0" customHeight="1">
      <c r="A678" s="141"/>
      <c r="B678" s="101"/>
      <c r="C678" s="101"/>
      <c r="D678" s="101"/>
      <c r="E678" s="101"/>
      <c r="F678" s="101"/>
      <c r="G678" s="101"/>
      <c r="H678" s="101"/>
      <c r="I678" s="101"/>
      <c r="J678" s="142"/>
      <c r="K678" s="101"/>
      <c r="L678" s="101"/>
      <c r="M678" s="101"/>
      <c r="N678" s="101"/>
      <c r="O678" s="101"/>
      <c r="P678" s="101"/>
      <c r="Q678" s="101"/>
      <c r="R678" s="101"/>
      <c r="S678" s="101"/>
      <c r="T678" s="101"/>
      <c r="U678" s="101"/>
      <c r="V678" s="101"/>
      <c r="W678" s="101"/>
      <c r="X678" s="101"/>
      <c r="Y678" s="101"/>
      <c r="Z678" s="101"/>
      <c r="AA678" s="101"/>
      <c r="AB678" s="101"/>
      <c r="AC678" s="101"/>
      <c r="AD678" s="101"/>
    </row>
    <row r="679" ht="30.0" customHeight="1">
      <c r="A679" s="141"/>
      <c r="B679" s="101"/>
      <c r="C679" s="101"/>
      <c r="D679" s="101"/>
      <c r="E679" s="101"/>
      <c r="F679" s="101"/>
      <c r="G679" s="101"/>
      <c r="H679" s="101"/>
      <c r="I679" s="101"/>
      <c r="J679" s="142"/>
      <c r="K679" s="101"/>
      <c r="L679" s="101"/>
      <c r="M679" s="101"/>
      <c r="N679" s="101"/>
      <c r="O679" s="101"/>
      <c r="P679" s="101"/>
      <c r="Q679" s="101"/>
      <c r="R679" s="101"/>
      <c r="S679" s="101"/>
      <c r="T679" s="101"/>
      <c r="U679" s="101"/>
      <c r="V679" s="101"/>
      <c r="W679" s="101"/>
      <c r="X679" s="101"/>
      <c r="Y679" s="101"/>
      <c r="Z679" s="101"/>
      <c r="AA679" s="101"/>
      <c r="AB679" s="101"/>
      <c r="AC679" s="101"/>
      <c r="AD679" s="101"/>
    </row>
    <row r="680" ht="30.0" customHeight="1">
      <c r="A680" s="141"/>
      <c r="B680" s="101"/>
      <c r="C680" s="101"/>
      <c r="D680" s="101"/>
      <c r="E680" s="101"/>
      <c r="F680" s="101"/>
      <c r="G680" s="101"/>
      <c r="H680" s="101"/>
      <c r="I680" s="101"/>
      <c r="J680" s="142"/>
      <c r="K680" s="101"/>
      <c r="L680" s="101"/>
      <c r="M680" s="101"/>
      <c r="N680" s="101"/>
      <c r="O680" s="101"/>
      <c r="P680" s="101"/>
      <c r="Q680" s="101"/>
      <c r="R680" s="101"/>
      <c r="S680" s="101"/>
      <c r="T680" s="101"/>
      <c r="U680" s="101"/>
      <c r="V680" s="101"/>
      <c r="W680" s="101"/>
      <c r="X680" s="101"/>
      <c r="Y680" s="101"/>
      <c r="Z680" s="101"/>
      <c r="AA680" s="101"/>
      <c r="AB680" s="101"/>
      <c r="AC680" s="101"/>
      <c r="AD680" s="101"/>
    </row>
    <row r="681" ht="30.0" customHeight="1">
      <c r="A681" s="141"/>
      <c r="B681" s="101"/>
      <c r="C681" s="101"/>
      <c r="D681" s="101"/>
      <c r="E681" s="101"/>
      <c r="F681" s="101"/>
      <c r="G681" s="101"/>
      <c r="H681" s="101"/>
      <c r="I681" s="101"/>
      <c r="J681" s="142"/>
      <c r="K681" s="101"/>
      <c r="L681" s="101"/>
      <c r="M681" s="101"/>
      <c r="N681" s="101"/>
      <c r="O681" s="101"/>
      <c r="P681" s="101"/>
      <c r="Q681" s="101"/>
      <c r="R681" s="101"/>
      <c r="S681" s="101"/>
      <c r="T681" s="101"/>
      <c r="U681" s="101"/>
      <c r="V681" s="101"/>
      <c r="W681" s="101"/>
      <c r="X681" s="101"/>
      <c r="Y681" s="101"/>
      <c r="Z681" s="101"/>
      <c r="AA681" s="101"/>
      <c r="AB681" s="101"/>
      <c r="AC681" s="101"/>
      <c r="AD681" s="101"/>
    </row>
    <row r="682" ht="30.0" customHeight="1">
      <c r="A682" s="141"/>
      <c r="B682" s="101"/>
      <c r="C682" s="101"/>
      <c r="D682" s="101"/>
      <c r="E682" s="101"/>
      <c r="F682" s="101"/>
      <c r="G682" s="101"/>
      <c r="H682" s="101"/>
      <c r="I682" s="101"/>
      <c r="J682" s="142"/>
      <c r="K682" s="101"/>
      <c r="L682" s="101"/>
      <c r="M682" s="101"/>
      <c r="N682" s="101"/>
      <c r="O682" s="101"/>
      <c r="P682" s="101"/>
      <c r="Q682" s="101"/>
      <c r="R682" s="101"/>
      <c r="S682" s="101"/>
      <c r="T682" s="101"/>
      <c r="U682" s="101"/>
      <c r="V682" s="101"/>
      <c r="W682" s="101"/>
      <c r="X682" s="101"/>
      <c r="Y682" s="101"/>
      <c r="Z682" s="101"/>
      <c r="AA682" s="101"/>
      <c r="AB682" s="101"/>
      <c r="AC682" s="101"/>
      <c r="AD682" s="101"/>
    </row>
    <row r="683" ht="30.0" customHeight="1">
      <c r="A683" s="141"/>
      <c r="B683" s="101"/>
      <c r="C683" s="101"/>
      <c r="D683" s="101"/>
      <c r="E683" s="101"/>
      <c r="F683" s="101"/>
      <c r="G683" s="101"/>
      <c r="H683" s="101"/>
      <c r="I683" s="101"/>
      <c r="J683" s="142"/>
      <c r="K683" s="101"/>
      <c r="L683" s="101"/>
      <c r="M683" s="101"/>
      <c r="N683" s="101"/>
      <c r="O683" s="101"/>
      <c r="P683" s="101"/>
      <c r="Q683" s="101"/>
      <c r="R683" s="101"/>
      <c r="S683" s="101"/>
      <c r="T683" s="101"/>
      <c r="U683" s="101"/>
      <c r="V683" s="101"/>
      <c r="W683" s="101"/>
      <c r="X683" s="101"/>
      <c r="Y683" s="101"/>
      <c r="Z683" s="101"/>
      <c r="AA683" s="101"/>
      <c r="AB683" s="101"/>
      <c r="AC683" s="101"/>
      <c r="AD683" s="101"/>
    </row>
    <row r="684" ht="30.0" customHeight="1">
      <c r="A684" s="141"/>
      <c r="B684" s="101"/>
      <c r="C684" s="101"/>
      <c r="D684" s="101"/>
      <c r="E684" s="101"/>
      <c r="F684" s="101"/>
      <c r="G684" s="101"/>
      <c r="H684" s="101"/>
      <c r="I684" s="101"/>
      <c r="J684" s="142"/>
      <c r="K684" s="101"/>
      <c r="L684" s="101"/>
      <c r="M684" s="101"/>
      <c r="N684" s="101"/>
      <c r="O684" s="101"/>
      <c r="P684" s="101"/>
      <c r="Q684" s="101"/>
      <c r="R684" s="101"/>
      <c r="S684" s="101"/>
      <c r="T684" s="101"/>
      <c r="U684" s="101"/>
      <c r="V684" s="101"/>
      <c r="W684" s="101"/>
      <c r="X684" s="101"/>
      <c r="Y684" s="101"/>
      <c r="Z684" s="101"/>
      <c r="AA684" s="101"/>
      <c r="AB684" s="101"/>
      <c r="AC684" s="101"/>
      <c r="AD684" s="101"/>
    </row>
    <row r="685" ht="30.0" customHeight="1">
      <c r="A685" s="141"/>
      <c r="B685" s="101"/>
      <c r="C685" s="101"/>
      <c r="D685" s="101"/>
      <c r="E685" s="101"/>
      <c r="F685" s="101"/>
      <c r="G685" s="101"/>
      <c r="H685" s="101"/>
      <c r="I685" s="101"/>
      <c r="J685" s="142"/>
      <c r="K685" s="101"/>
      <c r="L685" s="101"/>
      <c r="M685" s="101"/>
      <c r="N685" s="101"/>
      <c r="O685" s="101"/>
      <c r="P685" s="101"/>
      <c r="Q685" s="101"/>
      <c r="R685" s="101"/>
      <c r="S685" s="101"/>
      <c r="T685" s="101"/>
      <c r="U685" s="101"/>
      <c r="V685" s="101"/>
      <c r="W685" s="101"/>
      <c r="X685" s="101"/>
      <c r="Y685" s="101"/>
      <c r="Z685" s="101"/>
      <c r="AA685" s="101"/>
      <c r="AB685" s="101"/>
      <c r="AC685" s="101"/>
      <c r="AD685" s="101"/>
    </row>
    <row r="686" ht="30.0" customHeight="1">
      <c r="A686" s="141"/>
      <c r="B686" s="101"/>
      <c r="C686" s="101"/>
      <c r="D686" s="101"/>
      <c r="E686" s="101"/>
      <c r="F686" s="101"/>
      <c r="G686" s="101"/>
      <c r="H686" s="101"/>
      <c r="I686" s="101"/>
      <c r="J686" s="142"/>
      <c r="K686" s="101"/>
      <c r="L686" s="101"/>
      <c r="M686" s="101"/>
      <c r="N686" s="101"/>
      <c r="O686" s="101"/>
      <c r="P686" s="101"/>
      <c r="Q686" s="101"/>
      <c r="R686" s="101"/>
      <c r="S686" s="101"/>
      <c r="T686" s="101"/>
      <c r="U686" s="101"/>
      <c r="V686" s="101"/>
      <c r="W686" s="101"/>
      <c r="X686" s="101"/>
      <c r="Y686" s="101"/>
      <c r="Z686" s="101"/>
      <c r="AA686" s="101"/>
      <c r="AB686" s="101"/>
      <c r="AC686" s="101"/>
      <c r="AD686" s="101"/>
    </row>
    <row r="687" ht="30.0" customHeight="1">
      <c r="A687" s="141"/>
      <c r="B687" s="101"/>
      <c r="C687" s="101"/>
      <c r="D687" s="101"/>
      <c r="E687" s="101"/>
      <c r="F687" s="101"/>
      <c r="G687" s="101"/>
      <c r="H687" s="101"/>
      <c r="I687" s="101"/>
      <c r="J687" s="142"/>
      <c r="K687" s="101"/>
      <c r="L687" s="101"/>
      <c r="M687" s="101"/>
      <c r="N687" s="101"/>
      <c r="O687" s="101"/>
      <c r="P687" s="101"/>
      <c r="Q687" s="101"/>
      <c r="R687" s="101"/>
      <c r="S687" s="101"/>
      <c r="T687" s="101"/>
      <c r="U687" s="101"/>
      <c r="V687" s="101"/>
      <c r="W687" s="101"/>
      <c r="X687" s="101"/>
      <c r="Y687" s="101"/>
      <c r="Z687" s="101"/>
      <c r="AA687" s="101"/>
      <c r="AB687" s="101"/>
      <c r="AC687" s="101"/>
      <c r="AD687" s="101"/>
    </row>
    <row r="688" ht="30.0" customHeight="1">
      <c r="A688" s="141"/>
      <c r="B688" s="101"/>
      <c r="C688" s="101"/>
      <c r="D688" s="101"/>
      <c r="E688" s="101"/>
      <c r="F688" s="101"/>
      <c r="G688" s="101"/>
      <c r="H688" s="101"/>
      <c r="I688" s="101"/>
      <c r="J688" s="142"/>
      <c r="K688" s="101"/>
      <c r="L688" s="101"/>
      <c r="M688" s="101"/>
      <c r="N688" s="101"/>
      <c r="O688" s="101"/>
      <c r="P688" s="101"/>
      <c r="Q688" s="101"/>
      <c r="R688" s="101"/>
      <c r="S688" s="101"/>
      <c r="T688" s="101"/>
      <c r="U688" s="101"/>
      <c r="V688" s="101"/>
      <c r="W688" s="101"/>
      <c r="X688" s="101"/>
      <c r="Y688" s="101"/>
      <c r="Z688" s="101"/>
      <c r="AA688" s="101"/>
      <c r="AB688" s="101"/>
      <c r="AC688" s="101"/>
      <c r="AD688" s="101"/>
    </row>
    <row r="689" ht="30.0" customHeight="1">
      <c r="A689" s="141"/>
      <c r="B689" s="101"/>
      <c r="C689" s="101"/>
      <c r="D689" s="101"/>
      <c r="E689" s="101"/>
      <c r="F689" s="101"/>
      <c r="G689" s="101"/>
      <c r="H689" s="101"/>
      <c r="I689" s="101"/>
      <c r="J689" s="142"/>
      <c r="K689" s="101"/>
      <c r="L689" s="101"/>
      <c r="M689" s="101"/>
      <c r="N689" s="101"/>
      <c r="O689" s="101"/>
      <c r="P689" s="101"/>
      <c r="Q689" s="101"/>
      <c r="R689" s="101"/>
      <c r="S689" s="101"/>
      <c r="T689" s="101"/>
      <c r="U689" s="101"/>
      <c r="V689" s="101"/>
      <c r="W689" s="101"/>
      <c r="X689" s="101"/>
      <c r="Y689" s="101"/>
      <c r="Z689" s="101"/>
      <c r="AA689" s="101"/>
      <c r="AB689" s="101"/>
      <c r="AC689" s="101"/>
      <c r="AD689" s="101"/>
    </row>
    <row r="690" ht="30.0" customHeight="1">
      <c r="A690" s="141"/>
      <c r="B690" s="101"/>
      <c r="C690" s="101"/>
      <c r="D690" s="101"/>
      <c r="E690" s="101"/>
      <c r="F690" s="101"/>
      <c r="G690" s="101"/>
      <c r="H690" s="101"/>
      <c r="I690" s="101"/>
      <c r="J690" s="142"/>
      <c r="K690" s="101"/>
      <c r="L690" s="101"/>
      <c r="M690" s="101"/>
      <c r="N690" s="101"/>
      <c r="O690" s="101"/>
      <c r="P690" s="101"/>
      <c r="Q690" s="101"/>
      <c r="R690" s="101"/>
      <c r="S690" s="101"/>
      <c r="T690" s="101"/>
      <c r="U690" s="101"/>
      <c r="V690" s="101"/>
      <c r="W690" s="101"/>
      <c r="X690" s="101"/>
      <c r="Y690" s="101"/>
      <c r="Z690" s="101"/>
      <c r="AA690" s="101"/>
      <c r="AB690" s="101"/>
      <c r="AC690" s="101"/>
      <c r="AD690" s="101"/>
    </row>
    <row r="691" ht="30.0" customHeight="1">
      <c r="A691" s="141"/>
      <c r="B691" s="101"/>
      <c r="C691" s="101"/>
      <c r="D691" s="101"/>
      <c r="E691" s="101"/>
      <c r="F691" s="101"/>
      <c r="G691" s="101"/>
      <c r="H691" s="101"/>
      <c r="I691" s="101"/>
      <c r="J691" s="142"/>
      <c r="K691" s="101"/>
      <c r="L691" s="101"/>
      <c r="M691" s="101"/>
      <c r="N691" s="101"/>
      <c r="O691" s="101"/>
      <c r="P691" s="101"/>
      <c r="Q691" s="101"/>
      <c r="R691" s="101"/>
      <c r="S691" s="101"/>
      <c r="T691" s="101"/>
      <c r="U691" s="101"/>
      <c r="V691" s="101"/>
      <c r="W691" s="101"/>
      <c r="X691" s="101"/>
      <c r="Y691" s="101"/>
      <c r="Z691" s="101"/>
      <c r="AA691" s="101"/>
      <c r="AB691" s="101"/>
      <c r="AC691" s="101"/>
      <c r="AD691" s="101"/>
    </row>
    <row r="692" ht="30.0" customHeight="1">
      <c r="A692" s="141"/>
      <c r="B692" s="101"/>
      <c r="C692" s="101"/>
      <c r="D692" s="101"/>
      <c r="E692" s="101"/>
      <c r="F692" s="101"/>
      <c r="G692" s="101"/>
      <c r="H692" s="101"/>
      <c r="I692" s="101"/>
      <c r="J692" s="142"/>
      <c r="K692" s="101"/>
      <c r="L692" s="101"/>
      <c r="M692" s="101"/>
      <c r="N692" s="101"/>
      <c r="O692" s="101"/>
      <c r="P692" s="101"/>
      <c r="Q692" s="101"/>
      <c r="R692" s="101"/>
      <c r="S692" s="101"/>
      <c r="T692" s="101"/>
      <c r="U692" s="101"/>
      <c r="V692" s="101"/>
      <c r="W692" s="101"/>
      <c r="X692" s="101"/>
      <c r="Y692" s="101"/>
      <c r="Z692" s="101"/>
      <c r="AA692" s="101"/>
      <c r="AB692" s="101"/>
      <c r="AC692" s="101"/>
      <c r="AD692" s="101"/>
    </row>
    <row r="693" ht="30.0" customHeight="1">
      <c r="A693" s="141"/>
      <c r="B693" s="101"/>
      <c r="C693" s="101"/>
      <c r="D693" s="101"/>
      <c r="E693" s="101"/>
      <c r="F693" s="101"/>
      <c r="G693" s="101"/>
      <c r="H693" s="101"/>
      <c r="I693" s="101"/>
      <c r="J693" s="142"/>
      <c r="K693" s="101"/>
      <c r="L693" s="101"/>
      <c r="M693" s="101"/>
      <c r="N693" s="101"/>
      <c r="O693" s="101"/>
      <c r="P693" s="101"/>
      <c r="Q693" s="101"/>
      <c r="R693" s="101"/>
      <c r="S693" s="101"/>
      <c r="T693" s="101"/>
      <c r="U693" s="101"/>
      <c r="V693" s="101"/>
      <c r="W693" s="101"/>
      <c r="X693" s="101"/>
      <c r="Y693" s="101"/>
      <c r="Z693" s="101"/>
      <c r="AA693" s="101"/>
      <c r="AB693" s="101"/>
      <c r="AC693" s="101"/>
      <c r="AD693" s="101"/>
    </row>
    <row r="694" ht="30.0" customHeight="1">
      <c r="A694" s="141"/>
      <c r="B694" s="101"/>
      <c r="C694" s="101"/>
      <c r="D694" s="101"/>
      <c r="E694" s="101"/>
      <c r="F694" s="101"/>
      <c r="G694" s="101"/>
      <c r="H694" s="101"/>
      <c r="I694" s="101"/>
      <c r="J694" s="142"/>
      <c r="K694" s="101"/>
      <c r="L694" s="101"/>
      <c r="M694" s="101"/>
      <c r="N694" s="101"/>
      <c r="O694" s="101"/>
      <c r="P694" s="101"/>
      <c r="Q694" s="101"/>
      <c r="R694" s="101"/>
      <c r="S694" s="101"/>
      <c r="T694" s="101"/>
      <c r="U694" s="101"/>
      <c r="V694" s="101"/>
      <c r="W694" s="101"/>
      <c r="X694" s="101"/>
      <c r="Y694" s="101"/>
      <c r="Z694" s="101"/>
      <c r="AA694" s="101"/>
      <c r="AB694" s="101"/>
      <c r="AC694" s="101"/>
      <c r="AD694" s="101"/>
    </row>
    <row r="695" ht="30.0" customHeight="1">
      <c r="A695" s="141"/>
      <c r="B695" s="101"/>
      <c r="C695" s="101"/>
      <c r="D695" s="101"/>
      <c r="E695" s="101"/>
      <c r="F695" s="101"/>
      <c r="G695" s="101"/>
      <c r="H695" s="101"/>
      <c r="I695" s="101"/>
      <c r="J695" s="142"/>
      <c r="K695" s="101"/>
      <c r="L695" s="101"/>
      <c r="M695" s="101"/>
      <c r="N695" s="101"/>
      <c r="O695" s="101"/>
      <c r="P695" s="101"/>
      <c r="Q695" s="101"/>
      <c r="R695" s="101"/>
      <c r="S695" s="101"/>
      <c r="T695" s="101"/>
      <c r="U695" s="101"/>
      <c r="V695" s="101"/>
      <c r="W695" s="101"/>
      <c r="X695" s="101"/>
      <c r="Y695" s="101"/>
      <c r="Z695" s="101"/>
      <c r="AA695" s="101"/>
      <c r="AB695" s="101"/>
      <c r="AC695" s="101"/>
      <c r="AD695" s="101"/>
    </row>
    <row r="696" ht="30.0" customHeight="1">
      <c r="A696" s="141"/>
      <c r="B696" s="101"/>
      <c r="C696" s="101"/>
      <c r="D696" s="101"/>
      <c r="E696" s="101"/>
      <c r="F696" s="101"/>
      <c r="G696" s="101"/>
      <c r="H696" s="101"/>
      <c r="I696" s="101"/>
      <c r="J696" s="142"/>
      <c r="K696" s="101"/>
      <c r="L696" s="101"/>
      <c r="M696" s="101"/>
      <c r="N696" s="101"/>
      <c r="O696" s="101"/>
      <c r="P696" s="101"/>
      <c r="Q696" s="101"/>
      <c r="R696" s="101"/>
      <c r="S696" s="101"/>
      <c r="T696" s="101"/>
      <c r="U696" s="101"/>
      <c r="V696" s="101"/>
      <c r="W696" s="101"/>
      <c r="X696" s="101"/>
      <c r="Y696" s="101"/>
      <c r="Z696" s="101"/>
      <c r="AA696" s="101"/>
      <c r="AB696" s="101"/>
      <c r="AC696" s="101"/>
      <c r="AD696" s="101"/>
    </row>
    <row r="697" ht="30.0" customHeight="1">
      <c r="A697" s="141"/>
      <c r="B697" s="101"/>
      <c r="C697" s="101"/>
      <c r="D697" s="101"/>
      <c r="E697" s="101"/>
      <c r="F697" s="101"/>
      <c r="G697" s="101"/>
      <c r="H697" s="101"/>
      <c r="I697" s="101"/>
      <c r="J697" s="142"/>
      <c r="K697" s="101"/>
      <c r="L697" s="101"/>
      <c r="M697" s="101"/>
      <c r="N697" s="101"/>
      <c r="O697" s="101"/>
      <c r="P697" s="101"/>
      <c r="Q697" s="101"/>
      <c r="R697" s="101"/>
      <c r="S697" s="101"/>
      <c r="T697" s="101"/>
      <c r="U697" s="101"/>
      <c r="V697" s="101"/>
      <c r="W697" s="101"/>
      <c r="X697" s="101"/>
      <c r="Y697" s="101"/>
      <c r="Z697" s="101"/>
      <c r="AA697" s="101"/>
      <c r="AB697" s="101"/>
      <c r="AC697" s="101"/>
      <c r="AD697" s="101"/>
    </row>
    <row r="698" ht="30.0" customHeight="1">
      <c r="A698" s="141"/>
      <c r="B698" s="101"/>
      <c r="C698" s="101"/>
      <c r="D698" s="101"/>
      <c r="E698" s="101"/>
      <c r="F698" s="101"/>
      <c r="G698" s="101"/>
      <c r="H698" s="101"/>
      <c r="I698" s="101"/>
      <c r="J698" s="142"/>
      <c r="K698" s="101"/>
      <c r="L698" s="101"/>
      <c r="M698" s="101"/>
      <c r="N698" s="101"/>
      <c r="O698" s="101"/>
      <c r="P698" s="101"/>
      <c r="Q698" s="101"/>
      <c r="R698" s="101"/>
      <c r="S698" s="101"/>
      <c r="T698" s="101"/>
      <c r="U698" s="101"/>
      <c r="V698" s="101"/>
      <c r="W698" s="101"/>
      <c r="X698" s="101"/>
      <c r="Y698" s="101"/>
      <c r="Z698" s="101"/>
      <c r="AA698" s="101"/>
      <c r="AB698" s="101"/>
      <c r="AC698" s="101"/>
      <c r="AD698" s="101"/>
    </row>
    <row r="699" ht="30.0" customHeight="1">
      <c r="A699" s="141"/>
      <c r="B699" s="101"/>
      <c r="C699" s="101"/>
      <c r="D699" s="101"/>
      <c r="E699" s="101"/>
      <c r="F699" s="101"/>
      <c r="G699" s="101"/>
      <c r="H699" s="101"/>
      <c r="I699" s="101"/>
      <c r="J699" s="142"/>
      <c r="K699" s="101"/>
      <c r="L699" s="101"/>
      <c r="M699" s="101"/>
      <c r="N699" s="101"/>
      <c r="O699" s="101"/>
      <c r="P699" s="101"/>
      <c r="Q699" s="101"/>
      <c r="R699" s="101"/>
      <c r="S699" s="101"/>
      <c r="T699" s="101"/>
      <c r="U699" s="101"/>
      <c r="V699" s="101"/>
      <c r="W699" s="101"/>
      <c r="X699" s="101"/>
      <c r="Y699" s="101"/>
      <c r="Z699" s="101"/>
      <c r="AA699" s="101"/>
      <c r="AB699" s="101"/>
      <c r="AC699" s="101"/>
      <c r="AD699" s="101"/>
    </row>
    <row r="700" ht="30.0" customHeight="1">
      <c r="A700" s="141"/>
      <c r="B700" s="101"/>
      <c r="C700" s="101"/>
      <c r="D700" s="101"/>
      <c r="E700" s="101"/>
      <c r="F700" s="101"/>
      <c r="G700" s="101"/>
      <c r="H700" s="101"/>
      <c r="I700" s="101"/>
      <c r="J700" s="142"/>
      <c r="K700" s="101"/>
      <c r="L700" s="101"/>
      <c r="M700" s="101"/>
      <c r="N700" s="101"/>
      <c r="O700" s="101"/>
      <c r="P700" s="101"/>
      <c r="Q700" s="101"/>
      <c r="R700" s="101"/>
      <c r="S700" s="101"/>
      <c r="T700" s="101"/>
      <c r="U700" s="101"/>
      <c r="V700" s="101"/>
      <c r="W700" s="101"/>
      <c r="X700" s="101"/>
      <c r="Y700" s="101"/>
      <c r="Z700" s="101"/>
      <c r="AA700" s="101"/>
      <c r="AB700" s="101"/>
      <c r="AC700" s="101"/>
      <c r="AD700" s="101"/>
    </row>
    <row r="701" ht="30.0" customHeight="1">
      <c r="A701" s="141"/>
      <c r="B701" s="101"/>
      <c r="C701" s="101"/>
      <c r="D701" s="101"/>
      <c r="E701" s="101"/>
      <c r="F701" s="101"/>
      <c r="G701" s="101"/>
      <c r="H701" s="101"/>
      <c r="I701" s="101"/>
      <c r="J701" s="142"/>
      <c r="K701" s="101"/>
      <c r="L701" s="101"/>
      <c r="M701" s="101"/>
      <c r="N701" s="101"/>
      <c r="O701" s="101"/>
      <c r="P701" s="101"/>
      <c r="Q701" s="101"/>
      <c r="R701" s="101"/>
      <c r="S701" s="101"/>
      <c r="T701" s="101"/>
      <c r="U701" s="101"/>
      <c r="V701" s="101"/>
      <c r="W701" s="101"/>
      <c r="X701" s="101"/>
      <c r="Y701" s="101"/>
      <c r="Z701" s="101"/>
      <c r="AA701" s="101"/>
      <c r="AB701" s="101"/>
      <c r="AC701" s="101"/>
      <c r="AD701" s="101"/>
    </row>
    <row r="702" ht="30.0" customHeight="1">
      <c r="A702" s="141"/>
      <c r="B702" s="101"/>
      <c r="C702" s="101"/>
      <c r="D702" s="101"/>
      <c r="E702" s="101"/>
      <c r="F702" s="101"/>
      <c r="G702" s="101"/>
      <c r="H702" s="101"/>
      <c r="I702" s="101"/>
      <c r="J702" s="142"/>
      <c r="K702" s="101"/>
      <c r="L702" s="101"/>
      <c r="M702" s="101"/>
      <c r="N702" s="101"/>
      <c r="O702" s="101"/>
      <c r="P702" s="101"/>
      <c r="Q702" s="101"/>
      <c r="R702" s="101"/>
      <c r="S702" s="101"/>
      <c r="T702" s="101"/>
      <c r="U702" s="101"/>
      <c r="V702" s="101"/>
      <c r="W702" s="101"/>
      <c r="X702" s="101"/>
      <c r="Y702" s="101"/>
      <c r="Z702" s="101"/>
      <c r="AA702" s="101"/>
      <c r="AB702" s="101"/>
      <c r="AC702" s="101"/>
      <c r="AD702" s="101"/>
    </row>
    <row r="703" ht="30.0" customHeight="1">
      <c r="A703" s="141"/>
      <c r="B703" s="101"/>
      <c r="C703" s="101"/>
      <c r="D703" s="101"/>
      <c r="E703" s="101"/>
      <c r="F703" s="101"/>
      <c r="G703" s="101"/>
      <c r="H703" s="101"/>
      <c r="I703" s="101"/>
      <c r="J703" s="142"/>
      <c r="K703" s="101"/>
      <c r="L703" s="101"/>
      <c r="M703" s="101"/>
      <c r="N703" s="101"/>
      <c r="O703" s="101"/>
      <c r="P703" s="101"/>
      <c r="Q703" s="101"/>
      <c r="R703" s="101"/>
      <c r="S703" s="101"/>
      <c r="T703" s="101"/>
      <c r="U703" s="101"/>
      <c r="V703" s="101"/>
      <c r="W703" s="101"/>
      <c r="X703" s="101"/>
      <c r="Y703" s="101"/>
      <c r="Z703" s="101"/>
      <c r="AA703" s="101"/>
      <c r="AB703" s="101"/>
      <c r="AC703" s="101"/>
      <c r="AD703" s="101"/>
    </row>
    <row r="704" ht="30.0" customHeight="1">
      <c r="A704" s="141"/>
      <c r="B704" s="101"/>
      <c r="C704" s="101"/>
      <c r="D704" s="101"/>
      <c r="E704" s="101"/>
      <c r="F704" s="101"/>
      <c r="G704" s="101"/>
      <c r="H704" s="101"/>
      <c r="I704" s="101"/>
      <c r="J704" s="142"/>
      <c r="K704" s="101"/>
      <c r="L704" s="101"/>
      <c r="M704" s="101"/>
      <c r="N704" s="101"/>
      <c r="O704" s="101"/>
      <c r="P704" s="101"/>
      <c r="Q704" s="101"/>
      <c r="R704" s="101"/>
      <c r="S704" s="101"/>
      <c r="T704" s="101"/>
      <c r="U704" s="101"/>
      <c r="V704" s="101"/>
      <c r="W704" s="101"/>
      <c r="X704" s="101"/>
      <c r="Y704" s="101"/>
      <c r="Z704" s="101"/>
      <c r="AA704" s="101"/>
      <c r="AB704" s="101"/>
      <c r="AC704" s="101"/>
      <c r="AD704" s="101"/>
    </row>
    <row r="705" ht="30.0" customHeight="1">
      <c r="A705" s="141"/>
      <c r="B705" s="101"/>
      <c r="C705" s="101"/>
      <c r="D705" s="101"/>
      <c r="E705" s="101"/>
      <c r="F705" s="101"/>
      <c r="G705" s="101"/>
      <c r="H705" s="101"/>
      <c r="I705" s="101"/>
      <c r="J705" s="142"/>
      <c r="K705" s="101"/>
      <c r="L705" s="101"/>
      <c r="M705" s="101"/>
      <c r="N705" s="101"/>
      <c r="O705" s="101"/>
      <c r="P705" s="101"/>
      <c r="Q705" s="101"/>
      <c r="R705" s="101"/>
      <c r="S705" s="101"/>
      <c r="T705" s="101"/>
      <c r="U705" s="101"/>
      <c r="V705" s="101"/>
      <c r="W705" s="101"/>
      <c r="X705" s="101"/>
      <c r="Y705" s="101"/>
      <c r="Z705" s="101"/>
      <c r="AA705" s="101"/>
      <c r="AB705" s="101"/>
      <c r="AC705" s="101"/>
      <c r="AD705" s="101"/>
    </row>
    <row r="706" ht="30.0" customHeight="1">
      <c r="A706" s="141"/>
      <c r="B706" s="101"/>
      <c r="C706" s="101"/>
      <c r="D706" s="101"/>
      <c r="E706" s="101"/>
      <c r="F706" s="101"/>
      <c r="G706" s="101"/>
      <c r="H706" s="101"/>
      <c r="I706" s="101"/>
      <c r="J706" s="142"/>
      <c r="K706" s="101"/>
      <c r="L706" s="101"/>
      <c r="M706" s="101"/>
      <c r="N706" s="101"/>
      <c r="O706" s="101"/>
      <c r="P706" s="101"/>
      <c r="Q706" s="101"/>
      <c r="R706" s="101"/>
      <c r="S706" s="101"/>
      <c r="T706" s="101"/>
      <c r="U706" s="101"/>
      <c r="V706" s="101"/>
      <c r="W706" s="101"/>
      <c r="X706" s="101"/>
      <c r="Y706" s="101"/>
      <c r="Z706" s="101"/>
      <c r="AA706" s="101"/>
      <c r="AB706" s="101"/>
      <c r="AC706" s="101"/>
      <c r="AD706" s="101"/>
    </row>
    <row r="707" ht="30.0" customHeight="1">
      <c r="A707" s="141"/>
      <c r="B707" s="101"/>
      <c r="C707" s="101"/>
      <c r="D707" s="101"/>
      <c r="E707" s="101"/>
      <c r="F707" s="101"/>
      <c r="G707" s="101"/>
      <c r="H707" s="101"/>
      <c r="I707" s="101"/>
      <c r="J707" s="142"/>
      <c r="K707" s="101"/>
      <c r="L707" s="101"/>
      <c r="M707" s="101"/>
      <c r="N707" s="101"/>
      <c r="O707" s="101"/>
      <c r="P707" s="101"/>
      <c r="Q707" s="101"/>
      <c r="R707" s="101"/>
      <c r="S707" s="101"/>
      <c r="T707" s="101"/>
      <c r="U707" s="101"/>
      <c r="V707" s="101"/>
      <c r="W707" s="101"/>
      <c r="X707" s="101"/>
      <c r="Y707" s="101"/>
      <c r="Z707" s="101"/>
      <c r="AA707" s="101"/>
      <c r="AB707" s="101"/>
      <c r="AC707" s="101"/>
      <c r="AD707" s="101"/>
    </row>
    <row r="708" ht="30.0" customHeight="1">
      <c r="A708" s="141"/>
      <c r="B708" s="101"/>
      <c r="C708" s="101"/>
      <c r="D708" s="101"/>
      <c r="E708" s="101"/>
      <c r="F708" s="101"/>
      <c r="G708" s="101"/>
      <c r="H708" s="101"/>
      <c r="I708" s="101"/>
      <c r="J708" s="142"/>
      <c r="K708" s="101"/>
      <c r="L708" s="101"/>
      <c r="M708" s="101"/>
      <c r="N708" s="101"/>
      <c r="O708" s="101"/>
      <c r="P708" s="101"/>
      <c r="Q708" s="101"/>
      <c r="R708" s="101"/>
      <c r="S708" s="101"/>
      <c r="T708" s="101"/>
      <c r="U708" s="101"/>
      <c r="V708" s="101"/>
      <c r="W708" s="101"/>
      <c r="X708" s="101"/>
      <c r="Y708" s="101"/>
      <c r="Z708" s="101"/>
      <c r="AA708" s="101"/>
      <c r="AB708" s="101"/>
      <c r="AC708" s="101"/>
      <c r="AD708" s="101"/>
    </row>
    <row r="709" ht="30.0" customHeight="1">
      <c r="A709" s="141"/>
      <c r="B709" s="101"/>
      <c r="C709" s="101"/>
      <c r="D709" s="101"/>
      <c r="E709" s="101"/>
      <c r="F709" s="101"/>
      <c r="G709" s="101"/>
      <c r="H709" s="101"/>
      <c r="I709" s="101"/>
      <c r="J709" s="142"/>
      <c r="K709" s="101"/>
      <c r="L709" s="101"/>
      <c r="M709" s="101"/>
      <c r="N709" s="101"/>
      <c r="O709" s="101"/>
      <c r="P709" s="101"/>
      <c r="Q709" s="101"/>
      <c r="R709" s="101"/>
      <c r="S709" s="101"/>
      <c r="T709" s="101"/>
      <c r="U709" s="101"/>
      <c r="V709" s="101"/>
      <c r="W709" s="101"/>
      <c r="X709" s="101"/>
      <c r="Y709" s="101"/>
      <c r="Z709" s="101"/>
      <c r="AA709" s="101"/>
      <c r="AB709" s="101"/>
      <c r="AC709" s="101"/>
      <c r="AD709" s="101"/>
    </row>
    <row r="710" ht="30.0" customHeight="1">
      <c r="A710" s="141"/>
      <c r="B710" s="101"/>
      <c r="C710" s="101"/>
      <c r="D710" s="101"/>
      <c r="E710" s="101"/>
      <c r="F710" s="101"/>
      <c r="G710" s="101"/>
      <c r="H710" s="101"/>
      <c r="I710" s="101"/>
      <c r="J710" s="142"/>
      <c r="K710" s="101"/>
      <c r="L710" s="101"/>
      <c r="M710" s="101"/>
      <c r="N710" s="101"/>
      <c r="O710" s="101"/>
      <c r="P710" s="101"/>
      <c r="Q710" s="101"/>
      <c r="R710" s="101"/>
      <c r="S710" s="101"/>
      <c r="T710" s="101"/>
      <c r="U710" s="101"/>
      <c r="V710" s="101"/>
      <c r="W710" s="101"/>
      <c r="X710" s="101"/>
      <c r="Y710" s="101"/>
      <c r="Z710" s="101"/>
      <c r="AA710" s="101"/>
      <c r="AB710" s="101"/>
      <c r="AC710" s="101"/>
      <c r="AD710" s="101"/>
    </row>
    <row r="711" ht="30.0" customHeight="1">
      <c r="A711" s="141"/>
      <c r="B711" s="101"/>
      <c r="C711" s="101"/>
      <c r="D711" s="101"/>
      <c r="E711" s="101"/>
      <c r="F711" s="101"/>
      <c r="G711" s="101"/>
      <c r="H711" s="101"/>
      <c r="I711" s="101"/>
      <c r="J711" s="142"/>
      <c r="K711" s="101"/>
      <c r="L711" s="101"/>
      <c r="M711" s="101"/>
      <c r="N711" s="101"/>
      <c r="O711" s="101"/>
      <c r="P711" s="101"/>
      <c r="Q711" s="101"/>
      <c r="R711" s="101"/>
      <c r="S711" s="101"/>
      <c r="T711" s="101"/>
      <c r="U711" s="101"/>
      <c r="V711" s="101"/>
      <c r="W711" s="101"/>
      <c r="X711" s="101"/>
      <c r="Y711" s="101"/>
      <c r="Z711" s="101"/>
      <c r="AA711" s="101"/>
      <c r="AB711" s="101"/>
      <c r="AC711" s="101"/>
      <c r="AD711" s="101"/>
    </row>
    <row r="712" ht="30.0" customHeight="1">
      <c r="A712" s="141"/>
      <c r="B712" s="101"/>
      <c r="C712" s="101"/>
      <c r="D712" s="101"/>
      <c r="E712" s="101"/>
      <c r="F712" s="101"/>
      <c r="G712" s="101"/>
      <c r="H712" s="101"/>
      <c r="I712" s="101"/>
      <c r="J712" s="142"/>
      <c r="K712" s="101"/>
      <c r="L712" s="101"/>
      <c r="M712" s="101"/>
      <c r="N712" s="101"/>
      <c r="O712" s="101"/>
      <c r="P712" s="101"/>
      <c r="Q712" s="101"/>
      <c r="R712" s="101"/>
      <c r="S712" s="101"/>
      <c r="T712" s="101"/>
      <c r="U712" s="101"/>
      <c r="V712" s="101"/>
      <c r="W712" s="101"/>
      <c r="X712" s="101"/>
      <c r="Y712" s="101"/>
      <c r="Z712" s="101"/>
      <c r="AA712" s="101"/>
      <c r="AB712" s="101"/>
      <c r="AC712" s="101"/>
      <c r="AD712" s="101"/>
    </row>
    <row r="713" ht="30.0" customHeight="1">
      <c r="A713" s="141"/>
      <c r="B713" s="101"/>
      <c r="C713" s="101"/>
      <c r="D713" s="101"/>
      <c r="E713" s="101"/>
      <c r="F713" s="101"/>
      <c r="G713" s="101"/>
      <c r="H713" s="101"/>
      <c r="I713" s="101"/>
      <c r="J713" s="142"/>
      <c r="K713" s="101"/>
      <c r="L713" s="101"/>
      <c r="M713" s="101"/>
      <c r="N713" s="101"/>
      <c r="O713" s="101"/>
      <c r="P713" s="101"/>
      <c r="Q713" s="101"/>
      <c r="R713" s="101"/>
      <c r="S713" s="101"/>
      <c r="T713" s="101"/>
      <c r="U713" s="101"/>
      <c r="V713" s="101"/>
      <c r="W713" s="101"/>
      <c r="X713" s="101"/>
      <c r="Y713" s="101"/>
      <c r="Z713" s="101"/>
      <c r="AA713" s="101"/>
      <c r="AB713" s="101"/>
      <c r="AC713" s="101"/>
      <c r="AD713" s="101"/>
    </row>
    <row r="714" ht="30.0" customHeight="1">
      <c r="A714" s="141"/>
      <c r="B714" s="101"/>
      <c r="C714" s="101"/>
      <c r="D714" s="101"/>
      <c r="E714" s="101"/>
      <c r="F714" s="101"/>
      <c r="G714" s="101"/>
      <c r="H714" s="101"/>
      <c r="I714" s="101"/>
      <c r="J714" s="142"/>
      <c r="K714" s="101"/>
      <c r="L714" s="101"/>
      <c r="M714" s="101"/>
      <c r="N714" s="101"/>
      <c r="O714" s="101"/>
      <c r="P714" s="101"/>
      <c r="Q714" s="101"/>
      <c r="R714" s="101"/>
      <c r="S714" s="101"/>
      <c r="T714" s="101"/>
      <c r="U714" s="101"/>
      <c r="V714" s="101"/>
      <c r="W714" s="101"/>
      <c r="X714" s="101"/>
      <c r="Y714" s="101"/>
      <c r="Z714" s="101"/>
      <c r="AA714" s="101"/>
      <c r="AB714" s="101"/>
      <c r="AC714" s="101"/>
      <c r="AD714" s="101"/>
    </row>
    <row r="715" ht="30.0" customHeight="1">
      <c r="A715" s="141"/>
      <c r="B715" s="101"/>
      <c r="C715" s="101"/>
      <c r="D715" s="101"/>
      <c r="E715" s="101"/>
      <c r="F715" s="101"/>
      <c r="G715" s="101"/>
      <c r="H715" s="101"/>
      <c r="I715" s="101"/>
      <c r="J715" s="142"/>
      <c r="K715" s="101"/>
      <c r="L715" s="101"/>
      <c r="M715" s="101"/>
      <c r="N715" s="101"/>
      <c r="O715" s="101"/>
      <c r="P715" s="101"/>
      <c r="Q715" s="101"/>
      <c r="R715" s="101"/>
      <c r="S715" s="101"/>
      <c r="T715" s="101"/>
      <c r="U715" s="101"/>
      <c r="V715" s="101"/>
      <c r="W715" s="101"/>
      <c r="X715" s="101"/>
      <c r="Y715" s="101"/>
      <c r="Z715" s="101"/>
      <c r="AA715" s="101"/>
      <c r="AB715" s="101"/>
      <c r="AC715" s="101"/>
      <c r="AD715" s="101"/>
    </row>
    <row r="716" ht="30.0" customHeight="1">
      <c r="A716" s="141"/>
      <c r="B716" s="101"/>
      <c r="C716" s="101"/>
      <c r="D716" s="101"/>
      <c r="E716" s="101"/>
      <c r="F716" s="101"/>
      <c r="G716" s="101"/>
      <c r="H716" s="101"/>
      <c r="I716" s="101"/>
      <c r="J716" s="142"/>
      <c r="K716" s="101"/>
      <c r="L716" s="101"/>
      <c r="M716" s="101"/>
      <c r="N716" s="101"/>
      <c r="O716" s="101"/>
      <c r="P716" s="101"/>
      <c r="Q716" s="101"/>
      <c r="R716" s="101"/>
      <c r="S716" s="101"/>
      <c r="T716" s="101"/>
      <c r="U716" s="101"/>
      <c r="V716" s="101"/>
      <c r="W716" s="101"/>
      <c r="X716" s="101"/>
      <c r="Y716" s="101"/>
      <c r="Z716" s="101"/>
      <c r="AA716" s="101"/>
      <c r="AB716" s="101"/>
      <c r="AC716" s="101"/>
      <c r="AD716" s="101"/>
    </row>
    <row r="717" ht="30.0" customHeight="1">
      <c r="A717" s="141"/>
      <c r="B717" s="101"/>
      <c r="C717" s="101"/>
      <c r="D717" s="101"/>
      <c r="E717" s="101"/>
      <c r="F717" s="101"/>
      <c r="G717" s="101"/>
      <c r="H717" s="101"/>
      <c r="I717" s="101"/>
      <c r="J717" s="142"/>
      <c r="K717" s="101"/>
      <c r="L717" s="101"/>
      <c r="M717" s="101"/>
      <c r="N717" s="101"/>
      <c r="O717" s="101"/>
      <c r="P717" s="101"/>
      <c r="Q717" s="101"/>
      <c r="R717" s="101"/>
      <c r="S717" s="101"/>
      <c r="T717" s="101"/>
      <c r="U717" s="101"/>
      <c r="V717" s="101"/>
      <c r="W717" s="101"/>
      <c r="X717" s="101"/>
      <c r="Y717" s="101"/>
      <c r="Z717" s="101"/>
      <c r="AA717" s="101"/>
      <c r="AB717" s="101"/>
      <c r="AC717" s="101"/>
      <c r="AD717" s="101"/>
    </row>
    <row r="718" ht="30.0" customHeight="1">
      <c r="A718" s="141"/>
      <c r="B718" s="101"/>
      <c r="C718" s="101"/>
      <c r="D718" s="101"/>
      <c r="E718" s="101"/>
      <c r="F718" s="101"/>
      <c r="G718" s="101"/>
      <c r="H718" s="101"/>
      <c r="I718" s="101"/>
      <c r="J718" s="142"/>
      <c r="K718" s="101"/>
      <c r="L718" s="101"/>
      <c r="M718" s="101"/>
      <c r="N718" s="101"/>
      <c r="O718" s="101"/>
      <c r="P718" s="101"/>
      <c r="Q718" s="101"/>
      <c r="R718" s="101"/>
      <c r="S718" s="101"/>
      <c r="T718" s="101"/>
      <c r="U718" s="101"/>
      <c r="V718" s="101"/>
      <c r="W718" s="101"/>
      <c r="X718" s="101"/>
      <c r="Y718" s="101"/>
      <c r="Z718" s="101"/>
      <c r="AA718" s="101"/>
      <c r="AB718" s="101"/>
      <c r="AC718" s="101"/>
      <c r="AD718" s="101"/>
    </row>
    <row r="719" ht="30.0" customHeight="1">
      <c r="A719" s="141"/>
      <c r="B719" s="101"/>
      <c r="C719" s="101"/>
      <c r="D719" s="101"/>
      <c r="E719" s="101"/>
      <c r="F719" s="101"/>
      <c r="G719" s="101"/>
      <c r="H719" s="101"/>
      <c r="I719" s="101"/>
      <c r="J719" s="142"/>
      <c r="K719" s="101"/>
      <c r="L719" s="101"/>
      <c r="M719" s="101"/>
      <c r="N719" s="101"/>
      <c r="O719" s="101"/>
      <c r="P719" s="101"/>
      <c r="Q719" s="101"/>
      <c r="R719" s="101"/>
      <c r="S719" s="101"/>
      <c r="T719" s="101"/>
      <c r="U719" s="101"/>
      <c r="V719" s="101"/>
      <c r="W719" s="101"/>
      <c r="X719" s="101"/>
      <c r="Y719" s="101"/>
      <c r="Z719" s="101"/>
      <c r="AA719" s="101"/>
      <c r="AB719" s="101"/>
      <c r="AC719" s="101"/>
      <c r="AD719" s="101"/>
    </row>
    <row r="720" ht="30.0" customHeight="1">
      <c r="A720" s="141"/>
      <c r="B720" s="101"/>
      <c r="C720" s="101"/>
      <c r="D720" s="101"/>
      <c r="E720" s="101"/>
      <c r="F720" s="101"/>
      <c r="G720" s="101"/>
      <c r="H720" s="101"/>
      <c r="I720" s="101"/>
      <c r="J720" s="142"/>
      <c r="K720" s="101"/>
      <c r="L720" s="101"/>
      <c r="M720" s="101"/>
      <c r="N720" s="101"/>
      <c r="O720" s="101"/>
      <c r="P720" s="101"/>
      <c r="Q720" s="101"/>
      <c r="R720" s="101"/>
      <c r="S720" s="101"/>
      <c r="T720" s="101"/>
      <c r="U720" s="101"/>
      <c r="V720" s="101"/>
      <c r="W720" s="101"/>
      <c r="X720" s="101"/>
      <c r="Y720" s="101"/>
      <c r="Z720" s="101"/>
      <c r="AA720" s="101"/>
      <c r="AB720" s="101"/>
      <c r="AC720" s="101"/>
      <c r="AD720" s="101"/>
    </row>
    <row r="721" ht="30.0" customHeight="1">
      <c r="A721" s="141"/>
      <c r="B721" s="101"/>
      <c r="C721" s="101"/>
      <c r="D721" s="101"/>
      <c r="E721" s="101"/>
      <c r="F721" s="101"/>
      <c r="G721" s="101"/>
      <c r="H721" s="101"/>
      <c r="I721" s="101"/>
      <c r="J721" s="142"/>
      <c r="K721" s="101"/>
      <c r="L721" s="101"/>
      <c r="M721" s="101"/>
      <c r="N721" s="101"/>
      <c r="O721" s="101"/>
      <c r="P721" s="101"/>
      <c r="Q721" s="101"/>
      <c r="R721" s="101"/>
      <c r="S721" s="101"/>
      <c r="T721" s="101"/>
      <c r="U721" s="101"/>
      <c r="V721" s="101"/>
      <c r="W721" s="101"/>
      <c r="X721" s="101"/>
      <c r="Y721" s="101"/>
      <c r="Z721" s="101"/>
      <c r="AA721" s="101"/>
      <c r="AB721" s="101"/>
      <c r="AC721" s="101"/>
      <c r="AD721" s="101"/>
    </row>
    <row r="722" ht="30.0" customHeight="1">
      <c r="A722" s="141"/>
      <c r="B722" s="101"/>
      <c r="C722" s="101"/>
      <c r="D722" s="101"/>
      <c r="E722" s="101"/>
      <c r="F722" s="101"/>
      <c r="G722" s="101"/>
      <c r="H722" s="101"/>
      <c r="I722" s="101"/>
      <c r="J722" s="142"/>
      <c r="K722" s="101"/>
      <c r="L722" s="101"/>
      <c r="M722" s="101"/>
      <c r="N722" s="101"/>
      <c r="O722" s="101"/>
      <c r="P722" s="101"/>
      <c r="Q722" s="101"/>
      <c r="R722" s="101"/>
      <c r="S722" s="101"/>
      <c r="T722" s="101"/>
      <c r="U722" s="101"/>
      <c r="V722" s="101"/>
      <c r="W722" s="101"/>
      <c r="X722" s="101"/>
      <c r="Y722" s="101"/>
      <c r="Z722" s="101"/>
      <c r="AA722" s="101"/>
      <c r="AB722" s="101"/>
      <c r="AC722" s="101"/>
      <c r="AD722" s="101"/>
    </row>
    <row r="723" ht="30.0" customHeight="1">
      <c r="A723" s="141"/>
      <c r="B723" s="101"/>
      <c r="C723" s="101"/>
      <c r="D723" s="101"/>
      <c r="E723" s="101"/>
      <c r="F723" s="101"/>
      <c r="G723" s="101"/>
      <c r="H723" s="101"/>
      <c r="I723" s="101"/>
      <c r="J723" s="142"/>
      <c r="K723" s="101"/>
      <c r="L723" s="101"/>
      <c r="M723" s="101"/>
      <c r="N723" s="101"/>
      <c r="O723" s="101"/>
      <c r="P723" s="101"/>
      <c r="Q723" s="101"/>
      <c r="R723" s="101"/>
      <c r="S723" s="101"/>
      <c r="T723" s="101"/>
      <c r="U723" s="101"/>
      <c r="V723" s="101"/>
      <c r="W723" s="101"/>
      <c r="X723" s="101"/>
      <c r="Y723" s="101"/>
      <c r="Z723" s="101"/>
      <c r="AA723" s="101"/>
      <c r="AB723" s="101"/>
      <c r="AC723" s="101"/>
      <c r="AD723" s="101"/>
    </row>
    <row r="724" ht="30.0" customHeight="1">
      <c r="A724" s="141"/>
      <c r="B724" s="101"/>
      <c r="C724" s="101"/>
      <c r="D724" s="101"/>
      <c r="E724" s="101"/>
      <c r="F724" s="101"/>
      <c r="G724" s="101"/>
      <c r="H724" s="101"/>
      <c r="I724" s="101"/>
      <c r="J724" s="142"/>
      <c r="K724" s="101"/>
      <c r="L724" s="101"/>
      <c r="M724" s="101"/>
      <c r="N724" s="101"/>
      <c r="O724" s="101"/>
      <c r="P724" s="101"/>
      <c r="Q724" s="101"/>
      <c r="R724" s="101"/>
      <c r="S724" s="101"/>
      <c r="T724" s="101"/>
      <c r="U724" s="101"/>
      <c r="V724" s="101"/>
      <c r="W724" s="101"/>
      <c r="X724" s="101"/>
      <c r="Y724" s="101"/>
      <c r="Z724" s="101"/>
      <c r="AA724" s="101"/>
      <c r="AB724" s="101"/>
      <c r="AC724" s="101"/>
      <c r="AD724" s="101"/>
    </row>
    <row r="725" ht="30.0" customHeight="1">
      <c r="A725" s="141"/>
      <c r="B725" s="101"/>
      <c r="C725" s="101"/>
      <c r="D725" s="101"/>
      <c r="E725" s="101"/>
      <c r="F725" s="101"/>
      <c r="G725" s="101"/>
      <c r="H725" s="101"/>
      <c r="I725" s="101"/>
      <c r="J725" s="142"/>
      <c r="K725" s="101"/>
      <c r="L725" s="101"/>
      <c r="M725" s="101"/>
      <c r="N725" s="101"/>
      <c r="O725" s="101"/>
      <c r="P725" s="101"/>
      <c r="Q725" s="101"/>
      <c r="R725" s="101"/>
      <c r="S725" s="101"/>
      <c r="T725" s="101"/>
      <c r="U725" s="101"/>
      <c r="V725" s="101"/>
      <c r="W725" s="101"/>
      <c r="X725" s="101"/>
      <c r="Y725" s="101"/>
      <c r="Z725" s="101"/>
      <c r="AA725" s="101"/>
      <c r="AB725" s="101"/>
      <c r="AC725" s="101"/>
      <c r="AD725" s="101"/>
    </row>
    <row r="726" ht="30.0" customHeight="1">
      <c r="A726" s="141"/>
      <c r="B726" s="101"/>
      <c r="C726" s="101"/>
      <c r="D726" s="101"/>
      <c r="E726" s="101"/>
      <c r="F726" s="101"/>
      <c r="G726" s="101"/>
      <c r="H726" s="101"/>
      <c r="I726" s="101"/>
      <c r="J726" s="142"/>
      <c r="K726" s="101"/>
      <c r="L726" s="101"/>
      <c r="M726" s="101"/>
      <c r="N726" s="101"/>
      <c r="O726" s="101"/>
      <c r="P726" s="101"/>
      <c r="Q726" s="101"/>
      <c r="R726" s="101"/>
      <c r="S726" s="101"/>
      <c r="T726" s="101"/>
      <c r="U726" s="101"/>
      <c r="V726" s="101"/>
      <c r="W726" s="101"/>
      <c r="X726" s="101"/>
      <c r="Y726" s="101"/>
      <c r="Z726" s="101"/>
      <c r="AA726" s="101"/>
      <c r="AB726" s="101"/>
      <c r="AC726" s="101"/>
      <c r="AD726" s="101"/>
    </row>
    <row r="727" ht="30.0" customHeight="1">
      <c r="A727" s="141"/>
      <c r="B727" s="101"/>
      <c r="C727" s="101"/>
      <c r="D727" s="101"/>
      <c r="E727" s="101"/>
      <c r="F727" s="101"/>
      <c r="G727" s="101"/>
      <c r="H727" s="101"/>
      <c r="I727" s="101"/>
      <c r="J727" s="142"/>
      <c r="K727" s="101"/>
      <c r="L727" s="101"/>
      <c r="M727" s="101"/>
      <c r="N727" s="101"/>
      <c r="O727" s="101"/>
      <c r="P727" s="101"/>
      <c r="Q727" s="101"/>
      <c r="R727" s="101"/>
      <c r="S727" s="101"/>
      <c r="T727" s="101"/>
      <c r="U727" s="101"/>
      <c r="V727" s="101"/>
      <c r="W727" s="101"/>
      <c r="X727" s="101"/>
      <c r="Y727" s="101"/>
      <c r="Z727" s="101"/>
      <c r="AA727" s="101"/>
      <c r="AB727" s="101"/>
      <c r="AC727" s="101"/>
      <c r="AD727" s="101"/>
    </row>
    <row r="728" ht="30.0" customHeight="1">
      <c r="A728" s="141"/>
      <c r="B728" s="101"/>
      <c r="C728" s="101"/>
      <c r="D728" s="101"/>
      <c r="E728" s="101"/>
      <c r="F728" s="101"/>
      <c r="G728" s="101"/>
      <c r="H728" s="101"/>
      <c r="I728" s="101"/>
      <c r="J728" s="142"/>
      <c r="K728" s="101"/>
      <c r="L728" s="101"/>
      <c r="M728" s="101"/>
      <c r="N728" s="101"/>
      <c r="O728" s="101"/>
      <c r="P728" s="101"/>
      <c r="Q728" s="101"/>
      <c r="R728" s="101"/>
      <c r="S728" s="101"/>
      <c r="T728" s="101"/>
      <c r="U728" s="101"/>
      <c r="V728" s="101"/>
      <c r="W728" s="101"/>
      <c r="X728" s="101"/>
      <c r="Y728" s="101"/>
      <c r="Z728" s="101"/>
      <c r="AA728" s="101"/>
      <c r="AB728" s="101"/>
      <c r="AC728" s="101"/>
      <c r="AD728" s="101"/>
    </row>
    <row r="729" ht="30.0" customHeight="1">
      <c r="A729" s="141"/>
      <c r="B729" s="101"/>
      <c r="C729" s="101"/>
      <c r="D729" s="101"/>
      <c r="E729" s="101"/>
      <c r="F729" s="101"/>
      <c r="G729" s="101"/>
      <c r="H729" s="101"/>
      <c r="I729" s="101"/>
      <c r="J729" s="142"/>
      <c r="K729" s="101"/>
      <c r="L729" s="101"/>
      <c r="M729" s="101"/>
      <c r="N729" s="101"/>
      <c r="O729" s="101"/>
      <c r="P729" s="101"/>
      <c r="Q729" s="101"/>
      <c r="R729" s="101"/>
      <c r="S729" s="101"/>
      <c r="T729" s="101"/>
      <c r="U729" s="101"/>
      <c r="V729" s="101"/>
      <c r="W729" s="101"/>
      <c r="X729" s="101"/>
      <c r="Y729" s="101"/>
      <c r="Z729" s="101"/>
      <c r="AA729" s="101"/>
      <c r="AB729" s="101"/>
      <c r="AC729" s="101"/>
      <c r="AD729" s="101"/>
    </row>
    <row r="730" ht="30.0" customHeight="1">
      <c r="A730" s="141"/>
      <c r="B730" s="101"/>
      <c r="C730" s="101"/>
      <c r="D730" s="101"/>
      <c r="E730" s="101"/>
      <c r="F730" s="101"/>
      <c r="G730" s="101"/>
      <c r="H730" s="101"/>
      <c r="I730" s="101"/>
      <c r="J730" s="142"/>
      <c r="K730" s="101"/>
      <c r="L730" s="101"/>
      <c r="M730" s="101"/>
      <c r="N730" s="101"/>
      <c r="O730" s="101"/>
      <c r="P730" s="101"/>
      <c r="Q730" s="101"/>
      <c r="R730" s="101"/>
      <c r="S730" s="101"/>
      <c r="T730" s="101"/>
      <c r="U730" s="101"/>
      <c r="V730" s="101"/>
      <c r="W730" s="101"/>
      <c r="X730" s="101"/>
      <c r="Y730" s="101"/>
      <c r="Z730" s="101"/>
      <c r="AA730" s="101"/>
      <c r="AB730" s="101"/>
      <c r="AC730" s="101"/>
      <c r="AD730" s="101"/>
    </row>
    <row r="731" ht="30.0" customHeight="1">
      <c r="A731" s="141"/>
      <c r="B731" s="101"/>
      <c r="C731" s="101"/>
      <c r="D731" s="101"/>
      <c r="E731" s="101"/>
      <c r="F731" s="101"/>
      <c r="G731" s="101"/>
      <c r="H731" s="101"/>
      <c r="I731" s="101"/>
      <c r="J731" s="142"/>
      <c r="K731" s="101"/>
      <c r="L731" s="101"/>
      <c r="M731" s="101"/>
      <c r="N731" s="101"/>
      <c r="O731" s="101"/>
      <c r="P731" s="101"/>
      <c r="Q731" s="101"/>
      <c r="R731" s="101"/>
      <c r="S731" s="101"/>
      <c r="T731" s="101"/>
      <c r="U731" s="101"/>
      <c r="V731" s="101"/>
      <c r="W731" s="101"/>
      <c r="X731" s="101"/>
      <c r="Y731" s="101"/>
      <c r="Z731" s="101"/>
      <c r="AA731" s="101"/>
      <c r="AB731" s="101"/>
      <c r="AC731" s="101"/>
      <c r="AD731" s="101"/>
    </row>
    <row r="732" ht="30.0" customHeight="1">
      <c r="A732" s="141"/>
      <c r="B732" s="101"/>
      <c r="C732" s="101"/>
      <c r="D732" s="101"/>
      <c r="E732" s="101"/>
      <c r="F732" s="101"/>
      <c r="G732" s="101"/>
      <c r="H732" s="101"/>
      <c r="I732" s="101"/>
      <c r="J732" s="142"/>
      <c r="K732" s="101"/>
      <c r="L732" s="101"/>
      <c r="M732" s="101"/>
      <c r="N732" s="101"/>
      <c r="O732" s="101"/>
      <c r="P732" s="101"/>
      <c r="Q732" s="101"/>
      <c r="R732" s="101"/>
      <c r="S732" s="101"/>
      <c r="T732" s="101"/>
      <c r="U732" s="101"/>
      <c r="V732" s="101"/>
      <c r="W732" s="101"/>
      <c r="X732" s="101"/>
      <c r="Y732" s="101"/>
      <c r="Z732" s="101"/>
      <c r="AA732" s="101"/>
      <c r="AB732" s="101"/>
      <c r="AC732" s="101"/>
      <c r="AD732" s="101"/>
    </row>
    <row r="733" ht="30.0" customHeight="1">
      <c r="A733" s="141"/>
      <c r="B733" s="101"/>
      <c r="C733" s="101"/>
      <c r="D733" s="101"/>
      <c r="E733" s="101"/>
      <c r="F733" s="101"/>
      <c r="G733" s="101"/>
      <c r="H733" s="101"/>
      <c r="I733" s="101"/>
      <c r="J733" s="142"/>
      <c r="K733" s="101"/>
      <c r="L733" s="101"/>
      <c r="M733" s="101"/>
      <c r="N733" s="101"/>
      <c r="O733" s="101"/>
      <c r="P733" s="101"/>
      <c r="Q733" s="101"/>
      <c r="R733" s="101"/>
      <c r="S733" s="101"/>
      <c r="T733" s="101"/>
      <c r="U733" s="101"/>
      <c r="V733" s="101"/>
      <c r="W733" s="101"/>
      <c r="X733" s="101"/>
      <c r="Y733" s="101"/>
      <c r="Z733" s="101"/>
      <c r="AA733" s="101"/>
      <c r="AB733" s="101"/>
      <c r="AC733" s="101"/>
      <c r="AD733" s="101"/>
    </row>
    <row r="734" ht="30.0" customHeight="1">
      <c r="A734" s="141"/>
      <c r="B734" s="101"/>
      <c r="C734" s="101"/>
      <c r="D734" s="101"/>
      <c r="E734" s="101"/>
      <c r="F734" s="101"/>
      <c r="G734" s="101"/>
      <c r="H734" s="101"/>
      <c r="I734" s="101"/>
      <c r="J734" s="142"/>
      <c r="K734" s="101"/>
      <c r="L734" s="101"/>
      <c r="M734" s="101"/>
      <c r="N734" s="101"/>
      <c r="O734" s="101"/>
      <c r="P734" s="101"/>
      <c r="Q734" s="101"/>
      <c r="R734" s="101"/>
      <c r="S734" s="101"/>
      <c r="T734" s="101"/>
      <c r="U734" s="101"/>
      <c r="V734" s="101"/>
      <c r="W734" s="101"/>
      <c r="X734" s="101"/>
      <c r="Y734" s="101"/>
      <c r="Z734" s="101"/>
      <c r="AA734" s="101"/>
      <c r="AB734" s="101"/>
      <c r="AC734" s="101"/>
      <c r="AD734" s="101"/>
    </row>
    <row r="735" ht="30.0" customHeight="1">
      <c r="A735" s="141"/>
      <c r="B735" s="101"/>
      <c r="C735" s="101"/>
      <c r="D735" s="101"/>
      <c r="E735" s="101"/>
      <c r="F735" s="101"/>
      <c r="G735" s="101"/>
      <c r="H735" s="101"/>
      <c r="I735" s="101"/>
      <c r="J735" s="142"/>
      <c r="K735" s="101"/>
      <c r="L735" s="101"/>
      <c r="M735" s="101"/>
      <c r="N735" s="101"/>
      <c r="O735" s="101"/>
      <c r="P735" s="101"/>
      <c r="Q735" s="101"/>
      <c r="R735" s="101"/>
      <c r="S735" s="101"/>
      <c r="T735" s="101"/>
      <c r="U735" s="101"/>
      <c r="V735" s="101"/>
      <c r="W735" s="101"/>
      <c r="X735" s="101"/>
      <c r="Y735" s="101"/>
      <c r="Z735" s="101"/>
      <c r="AA735" s="101"/>
      <c r="AB735" s="101"/>
      <c r="AC735" s="101"/>
      <c r="AD735" s="101"/>
    </row>
    <row r="736" ht="30.0" customHeight="1">
      <c r="A736" s="141"/>
      <c r="B736" s="101"/>
      <c r="C736" s="101"/>
      <c r="D736" s="101"/>
      <c r="E736" s="101"/>
      <c r="F736" s="101"/>
      <c r="G736" s="101"/>
      <c r="H736" s="101"/>
      <c r="I736" s="101"/>
      <c r="J736" s="142"/>
      <c r="K736" s="101"/>
      <c r="L736" s="101"/>
      <c r="M736" s="101"/>
      <c r="N736" s="101"/>
      <c r="O736" s="101"/>
      <c r="P736" s="101"/>
      <c r="Q736" s="101"/>
      <c r="R736" s="101"/>
      <c r="S736" s="101"/>
      <c r="T736" s="101"/>
      <c r="U736" s="101"/>
      <c r="V736" s="101"/>
      <c r="W736" s="101"/>
      <c r="X736" s="101"/>
      <c r="Y736" s="101"/>
      <c r="Z736" s="101"/>
      <c r="AA736" s="101"/>
      <c r="AB736" s="101"/>
      <c r="AC736" s="101"/>
      <c r="AD736" s="101"/>
    </row>
    <row r="737" ht="30.0" customHeight="1">
      <c r="A737" s="141"/>
      <c r="B737" s="101"/>
      <c r="C737" s="101"/>
      <c r="D737" s="101"/>
      <c r="E737" s="101"/>
      <c r="F737" s="101"/>
      <c r="G737" s="101"/>
      <c r="H737" s="101"/>
      <c r="I737" s="101"/>
      <c r="J737" s="142"/>
      <c r="K737" s="101"/>
      <c r="L737" s="101"/>
      <c r="M737" s="101"/>
      <c r="N737" s="101"/>
      <c r="O737" s="101"/>
      <c r="P737" s="101"/>
      <c r="Q737" s="101"/>
      <c r="R737" s="101"/>
      <c r="S737" s="101"/>
      <c r="T737" s="101"/>
      <c r="U737" s="101"/>
      <c r="V737" s="101"/>
      <c r="W737" s="101"/>
      <c r="X737" s="101"/>
      <c r="Y737" s="101"/>
      <c r="Z737" s="101"/>
      <c r="AA737" s="101"/>
      <c r="AB737" s="101"/>
      <c r="AC737" s="101"/>
      <c r="AD737" s="101"/>
    </row>
    <row r="738" ht="30.0" customHeight="1">
      <c r="A738" s="141"/>
      <c r="B738" s="101"/>
      <c r="C738" s="101"/>
      <c r="D738" s="101"/>
      <c r="E738" s="101"/>
      <c r="F738" s="101"/>
      <c r="G738" s="101"/>
      <c r="H738" s="101"/>
      <c r="I738" s="101"/>
      <c r="J738" s="142"/>
      <c r="K738" s="101"/>
      <c r="L738" s="101"/>
      <c r="M738" s="101"/>
      <c r="N738" s="101"/>
      <c r="O738" s="101"/>
      <c r="P738" s="101"/>
      <c r="Q738" s="101"/>
      <c r="R738" s="101"/>
      <c r="S738" s="101"/>
      <c r="T738" s="101"/>
      <c r="U738" s="101"/>
      <c r="V738" s="101"/>
      <c r="W738" s="101"/>
      <c r="X738" s="101"/>
      <c r="Y738" s="101"/>
      <c r="Z738" s="101"/>
      <c r="AA738" s="101"/>
      <c r="AB738" s="101"/>
      <c r="AC738" s="101"/>
      <c r="AD738" s="101"/>
    </row>
    <row r="739" ht="30.0" customHeight="1">
      <c r="A739" s="141"/>
      <c r="B739" s="101"/>
      <c r="C739" s="101"/>
      <c r="D739" s="101"/>
      <c r="E739" s="101"/>
      <c r="F739" s="101"/>
      <c r="G739" s="101"/>
      <c r="H739" s="101"/>
      <c r="I739" s="101"/>
      <c r="J739" s="142"/>
      <c r="K739" s="101"/>
      <c r="L739" s="101"/>
      <c r="M739" s="101"/>
      <c r="N739" s="101"/>
      <c r="O739" s="101"/>
      <c r="P739" s="101"/>
      <c r="Q739" s="101"/>
      <c r="R739" s="101"/>
      <c r="S739" s="101"/>
      <c r="T739" s="101"/>
      <c r="U739" s="101"/>
      <c r="V739" s="101"/>
      <c r="W739" s="101"/>
      <c r="X739" s="101"/>
      <c r="Y739" s="101"/>
      <c r="Z739" s="101"/>
      <c r="AA739" s="101"/>
      <c r="AB739" s="101"/>
      <c r="AC739" s="101"/>
      <c r="AD739" s="101"/>
    </row>
    <row r="740" ht="30.0" customHeight="1">
      <c r="A740" s="141"/>
      <c r="B740" s="101"/>
      <c r="C740" s="101"/>
      <c r="D740" s="101"/>
      <c r="E740" s="101"/>
      <c r="F740" s="101"/>
      <c r="G740" s="101"/>
      <c r="H740" s="101"/>
      <c r="I740" s="101"/>
      <c r="J740" s="142"/>
      <c r="K740" s="101"/>
      <c r="L740" s="101"/>
      <c r="M740" s="101"/>
      <c r="N740" s="101"/>
      <c r="O740" s="101"/>
      <c r="P740" s="101"/>
      <c r="Q740" s="101"/>
      <c r="R740" s="101"/>
      <c r="S740" s="101"/>
      <c r="T740" s="101"/>
      <c r="U740" s="101"/>
      <c r="V740" s="101"/>
      <c r="W740" s="101"/>
      <c r="X740" s="101"/>
      <c r="Y740" s="101"/>
      <c r="Z740" s="101"/>
      <c r="AA740" s="101"/>
      <c r="AB740" s="101"/>
      <c r="AC740" s="101"/>
      <c r="AD740" s="101"/>
    </row>
    <row r="741" ht="30.0" customHeight="1">
      <c r="A741" s="141"/>
      <c r="B741" s="101"/>
      <c r="C741" s="101"/>
      <c r="D741" s="101"/>
      <c r="E741" s="101"/>
      <c r="F741" s="101"/>
      <c r="G741" s="101"/>
      <c r="H741" s="101"/>
      <c r="I741" s="101"/>
      <c r="J741" s="142"/>
      <c r="K741" s="101"/>
      <c r="L741" s="101"/>
      <c r="M741" s="101"/>
      <c r="N741" s="101"/>
      <c r="O741" s="101"/>
      <c r="P741" s="101"/>
      <c r="Q741" s="101"/>
      <c r="R741" s="101"/>
      <c r="S741" s="101"/>
      <c r="T741" s="101"/>
      <c r="U741" s="101"/>
      <c r="V741" s="101"/>
      <c r="W741" s="101"/>
      <c r="X741" s="101"/>
      <c r="Y741" s="101"/>
      <c r="Z741" s="101"/>
      <c r="AA741" s="101"/>
      <c r="AB741" s="101"/>
      <c r="AC741" s="101"/>
      <c r="AD741" s="101"/>
    </row>
    <row r="742" ht="30.0" customHeight="1">
      <c r="A742" s="141"/>
      <c r="B742" s="101"/>
      <c r="C742" s="101"/>
      <c r="D742" s="101"/>
      <c r="E742" s="101"/>
      <c r="F742" s="101"/>
      <c r="G742" s="101"/>
      <c r="H742" s="101"/>
      <c r="I742" s="101"/>
      <c r="J742" s="142"/>
      <c r="K742" s="101"/>
      <c r="L742" s="101"/>
      <c r="M742" s="101"/>
      <c r="N742" s="101"/>
      <c r="O742" s="101"/>
      <c r="P742" s="101"/>
      <c r="Q742" s="101"/>
      <c r="R742" s="101"/>
      <c r="S742" s="101"/>
      <c r="T742" s="101"/>
      <c r="U742" s="101"/>
      <c r="V742" s="101"/>
      <c r="W742" s="101"/>
      <c r="X742" s="101"/>
      <c r="Y742" s="101"/>
      <c r="Z742" s="101"/>
      <c r="AA742" s="101"/>
      <c r="AB742" s="101"/>
      <c r="AC742" s="101"/>
      <c r="AD742" s="101"/>
    </row>
    <row r="743" ht="30.0" customHeight="1">
      <c r="A743" s="141"/>
      <c r="B743" s="101"/>
      <c r="C743" s="101"/>
      <c r="D743" s="101"/>
      <c r="E743" s="101"/>
      <c r="F743" s="101"/>
      <c r="G743" s="101"/>
      <c r="H743" s="101"/>
      <c r="I743" s="101"/>
      <c r="J743" s="142"/>
      <c r="K743" s="101"/>
      <c r="L743" s="101"/>
      <c r="M743" s="101"/>
      <c r="N743" s="101"/>
      <c r="O743" s="101"/>
      <c r="P743" s="101"/>
      <c r="Q743" s="101"/>
      <c r="R743" s="101"/>
      <c r="S743" s="101"/>
      <c r="T743" s="101"/>
      <c r="U743" s="101"/>
      <c r="V743" s="101"/>
      <c r="W743" s="101"/>
      <c r="X743" s="101"/>
      <c r="Y743" s="101"/>
      <c r="Z743" s="101"/>
      <c r="AA743" s="101"/>
      <c r="AB743" s="101"/>
      <c r="AC743" s="101"/>
      <c r="AD743" s="101"/>
    </row>
    <row r="744" ht="30.0" customHeight="1">
      <c r="A744" s="141"/>
      <c r="B744" s="101"/>
      <c r="C744" s="101"/>
      <c r="D744" s="101"/>
      <c r="E744" s="101"/>
      <c r="F744" s="101"/>
      <c r="G744" s="101"/>
      <c r="H744" s="101"/>
      <c r="I744" s="101"/>
      <c r="J744" s="142"/>
      <c r="K744" s="101"/>
      <c r="L744" s="101"/>
      <c r="M744" s="101"/>
      <c r="N744" s="101"/>
      <c r="O744" s="101"/>
      <c r="P744" s="101"/>
      <c r="Q744" s="101"/>
      <c r="R744" s="101"/>
      <c r="S744" s="101"/>
      <c r="T744" s="101"/>
      <c r="U744" s="101"/>
      <c r="V744" s="101"/>
      <c r="W744" s="101"/>
      <c r="X744" s="101"/>
      <c r="Y744" s="101"/>
      <c r="Z744" s="101"/>
      <c r="AA744" s="101"/>
      <c r="AB744" s="101"/>
      <c r="AC744" s="101"/>
      <c r="AD744" s="101"/>
    </row>
    <row r="745" ht="30.0" customHeight="1">
      <c r="A745" s="141"/>
      <c r="B745" s="101"/>
      <c r="C745" s="101"/>
      <c r="D745" s="101"/>
      <c r="E745" s="101"/>
      <c r="F745" s="101"/>
      <c r="G745" s="101"/>
      <c r="H745" s="101"/>
      <c r="I745" s="101"/>
      <c r="J745" s="142"/>
      <c r="K745" s="101"/>
      <c r="L745" s="101"/>
      <c r="M745" s="101"/>
      <c r="N745" s="101"/>
      <c r="O745" s="101"/>
      <c r="P745" s="101"/>
      <c r="Q745" s="101"/>
      <c r="R745" s="101"/>
      <c r="S745" s="101"/>
      <c r="T745" s="101"/>
      <c r="U745" s="101"/>
      <c r="V745" s="101"/>
      <c r="W745" s="101"/>
      <c r="X745" s="101"/>
      <c r="Y745" s="101"/>
      <c r="Z745" s="101"/>
      <c r="AA745" s="101"/>
      <c r="AB745" s="101"/>
      <c r="AC745" s="101"/>
      <c r="AD745" s="101"/>
    </row>
    <row r="746" ht="30.0" customHeight="1">
      <c r="A746" s="141"/>
      <c r="B746" s="101"/>
      <c r="C746" s="101"/>
      <c r="D746" s="101"/>
      <c r="E746" s="101"/>
      <c r="F746" s="101"/>
      <c r="G746" s="101"/>
      <c r="H746" s="101"/>
      <c r="I746" s="101"/>
      <c r="J746" s="142"/>
      <c r="K746" s="101"/>
      <c r="L746" s="101"/>
      <c r="M746" s="101"/>
      <c r="N746" s="101"/>
      <c r="O746" s="101"/>
      <c r="P746" s="101"/>
      <c r="Q746" s="101"/>
      <c r="R746" s="101"/>
      <c r="S746" s="101"/>
      <c r="T746" s="101"/>
      <c r="U746" s="101"/>
      <c r="V746" s="101"/>
      <c r="W746" s="101"/>
      <c r="X746" s="101"/>
      <c r="Y746" s="101"/>
      <c r="Z746" s="101"/>
      <c r="AA746" s="101"/>
      <c r="AB746" s="101"/>
      <c r="AC746" s="101"/>
      <c r="AD746" s="101"/>
    </row>
    <row r="747" ht="30.0" customHeight="1">
      <c r="A747" s="141"/>
      <c r="B747" s="101"/>
      <c r="C747" s="101"/>
      <c r="D747" s="101"/>
      <c r="E747" s="101"/>
      <c r="F747" s="101"/>
      <c r="G747" s="101"/>
      <c r="H747" s="101"/>
      <c r="I747" s="101"/>
      <c r="J747" s="142"/>
      <c r="K747" s="101"/>
      <c r="L747" s="101"/>
      <c r="M747" s="101"/>
      <c r="N747" s="101"/>
      <c r="O747" s="101"/>
      <c r="P747" s="101"/>
      <c r="Q747" s="101"/>
      <c r="R747" s="101"/>
      <c r="S747" s="101"/>
      <c r="T747" s="101"/>
      <c r="U747" s="101"/>
      <c r="V747" s="101"/>
      <c r="W747" s="101"/>
      <c r="X747" s="101"/>
      <c r="Y747" s="101"/>
      <c r="Z747" s="101"/>
      <c r="AA747" s="101"/>
      <c r="AB747" s="101"/>
      <c r="AC747" s="101"/>
      <c r="AD747" s="101"/>
    </row>
    <row r="748" ht="30.0" customHeight="1">
      <c r="A748" s="141"/>
      <c r="B748" s="101"/>
      <c r="C748" s="101"/>
      <c r="D748" s="101"/>
      <c r="E748" s="101"/>
      <c r="F748" s="101"/>
      <c r="G748" s="101"/>
      <c r="H748" s="101"/>
      <c r="I748" s="101"/>
      <c r="J748" s="142"/>
      <c r="K748" s="101"/>
      <c r="L748" s="101"/>
      <c r="M748" s="101"/>
      <c r="N748" s="101"/>
      <c r="O748" s="101"/>
      <c r="P748" s="101"/>
      <c r="Q748" s="101"/>
      <c r="R748" s="101"/>
      <c r="S748" s="101"/>
      <c r="T748" s="101"/>
      <c r="U748" s="101"/>
      <c r="V748" s="101"/>
      <c r="W748" s="101"/>
      <c r="X748" s="101"/>
      <c r="Y748" s="101"/>
      <c r="Z748" s="101"/>
      <c r="AA748" s="101"/>
      <c r="AB748" s="101"/>
      <c r="AC748" s="101"/>
      <c r="AD748" s="101"/>
    </row>
    <row r="749" ht="30.0" customHeight="1">
      <c r="A749" s="141"/>
      <c r="B749" s="101"/>
      <c r="C749" s="101"/>
      <c r="D749" s="101"/>
      <c r="E749" s="101"/>
      <c r="F749" s="101"/>
      <c r="G749" s="101"/>
      <c r="H749" s="101"/>
      <c r="I749" s="101"/>
      <c r="J749" s="142"/>
      <c r="K749" s="101"/>
      <c r="L749" s="101"/>
      <c r="M749" s="101"/>
      <c r="N749" s="101"/>
      <c r="O749" s="101"/>
      <c r="P749" s="101"/>
      <c r="Q749" s="101"/>
      <c r="R749" s="101"/>
      <c r="S749" s="101"/>
      <c r="T749" s="101"/>
      <c r="U749" s="101"/>
      <c r="V749" s="101"/>
      <c r="W749" s="101"/>
      <c r="X749" s="101"/>
      <c r="Y749" s="101"/>
      <c r="Z749" s="101"/>
      <c r="AA749" s="101"/>
      <c r="AB749" s="101"/>
      <c r="AC749" s="101"/>
      <c r="AD749" s="101"/>
    </row>
    <row r="750" ht="30.0" customHeight="1">
      <c r="A750" s="141"/>
      <c r="B750" s="101"/>
      <c r="C750" s="101"/>
      <c r="D750" s="101"/>
      <c r="E750" s="101"/>
      <c r="F750" s="101"/>
      <c r="G750" s="101"/>
      <c r="H750" s="101"/>
      <c r="I750" s="101"/>
      <c r="J750" s="142"/>
      <c r="K750" s="101"/>
      <c r="L750" s="101"/>
      <c r="M750" s="101"/>
      <c r="N750" s="101"/>
      <c r="O750" s="101"/>
      <c r="P750" s="101"/>
      <c r="Q750" s="101"/>
      <c r="R750" s="101"/>
      <c r="S750" s="101"/>
      <c r="T750" s="101"/>
      <c r="U750" s="101"/>
      <c r="V750" s="101"/>
      <c r="W750" s="101"/>
      <c r="X750" s="101"/>
      <c r="Y750" s="101"/>
      <c r="Z750" s="101"/>
      <c r="AA750" s="101"/>
      <c r="AB750" s="101"/>
      <c r="AC750" s="101"/>
      <c r="AD750" s="101"/>
    </row>
    <row r="751" ht="30.0" customHeight="1">
      <c r="A751" s="141"/>
      <c r="B751" s="101"/>
      <c r="C751" s="101"/>
      <c r="D751" s="101"/>
      <c r="E751" s="101"/>
      <c r="F751" s="101"/>
      <c r="G751" s="101"/>
      <c r="H751" s="101"/>
      <c r="I751" s="101"/>
      <c r="J751" s="142"/>
      <c r="K751" s="101"/>
      <c r="L751" s="101"/>
      <c r="M751" s="101"/>
      <c r="N751" s="101"/>
      <c r="O751" s="101"/>
      <c r="P751" s="101"/>
      <c r="Q751" s="101"/>
      <c r="R751" s="101"/>
      <c r="S751" s="101"/>
      <c r="T751" s="101"/>
      <c r="U751" s="101"/>
      <c r="V751" s="101"/>
      <c r="W751" s="101"/>
      <c r="X751" s="101"/>
      <c r="Y751" s="101"/>
      <c r="Z751" s="101"/>
      <c r="AA751" s="101"/>
      <c r="AB751" s="101"/>
      <c r="AC751" s="101"/>
      <c r="AD751" s="101"/>
    </row>
    <row r="752" ht="30.0" customHeight="1">
      <c r="A752" s="141"/>
      <c r="B752" s="101"/>
      <c r="C752" s="101"/>
      <c r="D752" s="101"/>
      <c r="E752" s="101"/>
      <c r="F752" s="101"/>
      <c r="G752" s="101"/>
      <c r="H752" s="101"/>
      <c r="I752" s="101"/>
      <c r="J752" s="142"/>
      <c r="K752" s="101"/>
      <c r="L752" s="101"/>
      <c r="M752" s="101"/>
      <c r="N752" s="101"/>
      <c r="O752" s="101"/>
      <c r="P752" s="101"/>
      <c r="Q752" s="101"/>
      <c r="R752" s="101"/>
      <c r="S752" s="101"/>
      <c r="T752" s="101"/>
      <c r="U752" s="101"/>
      <c r="V752" s="101"/>
      <c r="W752" s="101"/>
      <c r="X752" s="101"/>
      <c r="Y752" s="101"/>
      <c r="Z752" s="101"/>
      <c r="AA752" s="101"/>
      <c r="AB752" s="101"/>
      <c r="AC752" s="101"/>
      <c r="AD752" s="101"/>
    </row>
    <row r="753" ht="30.0" customHeight="1">
      <c r="A753" s="141"/>
      <c r="B753" s="101"/>
      <c r="C753" s="101"/>
      <c r="D753" s="101"/>
      <c r="E753" s="101"/>
      <c r="F753" s="101"/>
      <c r="G753" s="101"/>
      <c r="H753" s="101"/>
      <c r="I753" s="101"/>
      <c r="J753" s="142"/>
      <c r="K753" s="101"/>
      <c r="L753" s="101"/>
      <c r="M753" s="101"/>
      <c r="N753" s="101"/>
      <c r="O753" s="101"/>
      <c r="P753" s="101"/>
      <c r="Q753" s="101"/>
      <c r="R753" s="101"/>
      <c r="S753" s="101"/>
      <c r="T753" s="101"/>
      <c r="U753" s="101"/>
      <c r="V753" s="101"/>
      <c r="W753" s="101"/>
      <c r="X753" s="101"/>
      <c r="Y753" s="101"/>
      <c r="Z753" s="101"/>
      <c r="AA753" s="101"/>
      <c r="AB753" s="101"/>
      <c r="AC753" s="101"/>
      <c r="AD753" s="101"/>
    </row>
    <row r="754" ht="30.0" customHeight="1">
      <c r="A754" s="141"/>
      <c r="B754" s="101"/>
      <c r="C754" s="101"/>
      <c r="D754" s="101"/>
      <c r="E754" s="101"/>
      <c r="F754" s="101"/>
      <c r="G754" s="101"/>
      <c r="H754" s="101"/>
      <c r="I754" s="101"/>
      <c r="J754" s="142"/>
      <c r="K754" s="101"/>
      <c r="L754" s="101"/>
      <c r="M754" s="101"/>
      <c r="N754" s="101"/>
      <c r="O754" s="101"/>
      <c r="P754" s="101"/>
      <c r="Q754" s="101"/>
      <c r="R754" s="101"/>
      <c r="S754" s="101"/>
      <c r="T754" s="101"/>
      <c r="U754" s="101"/>
      <c r="V754" s="101"/>
      <c r="W754" s="101"/>
      <c r="X754" s="101"/>
      <c r="Y754" s="101"/>
      <c r="Z754" s="101"/>
      <c r="AA754" s="101"/>
      <c r="AB754" s="101"/>
      <c r="AC754" s="101"/>
      <c r="AD754" s="101"/>
    </row>
    <row r="755" ht="30.0" customHeight="1">
      <c r="A755" s="141"/>
      <c r="B755" s="101"/>
      <c r="C755" s="101"/>
      <c r="D755" s="101"/>
      <c r="E755" s="101"/>
      <c r="F755" s="101"/>
      <c r="G755" s="101"/>
      <c r="H755" s="101"/>
      <c r="I755" s="101"/>
      <c r="J755" s="142"/>
      <c r="K755" s="101"/>
      <c r="L755" s="101"/>
      <c r="M755" s="101"/>
      <c r="N755" s="101"/>
      <c r="O755" s="101"/>
      <c r="P755" s="101"/>
      <c r="Q755" s="101"/>
      <c r="R755" s="101"/>
      <c r="S755" s="101"/>
      <c r="T755" s="101"/>
      <c r="U755" s="101"/>
      <c r="V755" s="101"/>
      <c r="W755" s="101"/>
      <c r="X755" s="101"/>
      <c r="Y755" s="101"/>
      <c r="Z755" s="101"/>
      <c r="AA755" s="101"/>
      <c r="AB755" s="101"/>
      <c r="AC755" s="101"/>
      <c r="AD755" s="101"/>
    </row>
    <row r="756" ht="30.0" customHeight="1">
      <c r="A756" s="141"/>
      <c r="B756" s="101"/>
      <c r="C756" s="101"/>
      <c r="D756" s="101"/>
      <c r="E756" s="101"/>
      <c r="F756" s="101"/>
      <c r="G756" s="101"/>
      <c r="H756" s="101"/>
      <c r="I756" s="101"/>
      <c r="J756" s="142"/>
      <c r="K756" s="101"/>
      <c r="L756" s="101"/>
      <c r="M756" s="101"/>
      <c r="N756" s="101"/>
      <c r="O756" s="101"/>
      <c r="P756" s="101"/>
      <c r="Q756" s="101"/>
      <c r="R756" s="101"/>
      <c r="S756" s="101"/>
      <c r="T756" s="101"/>
      <c r="U756" s="101"/>
      <c r="V756" s="101"/>
      <c r="W756" s="101"/>
      <c r="X756" s="101"/>
      <c r="Y756" s="101"/>
      <c r="Z756" s="101"/>
      <c r="AA756" s="101"/>
      <c r="AB756" s="101"/>
      <c r="AC756" s="101"/>
      <c r="AD756" s="101"/>
    </row>
    <row r="757" ht="30.0" customHeight="1">
      <c r="A757" s="141"/>
      <c r="B757" s="101"/>
      <c r="C757" s="101"/>
      <c r="D757" s="101"/>
      <c r="E757" s="101"/>
      <c r="F757" s="101"/>
      <c r="G757" s="101"/>
      <c r="H757" s="101"/>
      <c r="I757" s="101"/>
      <c r="J757" s="142"/>
      <c r="K757" s="101"/>
      <c r="L757" s="101"/>
      <c r="M757" s="101"/>
      <c r="N757" s="101"/>
      <c r="O757" s="101"/>
      <c r="P757" s="101"/>
      <c r="Q757" s="101"/>
      <c r="R757" s="101"/>
      <c r="S757" s="101"/>
      <c r="T757" s="101"/>
      <c r="U757" s="101"/>
      <c r="V757" s="101"/>
      <c r="W757" s="101"/>
      <c r="X757" s="101"/>
      <c r="Y757" s="101"/>
      <c r="Z757" s="101"/>
      <c r="AA757" s="101"/>
      <c r="AB757" s="101"/>
      <c r="AC757" s="101"/>
      <c r="AD757" s="101"/>
    </row>
    <row r="758" ht="30.0" customHeight="1">
      <c r="A758" s="141"/>
      <c r="B758" s="101"/>
      <c r="C758" s="101"/>
      <c r="D758" s="101"/>
      <c r="E758" s="101"/>
      <c r="F758" s="101"/>
      <c r="G758" s="101"/>
      <c r="H758" s="101"/>
      <c r="I758" s="101"/>
      <c r="J758" s="142"/>
      <c r="K758" s="101"/>
      <c r="L758" s="101"/>
      <c r="M758" s="101"/>
      <c r="N758" s="101"/>
      <c r="O758" s="101"/>
      <c r="P758" s="101"/>
      <c r="Q758" s="101"/>
      <c r="R758" s="101"/>
      <c r="S758" s="101"/>
      <c r="T758" s="101"/>
      <c r="U758" s="101"/>
      <c r="V758" s="101"/>
      <c r="W758" s="101"/>
      <c r="X758" s="101"/>
      <c r="Y758" s="101"/>
      <c r="Z758" s="101"/>
      <c r="AA758" s="101"/>
      <c r="AB758" s="101"/>
      <c r="AC758" s="101"/>
      <c r="AD758" s="101"/>
    </row>
    <row r="759" ht="30.0" customHeight="1">
      <c r="A759" s="141"/>
      <c r="B759" s="101"/>
      <c r="C759" s="101"/>
      <c r="D759" s="101"/>
      <c r="E759" s="101"/>
      <c r="F759" s="101"/>
      <c r="G759" s="101"/>
      <c r="H759" s="101"/>
      <c r="I759" s="101"/>
      <c r="J759" s="142"/>
      <c r="K759" s="101"/>
      <c r="L759" s="101"/>
      <c r="M759" s="101"/>
      <c r="N759" s="101"/>
      <c r="O759" s="101"/>
      <c r="P759" s="101"/>
      <c r="Q759" s="101"/>
      <c r="R759" s="101"/>
      <c r="S759" s="101"/>
      <c r="T759" s="101"/>
      <c r="U759" s="101"/>
      <c r="V759" s="101"/>
      <c r="W759" s="101"/>
      <c r="X759" s="101"/>
      <c r="Y759" s="101"/>
      <c r="Z759" s="101"/>
      <c r="AA759" s="101"/>
      <c r="AB759" s="101"/>
      <c r="AC759" s="101"/>
      <c r="AD759" s="101"/>
    </row>
    <row r="760" ht="30.0" customHeight="1">
      <c r="A760" s="141"/>
      <c r="B760" s="101"/>
      <c r="C760" s="101"/>
      <c r="D760" s="101"/>
      <c r="E760" s="101"/>
      <c r="F760" s="101"/>
      <c r="G760" s="101"/>
      <c r="H760" s="101"/>
      <c r="I760" s="101"/>
      <c r="J760" s="142"/>
      <c r="K760" s="101"/>
      <c r="L760" s="101"/>
      <c r="M760" s="101"/>
      <c r="N760" s="101"/>
      <c r="O760" s="101"/>
      <c r="P760" s="101"/>
      <c r="Q760" s="101"/>
      <c r="R760" s="101"/>
      <c r="S760" s="101"/>
      <c r="T760" s="101"/>
      <c r="U760" s="101"/>
      <c r="V760" s="101"/>
      <c r="W760" s="101"/>
      <c r="X760" s="101"/>
      <c r="Y760" s="101"/>
      <c r="Z760" s="101"/>
      <c r="AA760" s="101"/>
      <c r="AB760" s="101"/>
      <c r="AC760" s="101"/>
      <c r="AD760" s="101"/>
    </row>
    <row r="761" ht="30.0" customHeight="1">
      <c r="A761" s="141"/>
      <c r="B761" s="101"/>
      <c r="C761" s="101"/>
      <c r="D761" s="101"/>
      <c r="E761" s="101"/>
      <c r="F761" s="101"/>
      <c r="G761" s="101"/>
      <c r="H761" s="101"/>
      <c r="I761" s="101"/>
      <c r="J761" s="142"/>
      <c r="K761" s="101"/>
      <c r="L761" s="101"/>
      <c r="M761" s="101"/>
      <c r="N761" s="101"/>
      <c r="O761" s="101"/>
      <c r="P761" s="101"/>
      <c r="Q761" s="101"/>
      <c r="R761" s="101"/>
      <c r="S761" s="101"/>
      <c r="T761" s="101"/>
      <c r="U761" s="101"/>
      <c r="V761" s="101"/>
      <c r="W761" s="101"/>
      <c r="X761" s="101"/>
      <c r="Y761" s="101"/>
      <c r="Z761" s="101"/>
      <c r="AA761" s="101"/>
      <c r="AB761" s="101"/>
      <c r="AC761" s="101"/>
      <c r="AD761" s="101"/>
    </row>
    <row r="762" ht="30.0" customHeight="1">
      <c r="A762" s="141"/>
      <c r="B762" s="101"/>
      <c r="C762" s="101"/>
      <c r="D762" s="101"/>
      <c r="E762" s="101"/>
      <c r="F762" s="101"/>
      <c r="G762" s="101"/>
      <c r="H762" s="101"/>
      <c r="I762" s="101"/>
      <c r="J762" s="142"/>
      <c r="K762" s="101"/>
      <c r="L762" s="101"/>
      <c r="M762" s="101"/>
      <c r="N762" s="101"/>
      <c r="O762" s="101"/>
      <c r="P762" s="101"/>
      <c r="Q762" s="101"/>
      <c r="R762" s="101"/>
      <c r="S762" s="101"/>
      <c r="T762" s="101"/>
      <c r="U762" s="101"/>
      <c r="V762" s="101"/>
      <c r="W762" s="101"/>
      <c r="X762" s="101"/>
      <c r="Y762" s="101"/>
      <c r="Z762" s="101"/>
      <c r="AA762" s="101"/>
      <c r="AB762" s="101"/>
      <c r="AC762" s="101"/>
      <c r="AD762" s="101"/>
    </row>
    <row r="763" ht="30.0" customHeight="1">
      <c r="A763" s="141"/>
      <c r="B763" s="101"/>
      <c r="C763" s="101"/>
      <c r="D763" s="101"/>
      <c r="E763" s="101"/>
      <c r="F763" s="101"/>
      <c r="G763" s="101"/>
      <c r="H763" s="101"/>
      <c r="I763" s="101"/>
      <c r="J763" s="142"/>
      <c r="K763" s="101"/>
      <c r="L763" s="101"/>
      <c r="M763" s="101"/>
      <c r="N763" s="101"/>
      <c r="O763" s="101"/>
      <c r="P763" s="101"/>
      <c r="Q763" s="101"/>
      <c r="R763" s="101"/>
      <c r="S763" s="101"/>
      <c r="T763" s="101"/>
      <c r="U763" s="101"/>
      <c r="V763" s="101"/>
      <c r="W763" s="101"/>
      <c r="X763" s="101"/>
      <c r="Y763" s="101"/>
      <c r="Z763" s="101"/>
      <c r="AA763" s="101"/>
      <c r="AB763" s="101"/>
      <c r="AC763" s="101"/>
      <c r="AD763" s="101"/>
    </row>
    <row r="764" ht="30.0" customHeight="1">
      <c r="A764" s="141"/>
      <c r="B764" s="101"/>
      <c r="C764" s="101"/>
      <c r="D764" s="101"/>
      <c r="E764" s="101"/>
      <c r="F764" s="101"/>
      <c r="G764" s="101"/>
      <c r="H764" s="101"/>
      <c r="I764" s="101"/>
      <c r="J764" s="142"/>
      <c r="K764" s="101"/>
      <c r="L764" s="101"/>
      <c r="M764" s="101"/>
      <c r="N764" s="101"/>
      <c r="O764" s="101"/>
      <c r="P764" s="101"/>
      <c r="Q764" s="101"/>
      <c r="R764" s="101"/>
      <c r="S764" s="101"/>
      <c r="T764" s="101"/>
      <c r="U764" s="101"/>
      <c r="V764" s="101"/>
      <c r="W764" s="101"/>
      <c r="X764" s="101"/>
      <c r="Y764" s="101"/>
      <c r="Z764" s="101"/>
      <c r="AA764" s="101"/>
      <c r="AB764" s="101"/>
      <c r="AC764" s="101"/>
      <c r="AD764" s="101"/>
    </row>
    <row r="765" ht="30.0" customHeight="1">
      <c r="A765" s="141"/>
      <c r="B765" s="101"/>
      <c r="C765" s="101"/>
      <c r="D765" s="101"/>
      <c r="E765" s="101"/>
      <c r="F765" s="101"/>
      <c r="G765" s="101"/>
      <c r="H765" s="101"/>
      <c r="I765" s="101"/>
      <c r="J765" s="142"/>
      <c r="K765" s="101"/>
      <c r="L765" s="101"/>
      <c r="M765" s="101"/>
      <c r="N765" s="101"/>
      <c r="O765" s="101"/>
      <c r="P765" s="101"/>
      <c r="Q765" s="101"/>
      <c r="R765" s="101"/>
      <c r="S765" s="101"/>
      <c r="T765" s="101"/>
      <c r="U765" s="101"/>
      <c r="V765" s="101"/>
      <c r="W765" s="101"/>
      <c r="X765" s="101"/>
      <c r="Y765" s="101"/>
      <c r="Z765" s="101"/>
      <c r="AA765" s="101"/>
      <c r="AB765" s="101"/>
      <c r="AC765" s="101"/>
      <c r="AD765" s="101"/>
    </row>
    <row r="766" ht="30.0" customHeight="1">
      <c r="A766" s="141"/>
      <c r="B766" s="101"/>
      <c r="C766" s="101"/>
      <c r="D766" s="101"/>
      <c r="E766" s="101"/>
      <c r="F766" s="101"/>
      <c r="G766" s="101"/>
      <c r="H766" s="101"/>
      <c r="I766" s="101"/>
      <c r="J766" s="142"/>
      <c r="K766" s="101"/>
      <c r="L766" s="101"/>
      <c r="M766" s="101"/>
      <c r="N766" s="101"/>
      <c r="O766" s="101"/>
      <c r="P766" s="101"/>
      <c r="Q766" s="101"/>
      <c r="R766" s="101"/>
      <c r="S766" s="101"/>
      <c r="T766" s="101"/>
      <c r="U766" s="101"/>
      <c r="V766" s="101"/>
      <c r="W766" s="101"/>
      <c r="X766" s="101"/>
      <c r="Y766" s="101"/>
      <c r="Z766" s="101"/>
      <c r="AA766" s="101"/>
      <c r="AB766" s="101"/>
      <c r="AC766" s="101"/>
      <c r="AD766" s="101"/>
    </row>
    <row r="767" ht="30.0" customHeight="1">
      <c r="A767" s="141"/>
      <c r="B767" s="101"/>
      <c r="C767" s="101"/>
      <c r="D767" s="101"/>
      <c r="E767" s="101"/>
      <c r="F767" s="101"/>
      <c r="G767" s="101"/>
      <c r="H767" s="101"/>
      <c r="I767" s="101"/>
      <c r="J767" s="142"/>
      <c r="K767" s="101"/>
      <c r="L767" s="101"/>
      <c r="M767" s="101"/>
      <c r="N767" s="101"/>
      <c r="O767" s="101"/>
      <c r="P767" s="101"/>
      <c r="Q767" s="101"/>
      <c r="R767" s="101"/>
      <c r="S767" s="101"/>
      <c r="T767" s="101"/>
      <c r="U767" s="101"/>
      <c r="V767" s="101"/>
      <c r="W767" s="101"/>
      <c r="X767" s="101"/>
      <c r="Y767" s="101"/>
      <c r="Z767" s="101"/>
      <c r="AA767" s="101"/>
      <c r="AB767" s="101"/>
      <c r="AC767" s="101"/>
      <c r="AD767" s="101"/>
    </row>
    <row r="768" ht="30.0" customHeight="1">
      <c r="A768" s="141"/>
      <c r="B768" s="101"/>
      <c r="C768" s="101"/>
      <c r="D768" s="101"/>
      <c r="E768" s="101"/>
      <c r="F768" s="101"/>
      <c r="G768" s="101"/>
      <c r="H768" s="101"/>
      <c r="I768" s="101"/>
      <c r="J768" s="142"/>
      <c r="K768" s="101"/>
      <c r="L768" s="101"/>
      <c r="M768" s="101"/>
      <c r="N768" s="101"/>
      <c r="O768" s="101"/>
      <c r="P768" s="101"/>
      <c r="Q768" s="101"/>
      <c r="R768" s="101"/>
      <c r="S768" s="101"/>
      <c r="T768" s="101"/>
      <c r="U768" s="101"/>
      <c r="V768" s="101"/>
      <c r="W768" s="101"/>
      <c r="X768" s="101"/>
      <c r="Y768" s="101"/>
      <c r="Z768" s="101"/>
      <c r="AA768" s="101"/>
      <c r="AB768" s="101"/>
      <c r="AC768" s="101"/>
      <c r="AD768" s="101"/>
    </row>
    <row r="769" ht="30.0" customHeight="1">
      <c r="A769" s="141"/>
      <c r="B769" s="101"/>
      <c r="C769" s="101"/>
      <c r="D769" s="101"/>
      <c r="E769" s="101"/>
      <c r="F769" s="101"/>
      <c r="G769" s="101"/>
      <c r="H769" s="101"/>
      <c r="I769" s="101"/>
      <c r="J769" s="142"/>
      <c r="K769" s="101"/>
      <c r="L769" s="101"/>
      <c r="M769" s="101"/>
      <c r="N769" s="101"/>
      <c r="O769" s="101"/>
      <c r="P769" s="101"/>
      <c r="Q769" s="101"/>
      <c r="R769" s="101"/>
      <c r="S769" s="101"/>
      <c r="T769" s="101"/>
      <c r="U769" s="101"/>
      <c r="V769" s="101"/>
      <c r="W769" s="101"/>
      <c r="X769" s="101"/>
      <c r="Y769" s="101"/>
      <c r="Z769" s="101"/>
      <c r="AA769" s="101"/>
      <c r="AB769" s="101"/>
      <c r="AC769" s="101"/>
      <c r="AD769" s="101"/>
    </row>
    <row r="770" ht="30.0" customHeight="1">
      <c r="A770" s="141"/>
      <c r="B770" s="101"/>
      <c r="C770" s="101"/>
      <c r="D770" s="101"/>
      <c r="E770" s="101"/>
      <c r="F770" s="101"/>
      <c r="G770" s="101"/>
      <c r="H770" s="101"/>
      <c r="I770" s="101"/>
      <c r="J770" s="142"/>
      <c r="K770" s="101"/>
      <c r="L770" s="101"/>
      <c r="M770" s="101"/>
      <c r="N770" s="101"/>
      <c r="O770" s="101"/>
      <c r="P770" s="101"/>
      <c r="Q770" s="101"/>
      <c r="R770" s="101"/>
      <c r="S770" s="101"/>
      <c r="T770" s="101"/>
      <c r="U770" s="101"/>
      <c r="V770" s="101"/>
      <c r="W770" s="101"/>
      <c r="X770" s="101"/>
      <c r="Y770" s="101"/>
      <c r="Z770" s="101"/>
      <c r="AA770" s="101"/>
      <c r="AB770" s="101"/>
      <c r="AC770" s="101"/>
      <c r="AD770" s="101"/>
    </row>
    <row r="771" ht="30.0" customHeight="1">
      <c r="A771" s="141"/>
      <c r="B771" s="101"/>
      <c r="C771" s="101"/>
      <c r="D771" s="101"/>
      <c r="E771" s="101"/>
      <c r="F771" s="101"/>
      <c r="G771" s="101"/>
      <c r="H771" s="101"/>
      <c r="I771" s="101"/>
      <c r="J771" s="142"/>
      <c r="K771" s="101"/>
      <c r="L771" s="101"/>
      <c r="M771" s="101"/>
      <c r="N771" s="101"/>
      <c r="O771" s="101"/>
      <c r="P771" s="101"/>
      <c r="Q771" s="101"/>
      <c r="R771" s="101"/>
      <c r="S771" s="101"/>
      <c r="T771" s="101"/>
      <c r="U771" s="101"/>
      <c r="V771" s="101"/>
      <c r="W771" s="101"/>
      <c r="X771" s="101"/>
      <c r="Y771" s="101"/>
      <c r="Z771" s="101"/>
      <c r="AA771" s="101"/>
      <c r="AB771" s="101"/>
      <c r="AC771" s="101"/>
      <c r="AD771" s="101"/>
    </row>
    <row r="772" ht="30.0" customHeight="1">
      <c r="A772" s="141"/>
      <c r="B772" s="101"/>
      <c r="C772" s="101"/>
      <c r="D772" s="101"/>
      <c r="E772" s="101"/>
      <c r="F772" s="101"/>
      <c r="G772" s="101"/>
      <c r="H772" s="101"/>
      <c r="I772" s="101"/>
      <c r="J772" s="142"/>
      <c r="K772" s="101"/>
      <c r="L772" s="101"/>
      <c r="M772" s="101"/>
      <c r="N772" s="101"/>
      <c r="O772" s="101"/>
      <c r="P772" s="101"/>
      <c r="Q772" s="101"/>
      <c r="R772" s="101"/>
      <c r="S772" s="101"/>
      <c r="T772" s="101"/>
      <c r="U772" s="101"/>
      <c r="V772" s="101"/>
      <c r="W772" s="101"/>
      <c r="X772" s="101"/>
      <c r="Y772" s="101"/>
      <c r="Z772" s="101"/>
      <c r="AA772" s="101"/>
      <c r="AB772" s="101"/>
      <c r="AC772" s="101"/>
      <c r="AD772" s="101"/>
    </row>
    <row r="773" ht="30.0" customHeight="1">
      <c r="A773" s="141"/>
      <c r="B773" s="101"/>
      <c r="C773" s="101"/>
      <c r="D773" s="101"/>
      <c r="E773" s="101"/>
      <c r="F773" s="101"/>
      <c r="G773" s="101"/>
      <c r="H773" s="101"/>
      <c r="I773" s="101"/>
      <c r="J773" s="142"/>
      <c r="K773" s="101"/>
      <c r="L773" s="101"/>
      <c r="M773" s="101"/>
      <c r="N773" s="101"/>
      <c r="O773" s="101"/>
      <c r="P773" s="101"/>
      <c r="Q773" s="101"/>
      <c r="R773" s="101"/>
      <c r="S773" s="101"/>
      <c r="T773" s="101"/>
      <c r="U773" s="101"/>
      <c r="V773" s="101"/>
      <c r="W773" s="101"/>
      <c r="X773" s="101"/>
      <c r="Y773" s="101"/>
      <c r="Z773" s="101"/>
      <c r="AA773" s="101"/>
      <c r="AB773" s="101"/>
      <c r="AC773" s="101"/>
      <c r="AD773" s="101"/>
    </row>
    <row r="774" ht="30.0" customHeight="1">
      <c r="A774" s="141"/>
      <c r="B774" s="101"/>
      <c r="C774" s="101"/>
      <c r="D774" s="101"/>
      <c r="E774" s="101"/>
      <c r="F774" s="101"/>
      <c r="G774" s="101"/>
      <c r="H774" s="101"/>
      <c r="I774" s="101"/>
      <c r="J774" s="142"/>
      <c r="K774" s="101"/>
      <c r="L774" s="101"/>
      <c r="M774" s="101"/>
      <c r="N774" s="101"/>
      <c r="O774" s="101"/>
      <c r="P774" s="101"/>
      <c r="Q774" s="101"/>
      <c r="R774" s="101"/>
      <c r="S774" s="101"/>
      <c r="T774" s="101"/>
      <c r="U774" s="101"/>
      <c r="V774" s="101"/>
      <c r="W774" s="101"/>
      <c r="X774" s="101"/>
      <c r="Y774" s="101"/>
      <c r="Z774" s="101"/>
      <c r="AA774" s="101"/>
      <c r="AB774" s="101"/>
      <c r="AC774" s="101"/>
      <c r="AD774" s="101"/>
    </row>
    <row r="775" ht="30.0" customHeight="1">
      <c r="A775" s="141"/>
      <c r="B775" s="101"/>
      <c r="C775" s="101"/>
      <c r="D775" s="101"/>
      <c r="E775" s="101"/>
      <c r="F775" s="101"/>
      <c r="G775" s="101"/>
      <c r="H775" s="101"/>
      <c r="I775" s="101"/>
      <c r="J775" s="142"/>
      <c r="K775" s="101"/>
      <c r="L775" s="101"/>
      <c r="M775" s="101"/>
      <c r="N775" s="101"/>
      <c r="O775" s="101"/>
      <c r="P775" s="101"/>
      <c r="Q775" s="101"/>
      <c r="R775" s="101"/>
      <c r="S775" s="101"/>
      <c r="T775" s="101"/>
      <c r="U775" s="101"/>
      <c r="V775" s="101"/>
      <c r="W775" s="101"/>
      <c r="X775" s="101"/>
      <c r="Y775" s="101"/>
      <c r="Z775" s="101"/>
      <c r="AA775" s="101"/>
      <c r="AB775" s="101"/>
      <c r="AC775" s="101"/>
      <c r="AD775" s="101"/>
    </row>
    <row r="776" ht="30.0" customHeight="1">
      <c r="A776" s="141"/>
      <c r="B776" s="101"/>
      <c r="C776" s="101"/>
      <c r="D776" s="101"/>
      <c r="E776" s="101"/>
      <c r="F776" s="101"/>
      <c r="G776" s="101"/>
      <c r="H776" s="101"/>
      <c r="I776" s="101"/>
      <c r="J776" s="142"/>
      <c r="K776" s="101"/>
      <c r="L776" s="101"/>
      <c r="M776" s="101"/>
      <c r="N776" s="101"/>
      <c r="O776" s="101"/>
      <c r="P776" s="101"/>
      <c r="Q776" s="101"/>
      <c r="R776" s="101"/>
      <c r="S776" s="101"/>
      <c r="T776" s="101"/>
      <c r="U776" s="101"/>
      <c r="V776" s="101"/>
      <c r="W776" s="101"/>
      <c r="X776" s="101"/>
      <c r="Y776" s="101"/>
      <c r="Z776" s="101"/>
      <c r="AA776" s="101"/>
      <c r="AB776" s="101"/>
      <c r="AC776" s="101"/>
      <c r="AD776" s="101"/>
    </row>
    <row r="777" ht="30.0" customHeight="1">
      <c r="A777" s="141"/>
      <c r="B777" s="101"/>
      <c r="C777" s="101"/>
      <c r="D777" s="101"/>
      <c r="E777" s="101"/>
      <c r="F777" s="101"/>
      <c r="G777" s="101"/>
      <c r="H777" s="101"/>
      <c r="I777" s="101"/>
      <c r="J777" s="142"/>
      <c r="K777" s="101"/>
      <c r="L777" s="101"/>
      <c r="M777" s="101"/>
      <c r="N777" s="101"/>
      <c r="O777" s="101"/>
      <c r="P777" s="101"/>
      <c r="Q777" s="101"/>
      <c r="R777" s="101"/>
      <c r="S777" s="101"/>
      <c r="T777" s="101"/>
      <c r="U777" s="101"/>
      <c r="V777" s="101"/>
      <c r="W777" s="101"/>
      <c r="X777" s="101"/>
      <c r="Y777" s="101"/>
      <c r="Z777" s="101"/>
      <c r="AA777" s="101"/>
      <c r="AB777" s="101"/>
      <c r="AC777" s="101"/>
      <c r="AD777" s="101"/>
    </row>
    <row r="778" ht="30.0" customHeight="1">
      <c r="A778" s="141"/>
      <c r="B778" s="101"/>
      <c r="C778" s="101"/>
      <c r="D778" s="101"/>
      <c r="E778" s="101"/>
      <c r="F778" s="101"/>
      <c r="G778" s="101"/>
      <c r="H778" s="101"/>
      <c r="I778" s="101"/>
      <c r="J778" s="142"/>
      <c r="K778" s="101"/>
      <c r="L778" s="101"/>
      <c r="M778" s="101"/>
      <c r="N778" s="101"/>
      <c r="O778" s="101"/>
      <c r="P778" s="101"/>
      <c r="Q778" s="101"/>
      <c r="R778" s="101"/>
      <c r="S778" s="101"/>
      <c r="T778" s="101"/>
      <c r="U778" s="101"/>
      <c r="V778" s="101"/>
      <c r="W778" s="101"/>
      <c r="X778" s="101"/>
      <c r="Y778" s="101"/>
      <c r="Z778" s="101"/>
      <c r="AA778" s="101"/>
      <c r="AB778" s="101"/>
      <c r="AC778" s="101"/>
      <c r="AD778" s="101"/>
    </row>
    <row r="779" ht="30.0" customHeight="1">
      <c r="A779" s="141"/>
      <c r="B779" s="101"/>
      <c r="C779" s="101"/>
      <c r="D779" s="101"/>
      <c r="E779" s="101"/>
      <c r="F779" s="101"/>
      <c r="G779" s="101"/>
      <c r="H779" s="101"/>
      <c r="I779" s="101"/>
      <c r="J779" s="142"/>
      <c r="K779" s="101"/>
      <c r="L779" s="101"/>
      <c r="M779" s="101"/>
      <c r="N779" s="101"/>
      <c r="O779" s="101"/>
      <c r="P779" s="101"/>
      <c r="Q779" s="101"/>
      <c r="R779" s="101"/>
      <c r="S779" s="101"/>
      <c r="T779" s="101"/>
      <c r="U779" s="101"/>
      <c r="V779" s="101"/>
      <c r="W779" s="101"/>
      <c r="X779" s="101"/>
      <c r="Y779" s="101"/>
      <c r="Z779" s="101"/>
      <c r="AA779" s="101"/>
      <c r="AB779" s="101"/>
      <c r="AC779" s="101"/>
      <c r="AD779" s="101"/>
    </row>
    <row r="780" ht="30.0" customHeight="1">
      <c r="A780" s="141"/>
      <c r="B780" s="101"/>
      <c r="C780" s="101"/>
      <c r="D780" s="101"/>
      <c r="E780" s="101"/>
      <c r="F780" s="101"/>
      <c r="G780" s="101"/>
      <c r="H780" s="101"/>
      <c r="I780" s="101"/>
      <c r="J780" s="142"/>
      <c r="K780" s="101"/>
      <c r="L780" s="101"/>
      <c r="M780" s="101"/>
      <c r="N780" s="101"/>
      <c r="O780" s="101"/>
      <c r="P780" s="101"/>
      <c r="Q780" s="101"/>
      <c r="R780" s="101"/>
      <c r="S780" s="101"/>
      <c r="T780" s="101"/>
      <c r="U780" s="101"/>
      <c r="V780" s="101"/>
      <c r="W780" s="101"/>
      <c r="X780" s="101"/>
      <c r="Y780" s="101"/>
      <c r="Z780" s="101"/>
      <c r="AA780" s="101"/>
      <c r="AB780" s="101"/>
      <c r="AC780" s="101"/>
      <c r="AD780" s="101"/>
    </row>
    <row r="781" ht="30.0" customHeight="1">
      <c r="A781" s="141"/>
      <c r="B781" s="101"/>
      <c r="C781" s="101"/>
      <c r="D781" s="101"/>
      <c r="E781" s="101"/>
      <c r="F781" s="101"/>
      <c r="G781" s="101"/>
      <c r="H781" s="101"/>
      <c r="I781" s="101"/>
      <c r="J781" s="142"/>
      <c r="K781" s="101"/>
      <c r="L781" s="101"/>
      <c r="M781" s="101"/>
      <c r="N781" s="101"/>
      <c r="O781" s="101"/>
      <c r="P781" s="101"/>
      <c r="Q781" s="101"/>
      <c r="R781" s="101"/>
      <c r="S781" s="101"/>
      <c r="T781" s="101"/>
      <c r="U781" s="101"/>
      <c r="V781" s="101"/>
      <c r="W781" s="101"/>
      <c r="X781" s="101"/>
      <c r="Y781" s="101"/>
      <c r="Z781" s="101"/>
      <c r="AA781" s="101"/>
      <c r="AB781" s="101"/>
      <c r="AC781" s="101"/>
      <c r="AD781" s="101"/>
    </row>
    <row r="782" ht="30.0" customHeight="1">
      <c r="A782" s="141"/>
      <c r="B782" s="101"/>
      <c r="C782" s="101"/>
      <c r="D782" s="101"/>
      <c r="E782" s="101"/>
      <c r="F782" s="101"/>
      <c r="G782" s="101"/>
      <c r="H782" s="101"/>
      <c r="I782" s="101"/>
      <c r="J782" s="142"/>
      <c r="K782" s="101"/>
      <c r="L782" s="101"/>
      <c r="M782" s="101"/>
      <c r="N782" s="101"/>
      <c r="O782" s="101"/>
      <c r="P782" s="101"/>
      <c r="Q782" s="101"/>
      <c r="R782" s="101"/>
      <c r="S782" s="101"/>
      <c r="T782" s="101"/>
      <c r="U782" s="101"/>
      <c r="V782" s="101"/>
      <c r="W782" s="101"/>
      <c r="X782" s="101"/>
      <c r="Y782" s="101"/>
      <c r="Z782" s="101"/>
      <c r="AA782" s="101"/>
      <c r="AB782" s="101"/>
      <c r="AC782" s="101"/>
      <c r="AD782" s="101"/>
    </row>
    <row r="783" ht="30.0" customHeight="1">
      <c r="A783" s="141"/>
      <c r="B783" s="101"/>
      <c r="C783" s="101"/>
      <c r="D783" s="101"/>
      <c r="E783" s="101"/>
      <c r="F783" s="101"/>
      <c r="G783" s="101"/>
      <c r="H783" s="101"/>
      <c r="I783" s="101"/>
      <c r="J783" s="142"/>
      <c r="K783" s="101"/>
      <c r="L783" s="101"/>
      <c r="M783" s="101"/>
      <c r="N783" s="101"/>
      <c r="O783" s="101"/>
      <c r="P783" s="101"/>
      <c r="Q783" s="101"/>
      <c r="R783" s="101"/>
      <c r="S783" s="101"/>
      <c r="T783" s="101"/>
      <c r="U783" s="101"/>
      <c r="V783" s="101"/>
      <c r="W783" s="101"/>
      <c r="X783" s="101"/>
      <c r="Y783" s="101"/>
      <c r="Z783" s="101"/>
      <c r="AA783" s="101"/>
      <c r="AB783" s="101"/>
      <c r="AC783" s="101"/>
      <c r="AD783" s="101"/>
    </row>
    <row r="784" ht="30.0" customHeight="1">
      <c r="A784" s="141"/>
      <c r="B784" s="101"/>
      <c r="C784" s="101"/>
      <c r="D784" s="101"/>
      <c r="E784" s="101"/>
      <c r="F784" s="101"/>
      <c r="G784" s="101"/>
      <c r="H784" s="101"/>
      <c r="I784" s="101"/>
      <c r="J784" s="142"/>
      <c r="K784" s="101"/>
      <c r="L784" s="101"/>
      <c r="M784" s="101"/>
      <c r="N784" s="101"/>
      <c r="O784" s="101"/>
      <c r="P784" s="101"/>
      <c r="Q784" s="101"/>
      <c r="R784" s="101"/>
      <c r="S784" s="101"/>
      <c r="T784" s="101"/>
      <c r="U784" s="101"/>
      <c r="V784" s="101"/>
      <c r="W784" s="101"/>
      <c r="X784" s="101"/>
      <c r="Y784" s="101"/>
      <c r="Z784" s="101"/>
      <c r="AA784" s="101"/>
      <c r="AB784" s="101"/>
      <c r="AC784" s="101"/>
      <c r="AD784" s="101"/>
    </row>
    <row r="785" ht="30.0" customHeight="1">
      <c r="A785" s="141"/>
      <c r="B785" s="101"/>
      <c r="C785" s="101"/>
      <c r="D785" s="101"/>
      <c r="E785" s="101"/>
      <c r="F785" s="101"/>
      <c r="G785" s="101"/>
      <c r="H785" s="101"/>
      <c r="I785" s="101"/>
      <c r="J785" s="142"/>
      <c r="K785" s="101"/>
      <c r="L785" s="101"/>
      <c r="M785" s="101"/>
      <c r="N785" s="101"/>
      <c r="O785" s="101"/>
      <c r="P785" s="101"/>
      <c r="Q785" s="101"/>
      <c r="R785" s="101"/>
      <c r="S785" s="101"/>
      <c r="T785" s="101"/>
      <c r="U785" s="101"/>
      <c r="V785" s="101"/>
      <c r="W785" s="101"/>
      <c r="X785" s="101"/>
      <c r="Y785" s="101"/>
      <c r="Z785" s="101"/>
      <c r="AA785" s="101"/>
      <c r="AB785" s="101"/>
      <c r="AC785" s="101"/>
      <c r="AD785" s="101"/>
    </row>
    <row r="786" ht="30.0" customHeight="1">
      <c r="A786" s="141"/>
      <c r="B786" s="101"/>
      <c r="C786" s="101"/>
      <c r="D786" s="101"/>
      <c r="E786" s="101"/>
      <c r="F786" s="101"/>
      <c r="G786" s="101"/>
      <c r="H786" s="101"/>
      <c r="I786" s="101"/>
      <c r="J786" s="142"/>
      <c r="K786" s="101"/>
      <c r="L786" s="101"/>
      <c r="M786" s="101"/>
      <c r="N786" s="101"/>
      <c r="O786" s="101"/>
      <c r="P786" s="101"/>
      <c r="Q786" s="101"/>
      <c r="R786" s="101"/>
      <c r="S786" s="101"/>
      <c r="T786" s="101"/>
      <c r="U786" s="101"/>
      <c r="V786" s="101"/>
      <c r="W786" s="101"/>
      <c r="X786" s="101"/>
      <c r="Y786" s="101"/>
      <c r="Z786" s="101"/>
      <c r="AA786" s="101"/>
      <c r="AB786" s="101"/>
      <c r="AC786" s="101"/>
      <c r="AD786" s="101"/>
    </row>
    <row r="787" ht="30.0" customHeight="1">
      <c r="A787" s="141"/>
      <c r="B787" s="101"/>
      <c r="C787" s="101"/>
      <c r="D787" s="101"/>
      <c r="E787" s="101"/>
      <c r="F787" s="101"/>
      <c r="G787" s="101"/>
      <c r="H787" s="101"/>
      <c r="I787" s="101"/>
      <c r="J787" s="142"/>
      <c r="K787" s="101"/>
      <c r="L787" s="101"/>
      <c r="M787" s="101"/>
      <c r="N787" s="101"/>
      <c r="O787" s="101"/>
      <c r="P787" s="101"/>
      <c r="Q787" s="101"/>
      <c r="R787" s="101"/>
      <c r="S787" s="101"/>
      <c r="T787" s="101"/>
      <c r="U787" s="101"/>
      <c r="V787" s="101"/>
      <c r="W787" s="101"/>
      <c r="X787" s="101"/>
      <c r="Y787" s="101"/>
      <c r="Z787" s="101"/>
      <c r="AA787" s="101"/>
      <c r="AB787" s="101"/>
      <c r="AC787" s="101"/>
      <c r="AD787" s="101"/>
    </row>
    <row r="788" ht="30.0" customHeight="1">
      <c r="A788" s="141"/>
      <c r="B788" s="101"/>
      <c r="C788" s="101"/>
      <c r="D788" s="101"/>
      <c r="E788" s="101"/>
      <c r="F788" s="101"/>
      <c r="G788" s="101"/>
      <c r="H788" s="101"/>
      <c r="I788" s="101"/>
      <c r="J788" s="142"/>
      <c r="K788" s="101"/>
      <c r="L788" s="101"/>
      <c r="M788" s="101"/>
      <c r="N788" s="101"/>
      <c r="O788" s="101"/>
      <c r="P788" s="101"/>
      <c r="Q788" s="101"/>
      <c r="R788" s="101"/>
      <c r="S788" s="101"/>
      <c r="T788" s="101"/>
      <c r="U788" s="101"/>
      <c r="V788" s="101"/>
      <c r="W788" s="101"/>
      <c r="X788" s="101"/>
      <c r="Y788" s="101"/>
      <c r="Z788" s="101"/>
      <c r="AA788" s="101"/>
      <c r="AB788" s="101"/>
      <c r="AC788" s="101"/>
      <c r="AD788" s="101"/>
    </row>
    <row r="789" ht="30.0" customHeight="1">
      <c r="A789" s="141"/>
      <c r="B789" s="101"/>
      <c r="C789" s="101"/>
      <c r="D789" s="101"/>
      <c r="E789" s="101"/>
      <c r="F789" s="101"/>
      <c r="G789" s="101"/>
      <c r="H789" s="101"/>
      <c r="I789" s="101"/>
      <c r="J789" s="142"/>
      <c r="K789" s="101"/>
      <c r="L789" s="101"/>
      <c r="M789" s="101"/>
      <c r="N789" s="101"/>
      <c r="O789" s="101"/>
      <c r="P789" s="101"/>
      <c r="Q789" s="101"/>
      <c r="R789" s="101"/>
      <c r="S789" s="101"/>
      <c r="T789" s="101"/>
      <c r="U789" s="101"/>
      <c r="V789" s="101"/>
      <c r="W789" s="101"/>
      <c r="X789" s="101"/>
      <c r="Y789" s="101"/>
      <c r="Z789" s="101"/>
      <c r="AA789" s="101"/>
      <c r="AB789" s="101"/>
      <c r="AC789" s="101"/>
      <c r="AD789" s="101"/>
    </row>
    <row r="790" ht="30.0" customHeight="1">
      <c r="A790" s="141"/>
      <c r="B790" s="101"/>
      <c r="C790" s="101"/>
      <c r="D790" s="101"/>
      <c r="E790" s="101"/>
      <c r="F790" s="101"/>
      <c r="G790" s="101"/>
      <c r="H790" s="101"/>
      <c r="I790" s="101"/>
      <c r="J790" s="142"/>
      <c r="K790" s="101"/>
      <c r="L790" s="101"/>
      <c r="M790" s="101"/>
      <c r="N790" s="101"/>
      <c r="O790" s="101"/>
      <c r="P790" s="101"/>
      <c r="Q790" s="101"/>
      <c r="R790" s="101"/>
      <c r="S790" s="101"/>
      <c r="T790" s="101"/>
      <c r="U790" s="101"/>
      <c r="V790" s="101"/>
      <c r="W790" s="101"/>
      <c r="X790" s="101"/>
      <c r="Y790" s="101"/>
      <c r="Z790" s="101"/>
      <c r="AA790" s="101"/>
      <c r="AB790" s="101"/>
      <c r="AC790" s="101"/>
      <c r="AD790" s="101"/>
    </row>
    <row r="791" ht="30.0" customHeight="1">
      <c r="A791" s="141"/>
      <c r="B791" s="101"/>
      <c r="C791" s="101"/>
      <c r="D791" s="101"/>
      <c r="E791" s="101"/>
      <c r="F791" s="101"/>
      <c r="G791" s="101"/>
      <c r="H791" s="101"/>
      <c r="I791" s="101"/>
      <c r="J791" s="142"/>
      <c r="K791" s="101"/>
      <c r="L791" s="101"/>
      <c r="M791" s="101"/>
      <c r="N791" s="101"/>
      <c r="O791" s="101"/>
      <c r="P791" s="101"/>
      <c r="Q791" s="101"/>
      <c r="R791" s="101"/>
      <c r="S791" s="101"/>
      <c r="T791" s="101"/>
      <c r="U791" s="101"/>
      <c r="V791" s="101"/>
      <c r="W791" s="101"/>
      <c r="X791" s="101"/>
      <c r="Y791" s="101"/>
      <c r="Z791" s="101"/>
      <c r="AA791" s="101"/>
      <c r="AB791" s="101"/>
      <c r="AC791" s="101"/>
      <c r="AD791" s="101"/>
    </row>
    <row r="792" ht="30.0" customHeight="1">
      <c r="A792" s="141"/>
      <c r="B792" s="101"/>
      <c r="C792" s="101"/>
      <c r="D792" s="101"/>
      <c r="E792" s="101"/>
      <c r="F792" s="101"/>
      <c r="G792" s="101"/>
      <c r="H792" s="101"/>
      <c r="I792" s="101"/>
      <c r="J792" s="142"/>
      <c r="K792" s="101"/>
      <c r="L792" s="101"/>
      <c r="M792" s="101"/>
      <c r="N792" s="101"/>
      <c r="O792" s="101"/>
      <c r="P792" s="101"/>
      <c r="Q792" s="101"/>
      <c r="R792" s="101"/>
      <c r="S792" s="101"/>
      <c r="T792" s="101"/>
      <c r="U792" s="101"/>
      <c r="V792" s="101"/>
      <c r="W792" s="101"/>
      <c r="X792" s="101"/>
      <c r="Y792" s="101"/>
      <c r="Z792" s="101"/>
      <c r="AA792" s="101"/>
      <c r="AB792" s="101"/>
      <c r="AC792" s="101"/>
      <c r="AD792" s="101"/>
    </row>
    <row r="793" ht="30.0" customHeight="1">
      <c r="A793" s="141"/>
      <c r="B793" s="101"/>
      <c r="C793" s="101"/>
      <c r="D793" s="101"/>
      <c r="E793" s="101"/>
      <c r="F793" s="101"/>
      <c r="G793" s="101"/>
      <c r="H793" s="101"/>
      <c r="I793" s="101"/>
      <c r="J793" s="142"/>
      <c r="K793" s="101"/>
      <c r="L793" s="101"/>
      <c r="M793" s="101"/>
      <c r="N793" s="101"/>
      <c r="O793" s="101"/>
      <c r="P793" s="101"/>
      <c r="Q793" s="101"/>
      <c r="R793" s="101"/>
      <c r="S793" s="101"/>
      <c r="T793" s="101"/>
      <c r="U793" s="101"/>
      <c r="V793" s="101"/>
      <c r="W793" s="101"/>
      <c r="X793" s="101"/>
      <c r="Y793" s="101"/>
      <c r="Z793" s="101"/>
      <c r="AA793" s="101"/>
      <c r="AB793" s="101"/>
      <c r="AC793" s="101"/>
      <c r="AD793" s="101"/>
    </row>
    <row r="794" ht="30.0" customHeight="1">
      <c r="A794" s="141"/>
      <c r="B794" s="101"/>
      <c r="C794" s="101"/>
      <c r="D794" s="101"/>
      <c r="E794" s="101"/>
      <c r="F794" s="101"/>
      <c r="G794" s="101"/>
      <c r="H794" s="101"/>
      <c r="I794" s="101"/>
      <c r="J794" s="142"/>
      <c r="K794" s="101"/>
      <c r="L794" s="101"/>
      <c r="M794" s="101"/>
      <c r="N794" s="101"/>
      <c r="O794" s="101"/>
      <c r="P794" s="101"/>
      <c r="Q794" s="101"/>
      <c r="R794" s="101"/>
      <c r="S794" s="101"/>
      <c r="T794" s="101"/>
      <c r="U794" s="101"/>
      <c r="V794" s="101"/>
      <c r="W794" s="101"/>
      <c r="X794" s="101"/>
      <c r="Y794" s="101"/>
      <c r="Z794" s="101"/>
      <c r="AA794" s="101"/>
      <c r="AB794" s="101"/>
      <c r="AC794" s="101"/>
      <c r="AD794" s="101"/>
    </row>
    <row r="795" ht="30.0" customHeight="1">
      <c r="A795" s="141"/>
      <c r="B795" s="101"/>
      <c r="C795" s="101"/>
      <c r="D795" s="101"/>
      <c r="E795" s="101"/>
      <c r="F795" s="101"/>
      <c r="G795" s="101"/>
      <c r="H795" s="101"/>
      <c r="I795" s="101"/>
      <c r="J795" s="142"/>
      <c r="K795" s="101"/>
      <c r="L795" s="101"/>
      <c r="M795" s="101"/>
      <c r="N795" s="101"/>
      <c r="O795" s="101"/>
      <c r="P795" s="101"/>
      <c r="Q795" s="101"/>
      <c r="R795" s="101"/>
      <c r="S795" s="101"/>
      <c r="T795" s="101"/>
      <c r="U795" s="101"/>
      <c r="V795" s="101"/>
      <c r="W795" s="101"/>
      <c r="X795" s="101"/>
      <c r="Y795" s="101"/>
      <c r="Z795" s="101"/>
      <c r="AA795" s="101"/>
      <c r="AB795" s="101"/>
      <c r="AC795" s="101"/>
      <c r="AD795" s="101"/>
    </row>
    <row r="796" ht="30.0" customHeight="1">
      <c r="A796" s="141"/>
      <c r="B796" s="101"/>
      <c r="C796" s="101"/>
      <c r="D796" s="101"/>
      <c r="E796" s="101"/>
      <c r="F796" s="101"/>
      <c r="G796" s="101"/>
      <c r="H796" s="101"/>
      <c r="I796" s="101"/>
      <c r="J796" s="142"/>
      <c r="K796" s="101"/>
      <c r="L796" s="101"/>
      <c r="M796" s="101"/>
      <c r="N796" s="101"/>
      <c r="O796" s="101"/>
      <c r="P796" s="101"/>
      <c r="Q796" s="101"/>
      <c r="R796" s="101"/>
      <c r="S796" s="101"/>
      <c r="T796" s="101"/>
      <c r="U796" s="101"/>
      <c r="V796" s="101"/>
      <c r="W796" s="101"/>
      <c r="X796" s="101"/>
      <c r="Y796" s="101"/>
      <c r="Z796" s="101"/>
      <c r="AA796" s="101"/>
      <c r="AB796" s="101"/>
      <c r="AC796" s="101"/>
      <c r="AD796" s="101"/>
    </row>
    <row r="797" ht="30.0" customHeight="1">
      <c r="A797" s="141"/>
      <c r="B797" s="101"/>
      <c r="C797" s="101"/>
      <c r="D797" s="101"/>
      <c r="E797" s="101"/>
      <c r="F797" s="101"/>
      <c r="G797" s="101"/>
      <c r="H797" s="101"/>
      <c r="I797" s="101"/>
      <c r="J797" s="142"/>
      <c r="K797" s="101"/>
      <c r="L797" s="101"/>
      <c r="M797" s="101"/>
      <c r="N797" s="101"/>
      <c r="O797" s="101"/>
      <c r="P797" s="101"/>
      <c r="Q797" s="101"/>
      <c r="R797" s="101"/>
      <c r="S797" s="101"/>
      <c r="T797" s="101"/>
      <c r="U797" s="101"/>
      <c r="V797" s="101"/>
      <c r="W797" s="101"/>
      <c r="X797" s="101"/>
      <c r="Y797" s="101"/>
      <c r="Z797" s="101"/>
      <c r="AA797" s="101"/>
      <c r="AB797" s="101"/>
      <c r="AC797" s="101"/>
      <c r="AD797" s="101"/>
    </row>
    <row r="798" ht="30.0" customHeight="1">
      <c r="A798" s="141"/>
      <c r="B798" s="101"/>
      <c r="C798" s="101"/>
      <c r="D798" s="101"/>
      <c r="E798" s="101"/>
      <c r="F798" s="101"/>
      <c r="G798" s="101"/>
      <c r="H798" s="101"/>
      <c r="I798" s="101"/>
      <c r="J798" s="142"/>
      <c r="K798" s="101"/>
      <c r="L798" s="101"/>
      <c r="M798" s="101"/>
      <c r="N798" s="101"/>
      <c r="O798" s="101"/>
      <c r="P798" s="101"/>
      <c r="Q798" s="101"/>
      <c r="R798" s="101"/>
      <c r="S798" s="101"/>
      <c r="T798" s="101"/>
      <c r="U798" s="101"/>
      <c r="V798" s="101"/>
      <c r="W798" s="101"/>
      <c r="X798" s="101"/>
      <c r="Y798" s="101"/>
      <c r="Z798" s="101"/>
      <c r="AA798" s="101"/>
      <c r="AB798" s="101"/>
      <c r="AC798" s="101"/>
      <c r="AD798" s="101"/>
    </row>
    <row r="799" ht="30.0" customHeight="1">
      <c r="A799" s="141"/>
      <c r="B799" s="101"/>
      <c r="C799" s="101"/>
      <c r="D799" s="101"/>
      <c r="E799" s="101"/>
      <c r="F799" s="101"/>
      <c r="G799" s="101"/>
      <c r="H799" s="101"/>
      <c r="I799" s="101"/>
      <c r="J799" s="142"/>
      <c r="K799" s="101"/>
      <c r="L799" s="101"/>
      <c r="M799" s="101"/>
      <c r="N799" s="101"/>
      <c r="O799" s="101"/>
      <c r="P799" s="101"/>
      <c r="Q799" s="101"/>
      <c r="R799" s="101"/>
      <c r="S799" s="101"/>
      <c r="T799" s="101"/>
      <c r="U799" s="101"/>
      <c r="V799" s="101"/>
      <c r="W799" s="101"/>
      <c r="X799" s="101"/>
      <c r="Y799" s="101"/>
      <c r="Z799" s="101"/>
      <c r="AA799" s="101"/>
      <c r="AB799" s="101"/>
      <c r="AC799" s="101"/>
      <c r="AD799" s="101"/>
    </row>
    <row r="800" ht="30.0" customHeight="1">
      <c r="A800" s="141"/>
      <c r="B800" s="101"/>
      <c r="C800" s="101"/>
      <c r="D800" s="101"/>
      <c r="E800" s="101"/>
      <c r="F800" s="101"/>
      <c r="G800" s="101"/>
      <c r="H800" s="101"/>
      <c r="I800" s="101"/>
      <c r="J800" s="142"/>
      <c r="K800" s="101"/>
      <c r="L800" s="101"/>
      <c r="M800" s="101"/>
      <c r="N800" s="101"/>
      <c r="O800" s="101"/>
      <c r="P800" s="101"/>
      <c r="Q800" s="101"/>
      <c r="R800" s="101"/>
      <c r="S800" s="101"/>
      <c r="T800" s="101"/>
      <c r="U800" s="101"/>
      <c r="V800" s="101"/>
      <c r="W800" s="101"/>
      <c r="X800" s="101"/>
      <c r="Y800" s="101"/>
      <c r="Z800" s="101"/>
      <c r="AA800" s="101"/>
      <c r="AB800" s="101"/>
      <c r="AC800" s="101"/>
      <c r="AD800" s="101"/>
    </row>
    <row r="801" ht="30.0" customHeight="1">
      <c r="A801" s="141"/>
      <c r="B801" s="101"/>
      <c r="C801" s="101"/>
      <c r="D801" s="101"/>
      <c r="E801" s="101"/>
      <c r="F801" s="101"/>
      <c r="G801" s="101"/>
      <c r="H801" s="101"/>
      <c r="I801" s="101"/>
      <c r="J801" s="142"/>
      <c r="K801" s="101"/>
      <c r="L801" s="101"/>
      <c r="M801" s="101"/>
      <c r="N801" s="101"/>
      <c r="O801" s="101"/>
      <c r="P801" s="101"/>
      <c r="Q801" s="101"/>
      <c r="R801" s="101"/>
      <c r="S801" s="101"/>
      <c r="T801" s="101"/>
      <c r="U801" s="101"/>
      <c r="V801" s="101"/>
      <c r="W801" s="101"/>
      <c r="X801" s="101"/>
      <c r="Y801" s="101"/>
      <c r="Z801" s="101"/>
      <c r="AA801" s="101"/>
      <c r="AB801" s="101"/>
      <c r="AC801" s="101"/>
      <c r="AD801" s="101"/>
    </row>
    <row r="802" ht="30.0" customHeight="1">
      <c r="A802" s="141"/>
      <c r="B802" s="101"/>
      <c r="C802" s="101"/>
      <c r="D802" s="101"/>
      <c r="E802" s="101"/>
      <c r="F802" s="101"/>
      <c r="G802" s="101"/>
      <c r="H802" s="101"/>
      <c r="I802" s="101"/>
      <c r="J802" s="142"/>
      <c r="K802" s="101"/>
      <c r="L802" s="101"/>
      <c r="M802" s="101"/>
      <c r="N802" s="101"/>
      <c r="O802" s="101"/>
      <c r="P802" s="101"/>
      <c r="Q802" s="101"/>
      <c r="R802" s="101"/>
      <c r="S802" s="101"/>
      <c r="T802" s="101"/>
      <c r="U802" s="101"/>
      <c r="V802" s="101"/>
      <c r="W802" s="101"/>
      <c r="X802" s="101"/>
      <c r="Y802" s="101"/>
      <c r="Z802" s="101"/>
      <c r="AA802" s="101"/>
      <c r="AB802" s="101"/>
      <c r="AC802" s="101"/>
      <c r="AD802" s="101"/>
    </row>
    <row r="803" ht="30.0" customHeight="1">
      <c r="A803" s="141"/>
      <c r="B803" s="101"/>
      <c r="C803" s="101"/>
      <c r="D803" s="101"/>
      <c r="E803" s="101"/>
      <c r="F803" s="101"/>
      <c r="G803" s="101"/>
      <c r="H803" s="101"/>
      <c r="I803" s="101"/>
      <c r="J803" s="142"/>
      <c r="K803" s="101"/>
      <c r="L803" s="101"/>
      <c r="M803" s="101"/>
      <c r="N803" s="101"/>
      <c r="O803" s="101"/>
      <c r="P803" s="101"/>
      <c r="Q803" s="101"/>
      <c r="R803" s="101"/>
      <c r="S803" s="101"/>
      <c r="T803" s="101"/>
      <c r="U803" s="101"/>
      <c r="V803" s="101"/>
      <c r="W803" s="101"/>
      <c r="X803" s="101"/>
      <c r="Y803" s="101"/>
      <c r="Z803" s="101"/>
      <c r="AA803" s="101"/>
      <c r="AB803" s="101"/>
      <c r="AC803" s="101"/>
      <c r="AD803" s="101"/>
    </row>
    <row r="804" ht="30.0" customHeight="1">
      <c r="A804" s="141"/>
      <c r="B804" s="101"/>
      <c r="C804" s="101"/>
      <c r="D804" s="101"/>
      <c r="E804" s="101"/>
      <c r="F804" s="101"/>
      <c r="G804" s="101"/>
      <c r="H804" s="101"/>
      <c r="I804" s="101"/>
      <c r="J804" s="142"/>
      <c r="K804" s="101"/>
      <c r="L804" s="101"/>
      <c r="M804" s="101"/>
      <c r="N804" s="101"/>
      <c r="O804" s="101"/>
      <c r="P804" s="101"/>
      <c r="Q804" s="101"/>
      <c r="R804" s="101"/>
      <c r="S804" s="101"/>
      <c r="T804" s="101"/>
      <c r="U804" s="101"/>
      <c r="V804" s="101"/>
      <c r="W804" s="101"/>
      <c r="X804" s="101"/>
      <c r="Y804" s="101"/>
      <c r="Z804" s="101"/>
      <c r="AA804" s="101"/>
      <c r="AB804" s="101"/>
      <c r="AC804" s="101"/>
      <c r="AD804" s="101"/>
    </row>
    <row r="805" ht="30.0" customHeight="1">
      <c r="A805" s="141"/>
      <c r="B805" s="101"/>
      <c r="C805" s="101"/>
      <c r="D805" s="101"/>
      <c r="E805" s="101"/>
      <c r="F805" s="101"/>
      <c r="G805" s="101"/>
      <c r="H805" s="101"/>
      <c r="I805" s="101"/>
      <c r="J805" s="142"/>
      <c r="K805" s="101"/>
      <c r="L805" s="101"/>
      <c r="M805" s="101"/>
      <c r="N805" s="101"/>
      <c r="O805" s="101"/>
      <c r="P805" s="101"/>
      <c r="Q805" s="101"/>
      <c r="R805" s="101"/>
      <c r="S805" s="101"/>
      <c r="T805" s="101"/>
      <c r="U805" s="101"/>
      <c r="V805" s="101"/>
      <c r="W805" s="101"/>
      <c r="X805" s="101"/>
      <c r="Y805" s="101"/>
      <c r="Z805" s="101"/>
      <c r="AA805" s="101"/>
      <c r="AB805" s="101"/>
      <c r="AC805" s="101"/>
      <c r="AD805" s="101"/>
    </row>
    <row r="806" ht="30.0" customHeight="1">
      <c r="A806" s="141"/>
      <c r="B806" s="101"/>
      <c r="C806" s="101"/>
      <c r="D806" s="101"/>
      <c r="E806" s="101"/>
      <c r="F806" s="101"/>
      <c r="G806" s="101"/>
      <c r="H806" s="101"/>
      <c r="I806" s="101"/>
      <c r="J806" s="142"/>
      <c r="K806" s="101"/>
      <c r="L806" s="101"/>
      <c r="M806" s="101"/>
      <c r="N806" s="101"/>
      <c r="O806" s="101"/>
      <c r="P806" s="101"/>
      <c r="Q806" s="101"/>
      <c r="R806" s="101"/>
      <c r="S806" s="101"/>
      <c r="T806" s="101"/>
      <c r="U806" s="101"/>
      <c r="V806" s="101"/>
      <c r="W806" s="101"/>
      <c r="X806" s="101"/>
      <c r="Y806" s="101"/>
      <c r="Z806" s="101"/>
      <c r="AA806" s="101"/>
      <c r="AB806" s="101"/>
      <c r="AC806" s="101"/>
      <c r="AD806" s="101"/>
    </row>
    <row r="807" ht="30.0" customHeight="1">
      <c r="A807" s="141"/>
      <c r="B807" s="101"/>
      <c r="C807" s="101"/>
      <c r="D807" s="101"/>
      <c r="E807" s="101"/>
      <c r="F807" s="101"/>
      <c r="G807" s="101"/>
      <c r="H807" s="101"/>
      <c r="I807" s="101"/>
      <c r="J807" s="142"/>
      <c r="K807" s="101"/>
      <c r="L807" s="101"/>
      <c r="M807" s="101"/>
      <c r="N807" s="101"/>
      <c r="O807" s="101"/>
      <c r="P807" s="101"/>
      <c r="Q807" s="101"/>
      <c r="R807" s="101"/>
      <c r="S807" s="101"/>
      <c r="T807" s="101"/>
      <c r="U807" s="101"/>
      <c r="V807" s="101"/>
      <c r="W807" s="101"/>
      <c r="X807" s="101"/>
      <c r="Y807" s="101"/>
      <c r="Z807" s="101"/>
      <c r="AA807" s="101"/>
      <c r="AB807" s="101"/>
      <c r="AC807" s="101"/>
      <c r="AD807" s="101"/>
    </row>
    <row r="808" ht="30.0" customHeight="1">
      <c r="A808" s="141"/>
      <c r="B808" s="101"/>
      <c r="C808" s="101"/>
      <c r="D808" s="101"/>
      <c r="E808" s="101"/>
      <c r="F808" s="101"/>
      <c r="G808" s="101"/>
      <c r="H808" s="101"/>
      <c r="I808" s="101"/>
      <c r="J808" s="142"/>
      <c r="K808" s="101"/>
      <c r="L808" s="101"/>
      <c r="M808" s="101"/>
      <c r="N808" s="101"/>
      <c r="O808" s="101"/>
      <c r="P808" s="101"/>
      <c r="Q808" s="101"/>
      <c r="R808" s="101"/>
      <c r="S808" s="101"/>
      <c r="T808" s="101"/>
      <c r="U808" s="101"/>
      <c r="V808" s="101"/>
      <c r="W808" s="101"/>
      <c r="X808" s="101"/>
      <c r="Y808" s="101"/>
      <c r="Z808" s="101"/>
      <c r="AA808" s="101"/>
      <c r="AB808" s="101"/>
      <c r="AC808" s="101"/>
      <c r="AD808" s="101"/>
    </row>
    <row r="809" ht="30.0" customHeight="1">
      <c r="A809" s="141"/>
      <c r="B809" s="101"/>
      <c r="C809" s="101"/>
      <c r="D809" s="101"/>
      <c r="E809" s="101"/>
      <c r="F809" s="101"/>
      <c r="G809" s="101"/>
      <c r="H809" s="101"/>
      <c r="I809" s="101"/>
      <c r="J809" s="142"/>
      <c r="K809" s="101"/>
      <c r="L809" s="101"/>
      <c r="M809" s="101"/>
      <c r="N809" s="101"/>
      <c r="O809" s="101"/>
      <c r="P809" s="101"/>
      <c r="Q809" s="101"/>
      <c r="R809" s="101"/>
      <c r="S809" s="101"/>
      <c r="T809" s="101"/>
      <c r="U809" s="101"/>
      <c r="V809" s="101"/>
      <c r="W809" s="101"/>
      <c r="X809" s="101"/>
      <c r="Y809" s="101"/>
      <c r="Z809" s="101"/>
      <c r="AA809" s="101"/>
      <c r="AB809" s="101"/>
      <c r="AC809" s="101"/>
      <c r="AD809" s="101"/>
    </row>
    <row r="810" ht="30.0" customHeight="1">
      <c r="A810" s="141"/>
      <c r="B810" s="101"/>
      <c r="C810" s="101"/>
      <c r="D810" s="101"/>
      <c r="E810" s="101"/>
      <c r="F810" s="101"/>
      <c r="G810" s="101"/>
      <c r="H810" s="101"/>
      <c r="I810" s="101"/>
      <c r="J810" s="142"/>
      <c r="K810" s="101"/>
      <c r="L810" s="101"/>
      <c r="M810" s="101"/>
      <c r="N810" s="101"/>
      <c r="O810" s="101"/>
      <c r="P810" s="101"/>
      <c r="Q810" s="101"/>
      <c r="R810" s="101"/>
      <c r="S810" s="101"/>
      <c r="T810" s="101"/>
      <c r="U810" s="101"/>
      <c r="V810" s="101"/>
      <c r="W810" s="101"/>
      <c r="X810" s="101"/>
      <c r="Y810" s="101"/>
      <c r="Z810" s="101"/>
      <c r="AA810" s="101"/>
      <c r="AB810" s="101"/>
      <c r="AC810" s="101"/>
      <c r="AD810" s="101"/>
    </row>
    <row r="811" ht="30.0" customHeight="1">
      <c r="A811" s="141"/>
      <c r="B811" s="101"/>
      <c r="C811" s="101"/>
      <c r="D811" s="101"/>
      <c r="E811" s="101"/>
      <c r="F811" s="101"/>
      <c r="G811" s="101"/>
      <c r="H811" s="101"/>
      <c r="I811" s="101"/>
      <c r="J811" s="142"/>
      <c r="K811" s="101"/>
      <c r="L811" s="101"/>
      <c r="M811" s="101"/>
      <c r="N811" s="101"/>
      <c r="O811" s="101"/>
      <c r="P811" s="101"/>
      <c r="Q811" s="101"/>
      <c r="R811" s="101"/>
      <c r="S811" s="101"/>
      <c r="T811" s="101"/>
      <c r="U811" s="101"/>
      <c r="V811" s="101"/>
      <c r="W811" s="101"/>
      <c r="X811" s="101"/>
      <c r="Y811" s="101"/>
      <c r="Z811" s="101"/>
      <c r="AA811" s="101"/>
      <c r="AB811" s="101"/>
      <c r="AC811" s="101"/>
      <c r="AD811" s="101"/>
    </row>
    <row r="812" ht="30.0" customHeight="1">
      <c r="A812" s="141"/>
      <c r="B812" s="101"/>
      <c r="C812" s="101"/>
      <c r="D812" s="101"/>
      <c r="E812" s="101"/>
      <c r="F812" s="101"/>
      <c r="G812" s="101"/>
      <c r="H812" s="101"/>
      <c r="I812" s="101"/>
      <c r="J812" s="142"/>
      <c r="K812" s="101"/>
      <c r="L812" s="101"/>
      <c r="M812" s="101"/>
      <c r="N812" s="101"/>
      <c r="O812" s="101"/>
      <c r="P812" s="101"/>
      <c r="Q812" s="101"/>
      <c r="R812" s="101"/>
      <c r="S812" s="101"/>
      <c r="T812" s="101"/>
      <c r="U812" s="101"/>
      <c r="V812" s="101"/>
      <c r="W812" s="101"/>
      <c r="X812" s="101"/>
      <c r="Y812" s="101"/>
      <c r="Z812" s="101"/>
      <c r="AA812" s="101"/>
      <c r="AB812" s="101"/>
      <c r="AC812" s="101"/>
      <c r="AD812" s="101"/>
    </row>
    <row r="813" ht="30.0" customHeight="1">
      <c r="A813" s="141"/>
      <c r="B813" s="101"/>
      <c r="C813" s="101"/>
      <c r="D813" s="101"/>
      <c r="E813" s="101"/>
      <c r="F813" s="101"/>
      <c r="G813" s="101"/>
      <c r="H813" s="101"/>
      <c r="I813" s="101"/>
      <c r="J813" s="142"/>
      <c r="K813" s="101"/>
      <c r="L813" s="101"/>
      <c r="M813" s="101"/>
      <c r="N813" s="101"/>
      <c r="O813" s="101"/>
      <c r="P813" s="101"/>
      <c r="Q813" s="101"/>
      <c r="R813" s="101"/>
      <c r="S813" s="101"/>
      <c r="T813" s="101"/>
      <c r="U813" s="101"/>
      <c r="V813" s="101"/>
      <c r="W813" s="101"/>
      <c r="X813" s="101"/>
      <c r="Y813" s="101"/>
      <c r="Z813" s="101"/>
      <c r="AA813" s="101"/>
      <c r="AB813" s="101"/>
      <c r="AC813" s="101"/>
      <c r="AD813" s="101"/>
    </row>
    <row r="814" ht="30.0" customHeight="1">
      <c r="A814" s="141"/>
      <c r="B814" s="101"/>
      <c r="C814" s="101"/>
      <c r="D814" s="101"/>
      <c r="E814" s="101"/>
      <c r="F814" s="101"/>
      <c r="G814" s="101"/>
      <c r="H814" s="101"/>
      <c r="I814" s="101"/>
      <c r="J814" s="142"/>
      <c r="K814" s="101"/>
      <c r="L814" s="101"/>
      <c r="M814" s="101"/>
      <c r="N814" s="101"/>
      <c r="O814" s="101"/>
      <c r="P814" s="101"/>
      <c r="Q814" s="101"/>
      <c r="R814" s="101"/>
      <c r="S814" s="101"/>
      <c r="T814" s="101"/>
      <c r="U814" s="101"/>
      <c r="V814" s="101"/>
      <c r="W814" s="101"/>
      <c r="X814" s="101"/>
      <c r="Y814" s="101"/>
      <c r="Z814" s="101"/>
      <c r="AA814" s="101"/>
      <c r="AB814" s="101"/>
      <c r="AC814" s="101"/>
      <c r="AD814" s="101"/>
    </row>
    <row r="815" ht="30.0" customHeight="1">
      <c r="A815" s="141"/>
      <c r="B815" s="101"/>
      <c r="C815" s="101"/>
      <c r="D815" s="101"/>
      <c r="E815" s="101"/>
      <c r="F815" s="101"/>
      <c r="G815" s="101"/>
      <c r="H815" s="101"/>
      <c r="I815" s="101"/>
      <c r="J815" s="142"/>
      <c r="K815" s="101"/>
      <c r="L815" s="101"/>
      <c r="M815" s="101"/>
      <c r="N815" s="101"/>
      <c r="O815" s="101"/>
      <c r="P815" s="101"/>
      <c r="Q815" s="101"/>
      <c r="R815" s="101"/>
      <c r="S815" s="101"/>
      <c r="T815" s="101"/>
      <c r="U815" s="101"/>
      <c r="V815" s="101"/>
      <c r="W815" s="101"/>
      <c r="X815" s="101"/>
      <c r="Y815" s="101"/>
      <c r="Z815" s="101"/>
      <c r="AA815" s="101"/>
      <c r="AB815" s="101"/>
      <c r="AC815" s="101"/>
      <c r="AD815" s="101"/>
    </row>
    <row r="816" ht="30.0" customHeight="1">
      <c r="A816" s="141"/>
      <c r="B816" s="101"/>
      <c r="C816" s="101"/>
      <c r="D816" s="101"/>
      <c r="E816" s="101"/>
      <c r="F816" s="101"/>
      <c r="G816" s="101"/>
      <c r="H816" s="101"/>
      <c r="I816" s="101"/>
      <c r="J816" s="142"/>
      <c r="K816" s="101"/>
      <c r="L816" s="101"/>
      <c r="M816" s="101"/>
      <c r="N816" s="101"/>
      <c r="O816" s="101"/>
      <c r="P816" s="101"/>
      <c r="Q816" s="101"/>
      <c r="R816" s="101"/>
      <c r="S816" s="101"/>
      <c r="T816" s="101"/>
      <c r="U816" s="101"/>
      <c r="V816" s="101"/>
      <c r="W816" s="101"/>
      <c r="X816" s="101"/>
      <c r="Y816" s="101"/>
      <c r="Z816" s="101"/>
      <c r="AA816" s="101"/>
      <c r="AB816" s="101"/>
      <c r="AC816" s="101"/>
      <c r="AD816" s="101"/>
    </row>
    <row r="817" ht="30.0" customHeight="1">
      <c r="A817" s="141"/>
      <c r="B817" s="101"/>
      <c r="C817" s="101"/>
      <c r="D817" s="101"/>
      <c r="E817" s="101"/>
      <c r="F817" s="101"/>
      <c r="G817" s="101"/>
      <c r="H817" s="101"/>
      <c r="I817" s="101"/>
      <c r="J817" s="142"/>
      <c r="K817" s="101"/>
      <c r="L817" s="101"/>
      <c r="M817" s="101"/>
      <c r="N817" s="101"/>
      <c r="O817" s="101"/>
      <c r="P817" s="101"/>
      <c r="Q817" s="101"/>
      <c r="R817" s="101"/>
      <c r="S817" s="101"/>
      <c r="T817" s="101"/>
      <c r="U817" s="101"/>
      <c r="V817" s="101"/>
      <c r="W817" s="101"/>
      <c r="X817" s="101"/>
      <c r="Y817" s="101"/>
      <c r="Z817" s="101"/>
      <c r="AA817" s="101"/>
      <c r="AB817" s="101"/>
      <c r="AC817" s="101"/>
      <c r="AD817" s="101"/>
    </row>
    <row r="818" ht="30.0" customHeight="1">
      <c r="A818" s="141"/>
      <c r="B818" s="101"/>
      <c r="C818" s="101"/>
      <c r="D818" s="101"/>
      <c r="E818" s="101"/>
      <c r="F818" s="101"/>
      <c r="G818" s="101"/>
      <c r="H818" s="101"/>
      <c r="I818" s="101"/>
      <c r="J818" s="142"/>
      <c r="K818" s="101"/>
      <c r="L818" s="101"/>
      <c r="M818" s="101"/>
      <c r="N818" s="101"/>
      <c r="O818" s="101"/>
      <c r="P818" s="101"/>
      <c r="Q818" s="101"/>
      <c r="R818" s="101"/>
      <c r="S818" s="101"/>
      <c r="T818" s="101"/>
      <c r="U818" s="101"/>
      <c r="V818" s="101"/>
      <c r="W818" s="101"/>
      <c r="X818" s="101"/>
      <c r="Y818" s="101"/>
      <c r="Z818" s="101"/>
      <c r="AA818" s="101"/>
      <c r="AB818" s="101"/>
      <c r="AC818" s="101"/>
      <c r="AD818" s="101"/>
    </row>
    <row r="819" ht="30.0" customHeight="1">
      <c r="A819" s="141"/>
      <c r="B819" s="101"/>
      <c r="C819" s="101"/>
      <c r="D819" s="101"/>
      <c r="E819" s="101"/>
      <c r="F819" s="101"/>
      <c r="G819" s="101"/>
      <c r="H819" s="101"/>
      <c r="I819" s="101"/>
      <c r="J819" s="142"/>
      <c r="K819" s="101"/>
      <c r="L819" s="101"/>
      <c r="M819" s="101"/>
      <c r="N819" s="101"/>
      <c r="O819" s="101"/>
      <c r="P819" s="101"/>
      <c r="Q819" s="101"/>
      <c r="R819" s="101"/>
      <c r="S819" s="101"/>
      <c r="T819" s="101"/>
      <c r="U819" s="101"/>
      <c r="V819" s="101"/>
      <c r="W819" s="101"/>
      <c r="X819" s="101"/>
      <c r="Y819" s="101"/>
      <c r="Z819" s="101"/>
      <c r="AA819" s="101"/>
      <c r="AB819" s="101"/>
      <c r="AC819" s="101"/>
      <c r="AD819" s="101"/>
    </row>
    <row r="820" ht="30.0" customHeight="1">
      <c r="A820" s="141"/>
      <c r="B820" s="101"/>
      <c r="C820" s="101"/>
      <c r="D820" s="101"/>
      <c r="E820" s="101"/>
      <c r="F820" s="101"/>
      <c r="G820" s="101"/>
      <c r="H820" s="101"/>
      <c r="I820" s="101"/>
      <c r="J820" s="142"/>
      <c r="K820" s="101"/>
      <c r="L820" s="101"/>
      <c r="M820" s="101"/>
      <c r="N820" s="101"/>
      <c r="O820" s="101"/>
      <c r="P820" s="101"/>
      <c r="Q820" s="101"/>
      <c r="R820" s="101"/>
      <c r="S820" s="101"/>
      <c r="T820" s="101"/>
      <c r="U820" s="101"/>
      <c r="V820" s="101"/>
      <c r="W820" s="101"/>
      <c r="X820" s="101"/>
      <c r="Y820" s="101"/>
      <c r="Z820" s="101"/>
      <c r="AA820" s="101"/>
      <c r="AB820" s="101"/>
      <c r="AC820" s="101"/>
      <c r="AD820" s="101"/>
    </row>
    <row r="821" ht="30.0" customHeight="1">
      <c r="A821" s="141"/>
      <c r="B821" s="101"/>
      <c r="C821" s="101"/>
      <c r="D821" s="101"/>
      <c r="E821" s="101"/>
      <c r="F821" s="101"/>
      <c r="G821" s="101"/>
      <c r="H821" s="101"/>
      <c r="I821" s="101"/>
      <c r="J821" s="142"/>
      <c r="K821" s="101"/>
      <c r="L821" s="101"/>
      <c r="M821" s="101"/>
      <c r="N821" s="101"/>
      <c r="O821" s="101"/>
      <c r="P821" s="101"/>
      <c r="Q821" s="101"/>
      <c r="R821" s="101"/>
      <c r="S821" s="101"/>
      <c r="T821" s="101"/>
      <c r="U821" s="101"/>
      <c r="V821" s="101"/>
      <c r="W821" s="101"/>
      <c r="X821" s="101"/>
      <c r="Y821" s="101"/>
      <c r="Z821" s="101"/>
      <c r="AA821" s="101"/>
      <c r="AB821" s="101"/>
      <c r="AC821" s="101"/>
      <c r="AD821" s="101"/>
    </row>
    <row r="822" ht="30.0" customHeight="1">
      <c r="A822" s="141"/>
      <c r="B822" s="101"/>
      <c r="C822" s="101"/>
      <c r="D822" s="101"/>
      <c r="E822" s="101"/>
      <c r="F822" s="101"/>
      <c r="G822" s="101"/>
      <c r="H822" s="101"/>
      <c r="I822" s="101"/>
      <c r="J822" s="142"/>
      <c r="K822" s="101"/>
      <c r="L822" s="101"/>
      <c r="M822" s="101"/>
      <c r="N822" s="101"/>
      <c r="O822" s="101"/>
      <c r="P822" s="101"/>
      <c r="Q822" s="101"/>
      <c r="R822" s="101"/>
      <c r="S822" s="101"/>
      <c r="T822" s="101"/>
      <c r="U822" s="101"/>
      <c r="V822" s="101"/>
      <c r="W822" s="101"/>
      <c r="X822" s="101"/>
      <c r="Y822" s="101"/>
      <c r="Z822" s="101"/>
      <c r="AA822" s="101"/>
      <c r="AB822" s="101"/>
      <c r="AC822" s="101"/>
      <c r="AD822" s="101"/>
    </row>
    <row r="823" ht="30.0" customHeight="1">
      <c r="A823" s="141"/>
      <c r="B823" s="101"/>
      <c r="C823" s="101"/>
      <c r="D823" s="101"/>
      <c r="E823" s="101"/>
      <c r="F823" s="101"/>
      <c r="G823" s="101"/>
      <c r="H823" s="101"/>
      <c r="I823" s="101"/>
      <c r="J823" s="142"/>
      <c r="K823" s="101"/>
      <c r="L823" s="101"/>
      <c r="M823" s="101"/>
      <c r="N823" s="101"/>
      <c r="O823" s="101"/>
      <c r="P823" s="101"/>
      <c r="Q823" s="101"/>
      <c r="R823" s="101"/>
      <c r="S823" s="101"/>
      <c r="T823" s="101"/>
      <c r="U823" s="101"/>
      <c r="V823" s="101"/>
      <c r="W823" s="101"/>
      <c r="X823" s="101"/>
      <c r="Y823" s="101"/>
      <c r="Z823" s="101"/>
      <c r="AA823" s="101"/>
      <c r="AB823" s="101"/>
      <c r="AC823" s="101"/>
      <c r="AD823" s="101"/>
    </row>
    <row r="824" ht="30.0" customHeight="1">
      <c r="A824" s="141"/>
      <c r="B824" s="101"/>
      <c r="C824" s="101"/>
      <c r="D824" s="101"/>
      <c r="E824" s="101"/>
      <c r="F824" s="101"/>
      <c r="G824" s="101"/>
      <c r="H824" s="101"/>
      <c r="I824" s="101"/>
      <c r="J824" s="142"/>
      <c r="K824" s="101"/>
      <c r="L824" s="101"/>
      <c r="M824" s="101"/>
      <c r="N824" s="101"/>
      <c r="O824" s="101"/>
      <c r="P824" s="101"/>
      <c r="Q824" s="101"/>
      <c r="R824" s="101"/>
      <c r="S824" s="101"/>
      <c r="T824" s="101"/>
      <c r="U824" s="101"/>
      <c r="V824" s="101"/>
      <c r="W824" s="101"/>
      <c r="X824" s="101"/>
      <c r="Y824" s="101"/>
      <c r="Z824" s="101"/>
      <c r="AA824" s="101"/>
      <c r="AB824" s="101"/>
      <c r="AC824" s="101"/>
      <c r="AD824" s="101"/>
    </row>
    <row r="825" ht="30.0" customHeight="1">
      <c r="A825" s="141"/>
      <c r="B825" s="101"/>
      <c r="C825" s="101"/>
      <c r="D825" s="101"/>
      <c r="E825" s="101"/>
      <c r="F825" s="101"/>
      <c r="G825" s="101"/>
      <c r="H825" s="101"/>
      <c r="I825" s="101"/>
      <c r="J825" s="142"/>
      <c r="K825" s="101"/>
      <c r="L825" s="101"/>
      <c r="M825" s="101"/>
      <c r="N825" s="101"/>
      <c r="O825" s="101"/>
      <c r="P825" s="101"/>
      <c r="Q825" s="101"/>
      <c r="R825" s="101"/>
      <c r="S825" s="101"/>
      <c r="T825" s="101"/>
      <c r="U825" s="101"/>
      <c r="V825" s="101"/>
      <c r="W825" s="101"/>
      <c r="X825" s="101"/>
      <c r="Y825" s="101"/>
      <c r="Z825" s="101"/>
      <c r="AA825" s="101"/>
      <c r="AB825" s="101"/>
      <c r="AC825" s="101"/>
      <c r="AD825" s="101"/>
    </row>
    <row r="826" ht="30.0" customHeight="1">
      <c r="A826" s="141"/>
      <c r="B826" s="101"/>
      <c r="C826" s="101"/>
      <c r="D826" s="101"/>
      <c r="E826" s="101"/>
      <c r="F826" s="101"/>
      <c r="G826" s="101"/>
      <c r="H826" s="101"/>
      <c r="I826" s="101"/>
      <c r="J826" s="142"/>
      <c r="K826" s="101"/>
      <c r="L826" s="101"/>
      <c r="M826" s="101"/>
      <c r="N826" s="101"/>
      <c r="O826" s="101"/>
      <c r="P826" s="101"/>
      <c r="Q826" s="101"/>
      <c r="R826" s="101"/>
      <c r="S826" s="101"/>
      <c r="T826" s="101"/>
      <c r="U826" s="101"/>
      <c r="V826" s="101"/>
      <c r="W826" s="101"/>
      <c r="X826" s="101"/>
      <c r="Y826" s="101"/>
      <c r="Z826" s="101"/>
      <c r="AA826" s="101"/>
      <c r="AB826" s="101"/>
      <c r="AC826" s="101"/>
      <c r="AD826" s="101"/>
    </row>
    <row r="827" ht="30.0" customHeight="1">
      <c r="A827" s="141"/>
      <c r="B827" s="101"/>
      <c r="C827" s="101"/>
      <c r="D827" s="101"/>
      <c r="E827" s="101"/>
      <c r="F827" s="101"/>
      <c r="G827" s="101"/>
      <c r="H827" s="101"/>
      <c r="I827" s="101"/>
      <c r="J827" s="142"/>
      <c r="K827" s="101"/>
      <c r="L827" s="101"/>
      <c r="M827" s="101"/>
      <c r="N827" s="101"/>
      <c r="O827" s="101"/>
      <c r="P827" s="101"/>
      <c r="Q827" s="101"/>
      <c r="R827" s="101"/>
      <c r="S827" s="101"/>
      <c r="T827" s="101"/>
      <c r="U827" s="101"/>
      <c r="V827" s="101"/>
      <c r="W827" s="101"/>
      <c r="X827" s="101"/>
      <c r="Y827" s="101"/>
      <c r="Z827" s="101"/>
      <c r="AA827" s="101"/>
      <c r="AB827" s="101"/>
      <c r="AC827" s="101"/>
      <c r="AD827" s="101"/>
    </row>
    <row r="828" ht="30.0" customHeight="1">
      <c r="A828" s="141"/>
      <c r="B828" s="101"/>
      <c r="C828" s="101"/>
      <c r="D828" s="101"/>
      <c r="E828" s="101"/>
      <c r="F828" s="101"/>
      <c r="G828" s="101"/>
      <c r="H828" s="101"/>
      <c r="I828" s="101"/>
      <c r="J828" s="142"/>
      <c r="K828" s="101"/>
      <c r="L828" s="101"/>
      <c r="M828" s="101"/>
      <c r="N828" s="101"/>
      <c r="O828" s="101"/>
      <c r="P828" s="101"/>
      <c r="Q828" s="101"/>
      <c r="R828" s="101"/>
      <c r="S828" s="101"/>
      <c r="T828" s="101"/>
      <c r="U828" s="101"/>
      <c r="V828" s="101"/>
      <c r="W828" s="101"/>
      <c r="X828" s="101"/>
      <c r="Y828" s="101"/>
      <c r="Z828" s="101"/>
      <c r="AA828" s="101"/>
      <c r="AB828" s="101"/>
      <c r="AC828" s="101"/>
      <c r="AD828" s="101"/>
    </row>
    <row r="829" ht="30.0" customHeight="1">
      <c r="A829" s="141"/>
      <c r="B829" s="101"/>
      <c r="C829" s="101"/>
      <c r="D829" s="101"/>
      <c r="E829" s="101"/>
      <c r="F829" s="101"/>
      <c r="G829" s="101"/>
      <c r="H829" s="101"/>
      <c r="I829" s="101"/>
      <c r="J829" s="142"/>
      <c r="K829" s="101"/>
      <c r="L829" s="101"/>
      <c r="M829" s="101"/>
      <c r="N829" s="101"/>
      <c r="O829" s="101"/>
      <c r="P829" s="101"/>
      <c r="Q829" s="101"/>
      <c r="R829" s="101"/>
      <c r="S829" s="101"/>
      <c r="T829" s="101"/>
      <c r="U829" s="101"/>
      <c r="V829" s="101"/>
      <c r="W829" s="101"/>
      <c r="X829" s="101"/>
      <c r="Y829" s="101"/>
      <c r="Z829" s="101"/>
      <c r="AA829" s="101"/>
      <c r="AB829" s="101"/>
      <c r="AC829" s="101"/>
      <c r="AD829" s="101"/>
    </row>
    <row r="830" ht="30.0" customHeight="1">
      <c r="A830" s="141"/>
      <c r="B830" s="101"/>
      <c r="C830" s="101"/>
      <c r="D830" s="101"/>
      <c r="E830" s="101"/>
      <c r="F830" s="101"/>
      <c r="G830" s="101"/>
      <c r="H830" s="101"/>
      <c r="I830" s="101"/>
      <c r="J830" s="142"/>
      <c r="K830" s="101"/>
      <c r="L830" s="101"/>
      <c r="M830" s="101"/>
      <c r="N830" s="101"/>
      <c r="O830" s="101"/>
      <c r="P830" s="101"/>
      <c r="Q830" s="101"/>
      <c r="R830" s="101"/>
      <c r="S830" s="101"/>
      <c r="T830" s="101"/>
      <c r="U830" s="101"/>
      <c r="V830" s="101"/>
      <c r="W830" s="101"/>
      <c r="X830" s="101"/>
      <c r="Y830" s="101"/>
      <c r="Z830" s="101"/>
      <c r="AA830" s="101"/>
      <c r="AB830" s="101"/>
      <c r="AC830" s="101"/>
      <c r="AD830" s="101"/>
    </row>
    <row r="831" ht="30.0" customHeight="1">
      <c r="A831" s="141"/>
      <c r="B831" s="101"/>
      <c r="C831" s="101"/>
      <c r="D831" s="101"/>
      <c r="E831" s="101"/>
      <c r="F831" s="101"/>
      <c r="G831" s="101"/>
      <c r="H831" s="101"/>
      <c r="I831" s="101"/>
      <c r="J831" s="142"/>
      <c r="K831" s="101"/>
      <c r="L831" s="101"/>
      <c r="M831" s="101"/>
      <c r="N831" s="101"/>
      <c r="O831" s="101"/>
      <c r="P831" s="101"/>
      <c r="Q831" s="101"/>
      <c r="R831" s="101"/>
      <c r="S831" s="101"/>
      <c r="T831" s="101"/>
      <c r="U831" s="101"/>
      <c r="V831" s="101"/>
      <c r="W831" s="101"/>
      <c r="X831" s="101"/>
      <c r="Y831" s="101"/>
      <c r="Z831" s="101"/>
      <c r="AA831" s="101"/>
      <c r="AB831" s="101"/>
      <c r="AC831" s="101"/>
      <c r="AD831" s="101"/>
    </row>
    <row r="832" ht="30.0" customHeight="1">
      <c r="A832" s="141"/>
      <c r="B832" s="101"/>
      <c r="C832" s="101"/>
      <c r="D832" s="101"/>
      <c r="E832" s="101"/>
      <c r="F832" s="101"/>
      <c r="G832" s="101"/>
      <c r="H832" s="101"/>
      <c r="I832" s="101"/>
      <c r="J832" s="142"/>
      <c r="K832" s="101"/>
      <c r="L832" s="101"/>
      <c r="M832" s="101"/>
      <c r="N832" s="101"/>
      <c r="O832" s="101"/>
      <c r="P832" s="101"/>
      <c r="Q832" s="101"/>
      <c r="R832" s="101"/>
      <c r="S832" s="101"/>
      <c r="T832" s="101"/>
      <c r="U832" s="101"/>
      <c r="V832" s="101"/>
      <c r="W832" s="101"/>
      <c r="X832" s="101"/>
      <c r="Y832" s="101"/>
      <c r="Z832" s="101"/>
      <c r="AA832" s="101"/>
      <c r="AB832" s="101"/>
      <c r="AC832" s="101"/>
      <c r="AD832" s="101"/>
    </row>
    <row r="833" ht="30.0" customHeight="1">
      <c r="A833" s="141"/>
      <c r="B833" s="101"/>
      <c r="C833" s="101"/>
      <c r="D833" s="101"/>
      <c r="E833" s="101"/>
      <c r="F833" s="101"/>
      <c r="G833" s="101"/>
      <c r="H833" s="101"/>
      <c r="I833" s="101"/>
      <c r="J833" s="142"/>
      <c r="K833" s="101"/>
      <c r="L833" s="101"/>
      <c r="M833" s="101"/>
      <c r="N833" s="101"/>
      <c r="O833" s="101"/>
      <c r="P833" s="101"/>
      <c r="Q833" s="101"/>
      <c r="R833" s="101"/>
      <c r="S833" s="101"/>
      <c r="T833" s="101"/>
      <c r="U833" s="101"/>
      <c r="V833" s="101"/>
      <c r="W833" s="101"/>
      <c r="X833" s="101"/>
      <c r="Y833" s="101"/>
      <c r="Z833" s="101"/>
      <c r="AA833" s="101"/>
      <c r="AB833" s="101"/>
      <c r="AC833" s="101"/>
      <c r="AD833" s="101"/>
    </row>
    <row r="834" ht="30.0" customHeight="1">
      <c r="A834" s="141"/>
      <c r="B834" s="101"/>
      <c r="C834" s="101"/>
      <c r="D834" s="101"/>
      <c r="E834" s="101"/>
      <c r="F834" s="101"/>
      <c r="G834" s="101"/>
      <c r="H834" s="101"/>
      <c r="I834" s="101"/>
      <c r="J834" s="142"/>
      <c r="K834" s="101"/>
      <c r="L834" s="101"/>
      <c r="M834" s="101"/>
      <c r="N834" s="101"/>
      <c r="O834" s="101"/>
      <c r="P834" s="101"/>
      <c r="Q834" s="101"/>
      <c r="R834" s="101"/>
      <c r="S834" s="101"/>
      <c r="T834" s="101"/>
      <c r="U834" s="101"/>
      <c r="V834" s="101"/>
      <c r="W834" s="101"/>
      <c r="X834" s="101"/>
      <c r="Y834" s="101"/>
      <c r="Z834" s="101"/>
      <c r="AA834" s="101"/>
      <c r="AB834" s="101"/>
      <c r="AC834" s="101"/>
      <c r="AD834" s="101"/>
    </row>
    <row r="835" ht="30.0" customHeight="1">
      <c r="A835" s="141"/>
      <c r="B835" s="101"/>
      <c r="C835" s="101"/>
      <c r="D835" s="101"/>
      <c r="E835" s="101"/>
      <c r="F835" s="101"/>
      <c r="G835" s="101"/>
      <c r="H835" s="101"/>
      <c r="I835" s="101"/>
      <c r="J835" s="142"/>
      <c r="K835" s="101"/>
      <c r="L835" s="101"/>
      <c r="M835" s="101"/>
      <c r="N835" s="101"/>
      <c r="O835" s="101"/>
      <c r="P835" s="101"/>
      <c r="Q835" s="101"/>
      <c r="R835" s="101"/>
      <c r="S835" s="101"/>
      <c r="T835" s="101"/>
      <c r="U835" s="101"/>
      <c r="V835" s="101"/>
      <c r="W835" s="101"/>
      <c r="X835" s="101"/>
      <c r="Y835" s="101"/>
      <c r="Z835" s="101"/>
      <c r="AA835" s="101"/>
      <c r="AB835" s="101"/>
      <c r="AC835" s="101"/>
      <c r="AD835" s="101"/>
    </row>
    <row r="836" ht="30.0" customHeight="1">
      <c r="A836" s="141"/>
      <c r="B836" s="101"/>
      <c r="C836" s="101"/>
      <c r="D836" s="101"/>
      <c r="E836" s="101"/>
      <c r="F836" s="101"/>
      <c r="G836" s="101"/>
      <c r="H836" s="101"/>
      <c r="I836" s="101"/>
      <c r="J836" s="142"/>
      <c r="K836" s="101"/>
      <c r="L836" s="101"/>
      <c r="M836" s="101"/>
      <c r="N836" s="101"/>
      <c r="O836" s="101"/>
      <c r="P836" s="101"/>
      <c r="Q836" s="101"/>
      <c r="R836" s="101"/>
      <c r="S836" s="101"/>
      <c r="T836" s="101"/>
      <c r="U836" s="101"/>
      <c r="V836" s="101"/>
      <c r="W836" s="101"/>
      <c r="X836" s="101"/>
      <c r="Y836" s="101"/>
      <c r="Z836" s="101"/>
      <c r="AA836" s="101"/>
      <c r="AB836" s="101"/>
      <c r="AC836" s="101"/>
      <c r="AD836" s="101"/>
    </row>
    <row r="837" ht="30.0" customHeight="1">
      <c r="A837" s="141"/>
      <c r="B837" s="101"/>
      <c r="C837" s="101"/>
      <c r="D837" s="101"/>
      <c r="E837" s="101"/>
      <c r="F837" s="101"/>
      <c r="G837" s="101"/>
      <c r="H837" s="101"/>
      <c r="I837" s="101"/>
      <c r="J837" s="142"/>
      <c r="K837" s="101"/>
      <c r="L837" s="101"/>
      <c r="M837" s="101"/>
      <c r="N837" s="101"/>
      <c r="O837" s="101"/>
      <c r="P837" s="101"/>
      <c r="Q837" s="101"/>
      <c r="R837" s="101"/>
      <c r="S837" s="101"/>
      <c r="T837" s="101"/>
      <c r="U837" s="101"/>
      <c r="V837" s="101"/>
      <c r="W837" s="101"/>
      <c r="X837" s="101"/>
      <c r="Y837" s="101"/>
      <c r="Z837" s="101"/>
      <c r="AA837" s="101"/>
      <c r="AB837" s="101"/>
      <c r="AC837" s="101"/>
      <c r="AD837" s="101"/>
    </row>
    <row r="838" ht="30.0" customHeight="1">
      <c r="A838" s="141"/>
      <c r="B838" s="101"/>
      <c r="C838" s="101"/>
      <c r="D838" s="101"/>
      <c r="E838" s="101"/>
      <c r="F838" s="101"/>
      <c r="G838" s="101"/>
      <c r="H838" s="101"/>
      <c r="I838" s="101"/>
      <c r="J838" s="142"/>
      <c r="K838" s="101"/>
      <c r="L838" s="101"/>
      <c r="M838" s="101"/>
      <c r="N838" s="101"/>
      <c r="O838" s="101"/>
      <c r="P838" s="101"/>
      <c r="Q838" s="101"/>
      <c r="R838" s="101"/>
      <c r="S838" s="101"/>
      <c r="T838" s="101"/>
      <c r="U838" s="101"/>
      <c r="V838" s="101"/>
      <c r="W838" s="101"/>
      <c r="X838" s="101"/>
      <c r="Y838" s="101"/>
      <c r="Z838" s="101"/>
      <c r="AA838" s="101"/>
      <c r="AB838" s="101"/>
      <c r="AC838" s="101"/>
      <c r="AD838" s="101"/>
    </row>
    <row r="839" ht="30.0" customHeight="1">
      <c r="A839" s="141"/>
      <c r="B839" s="101"/>
      <c r="C839" s="101"/>
      <c r="D839" s="101"/>
      <c r="E839" s="101"/>
      <c r="F839" s="101"/>
      <c r="G839" s="101"/>
      <c r="H839" s="101"/>
      <c r="I839" s="101"/>
      <c r="J839" s="142"/>
      <c r="K839" s="101"/>
      <c r="L839" s="101"/>
      <c r="M839" s="101"/>
      <c r="N839" s="101"/>
      <c r="O839" s="101"/>
      <c r="P839" s="101"/>
      <c r="Q839" s="101"/>
      <c r="R839" s="101"/>
      <c r="S839" s="101"/>
      <c r="T839" s="101"/>
      <c r="U839" s="101"/>
      <c r="V839" s="101"/>
      <c r="W839" s="101"/>
      <c r="X839" s="101"/>
      <c r="Y839" s="101"/>
      <c r="Z839" s="101"/>
      <c r="AA839" s="101"/>
      <c r="AB839" s="101"/>
      <c r="AC839" s="101"/>
      <c r="AD839" s="101"/>
    </row>
    <row r="840" ht="30.0" customHeight="1">
      <c r="A840" s="141"/>
      <c r="B840" s="101"/>
      <c r="C840" s="101"/>
      <c r="D840" s="101"/>
      <c r="E840" s="101"/>
      <c r="F840" s="101"/>
      <c r="G840" s="101"/>
      <c r="H840" s="101"/>
      <c r="I840" s="101"/>
      <c r="J840" s="142"/>
      <c r="K840" s="101"/>
      <c r="L840" s="101"/>
      <c r="M840" s="101"/>
      <c r="N840" s="101"/>
      <c r="O840" s="101"/>
      <c r="P840" s="101"/>
      <c r="Q840" s="101"/>
      <c r="R840" s="101"/>
      <c r="S840" s="101"/>
      <c r="T840" s="101"/>
      <c r="U840" s="101"/>
      <c r="V840" s="101"/>
      <c r="W840" s="101"/>
      <c r="X840" s="101"/>
      <c r="Y840" s="101"/>
      <c r="Z840" s="101"/>
      <c r="AA840" s="101"/>
      <c r="AB840" s="101"/>
      <c r="AC840" s="101"/>
      <c r="AD840" s="101"/>
    </row>
    <row r="841" ht="30.0" customHeight="1">
      <c r="A841" s="141"/>
      <c r="B841" s="101"/>
      <c r="C841" s="101"/>
      <c r="D841" s="101"/>
      <c r="E841" s="101"/>
      <c r="F841" s="101"/>
      <c r="G841" s="101"/>
      <c r="H841" s="101"/>
      <c r="I841" s="101"/>
      <c r="J841" s="142"/>
      <c r="K841" s="101"/>
      <c r="L841" s="101"/>
      <c r="M841" s="101"/>
      <c r="N841" s="101"/>
      <c r="O841" s="101"/>
      <c r="P841" s="101"/>
      <c r="Q841" s="101"/>
      <c r="R841" s="101"/>
      <c r="S841" s="101"/>
      <c r="T841" s="101"/>
      <c r="U841" s="101"/>
      <c r="V841" s="101"/>
      <c r="W841" s="101"/>
      <c r="X841" s="101"/>
      <c r="Y841" s="101"/>
      <c r="Z841" s="101"/>
      <c r="AA841" s="101"/>
      <c r="AB841" s="101"/>
      <c r="AC841" s="101"/>
      <c r="AD841" s="101"/>
    </row>
    <row r="842" ht="30.0" customHeight="1">
      <c r="A842" s="141"/>
      <c r="B842" s="101"/>
      <c r="C842" s="101"/>
      <c r="D842" s="101"/>
      <c r="E842" s="101"/>
      <c r="F842" s="101"/>
      <c r="G842" s="101"/>
      <c r="H842" s="101"/>
      <c r="I842" s="101"/>
      <c r="J842" s="142"/>
      <c r="K842" s="101"/>
      <c r="L842" s="101"/>
      <c r="M842" s="101"/>
      <c r="N842" s="101"/>
      <c r="O842" s="101"/>
      <c r="P842" s="101"/>
      <c r="Q842" s="101"/>
      <c r="R842" s="101"/>
      <c r="S842" s="101"/>
      <c r="T842" s="101"/>
      <c r="U842" s="101"/>
      <c r="V842" s="101"/>
      <c r="W842" s="101"/>
      <c r="X842" s="101"/>
      <c r="Y842" s="101"/>
      <c r="Z842" s="101"/>
      <c r="AA842" s="101"/>
      <c r="AB842" s="101"/>
      <c r="AC842" s="101"/>
      <c r="AD842" s="101"/>
    </row>
    <row r="843" ht="30.0" customHeight="1">
      <c r="A843" s="141"/>
      <c r="B843" s="101"/>
      <c r="C843" s="101"/>
      <c r="D843" s="101"/>
      <c r="E843" s="101"/>
      <c r="F843" s="101"/>
      <c r="G843" s="101"/>
      <c r="H843" s="101"/>
      <c r="I843" s="101"/>
      <c r="J843" s="142"/>
      <c r="K843" s="101"/>
      <c r="L843" s="101"/>
      <c r="M843" s="101"/>
      <c r="N843" s="101"/>
      <c r="O843" s="101"/>
      <c r="P843" s="101"/>
      <c r="Q843" s="101"/>
      <c r="R843" s="101"/>
      <c r="S843" s="101"/>
      <c r="T843" s="101"/>
      <c r="U843" s="101"/>
      <c r="V843" s="101"/>
      <c r="W843" s="101"/>
      <c r="X843" s="101"/>
      <c r="Y843" s="101"/>
      <c r="Z843" s="101"/>
      <c r="AA843" s="101"/>
      <c r="AB843" s="101"/>
      <c r="AC843" s="101"/>
      <c r="AD843" s="101"/>
    </row>
    <row r="844" ht="30.0" customHeight="1">
      <c r="A844" s="141"/>
      <c r="B844" s="101"/>
      <c r="C844" s="101"/>
      <c r="D844" s="101"/>
      <c r="E844" s="101"/>
      <c r="F844" s="101"/>
      <c r="G844" s="101"/>
      <c r="H844" s="101"/>
      <c r="I844" s="101"/>
      <c r="J844" s="142"/>
      <c r="K844" s="101"/>
      <c r="L844" s="101"/>
      <c r="M844" s="101"/>
      <c r="N844" s="101"/>
      <c r="O844" s="101"/>
      <c r="P844" s="101"/>
      <c r="Q844" s="101"/>
      <c r="R844" s="101"/>
      <c r="S844" s="101"/>
      <c r="T844" s="101"/>
      <c r="U844" s="101"/>
      <c r="V844" s="101"/>
      <c r="W844" s="101"/>
      <c r="X844" s="101"/>
      <c r="Y844" s="101"/>
      <c r="Z844" s="101"/>
      <c r="AA844" s="101"/>
      <c r="AB844" s="101"/>
      <c r="AC844" s="101"/>
      <c r="AD844" s="101"/>
    </row>
    <row r="845" ht="30.0" customHeight="1">
      <c r="A845" s="141"/>
      <c r="B845" s="101"/>
      <c r="C845" s="101"/>
      <c r="D845" s="101"/>
      <c r="E845" s="101"/>
      <c r="F845" s="101"/>
      <c r="G845" s="101"/>
      <c r="H845" s="101"/>
      <c r="I845" s="101"/>
      <c r="J845" s="142"/>
      <c r="K845" s="101"/>
      <c r="L845" s="101"/>
      <c r="M845" s="101"/>
      <c r="N845" s="101"/>
      <c r="O845" s="101"/>
      <c r="P845" s="101"/>
      <c r="Q845" s="101"/>
      <c r="R845" s="101"/>
      <c r="S845" s="101"/>
      <c r="T845" s="101"/>
      <c r="U845" s="101"/>
      <c r="V845" s="101"/>
      <c r="W845" s="101"/>
      <c r="X845" s="101"/>
      <c r="Y845" s="101"/>
      <c r="Z845" s="101"/>
      <c r="AA845" s="101"/>
      <c r="AB845" s="101"/>
      <c r="AC845" s="101"/>
      <c r="AD845" s="101"/>
    </row>
    <row r="846" ht="30.0" customHeight="1">
      <c r="A846" s="141"/>
      <c r="B846" s="101"/>
      <c r="C846" s="101"/>
      <c r="D846" s="101"/>
      <c r="E846" s="101"/>
      <c r="F846" s="101"/>
      <c r="G846" s="101"/>
      <c r="H846" s="101"/>
      <c r="I846" s="101"/>
      <c r="J846" s="142"/>
      <c r="K846" s="101"/>
      <c r="L846" s="101"/>
      <c r="M846" s="101"/>
      <c r="N846" s="101"/>
      <c r="O846" s="101"/>
      <c r="P846" s="101"/>
      <c r="Q846" s="101"/>
      <c r="R846" s="101"/>
      <c r="S846" s="101"/>
      <c r="T846" s="101"/>
      <c r="U846" s="101"/>
      <c r="V846" s="101"/>
      <c r="W846" s="101"/>
      <c r="X846" s="101"/>
      <c r="Y846" s="101"/>
      <c r="Z846" s="101"/>
      <c r="AA846" s="101"/>
      <c r="AB846" s="101"/>
      <c r="AC846" s="101"/>
      <c r="AD846" s="101"/>
    </row>
    <row r="847" ht="30.0" customHeight="1">
      <c r="A847" s="141"/>
      <c r="B847" s="101"/>
      <c r="C847" s="101"/>
      <c r="D847" s="101"/>
      <c r="E847" s="101"/>
      <c r="F847" s="101"/>
      <c r="G847" s="101"/>
      <c r="H847" s="101"/>
      <c r="I847" s="101"/>
      <c r="J847" s="142"/>
      <c r="K847" s="101"/>
      <c r="L847" s="101"/>
      <c r="M847" s="101"/>
      <c r="N847" s="101"/>
      <c r="O847" s="101"/>
      <c r="P847" s="101"/>
      <c r="Q847" s="101"/>
      <c r="R847" s="101"/>
      <c r="S847" s="101"/>
      <c r="T847" s="101"/>
      <c r="U847" s="101"/>
      <c r="V847" s="101"/>
      <c r="W847" s="101"/>
      <c r="X847" s="101"/>
      <c r="Y847" s="101"/>
      <c r="Z847" s="101"/>
      <c r="AA847" s="101"/>
      <c r="AB847" s="101"/>
      <c r="AC847" s="101"/>
      <c r="AD847" s="101"/>
    </row>
    <row r="848" ht="30.0" customHeight="1">
      <c r="A848" s="141"/>
      <c r="B848" s="101"/>
      <c r="C848" s="101"/>
      <c r="D848" s="101"/>
      <c r="E848" s="101"/>
      <c r="F848" s="101"/>
      <c r="G848" s="101"/>
      <c r="H848" s="101"/>
      <c r="I848" s="101"/>
      <c r="J848" s="142"/>
      <c r="K848" s="101"/>
      <c r="L848" s="101"/>
      <c r="M848" s="101"/>
      <c r="N848" s="101"/>
      <c r="O848" s="101"/>
      <c r="P848" s="101"/>
      <c r="Q848" s="101"/>
      <c r="R848" s="101"/>
      <c r="S848" s="101"/>
      <c r="T848" s="101"/>
      <c r="U848" s="101"/>
      <c r="V848" s="101"/>
      <c r="W848" s="101"/>
      <c r="X848" s="101"/>
      <c r="Y848" s="101"/>
      <c r="Z848" s="101"/>
      <c r="AA848" s="101"/>
      <c r="AB848" s="101"/>
      <c r="AC848" s="101"/>
      <c r="AD848" s="101"/>
    </row>
    <row r="849" ht="30.0" customHeight="1">
      <c r="A849" s="141"/>
      <c r="B849" s="101"/>
      <c r="C849" s="101"/>
      <c r="D849" s="101"/>
      <c r="E849" s="101"/>
      <c r="F849" s="101"/>
      <c r="G849" s="101"/>
      <c r="H849" s="101"/>
      <c r="I849" s="101"/>
      <c r="J849" s="142"/>
      <c r="K849" s="101"/>
      <c r="L849" s="101"/>
      <c r="M849" s="101"/>
      <c r="N849" s="101"/>
      <c r="O849" s="101"/>
      <c r="P849" s="101"/>
      <c r="Q849" s="101"/>
      <c r="R849" s="101"/>
      <c r="S849" s="101"/>
      <c r="T849" s="101"/>
      <c r="U849" s="101"/>
      <c r="V849" s="101"/>
      <c r="W849" s="101"/>
      <c r="X849" s="101"/>
      <c r="Y849" s="101"/>
      <c r="Z849" s="101"/>
      <c r="AA849" s="101"/>
      <c r="AB849" s="101"/>
      <c r="AC849" s="101"/>
      <c r="AD849" s="101"/>
    </row>
    <row r="850" ht="30.0" customHeight="1">
      <c r="A850" s="141"/>
      <c r="B850" s="101"/>
      <c r="C850" s="101"/>
      <c r="D850" s="101"/>
      <c r="E850" s="101"/>
      <c r="F850" s="101"/>
      <c r="G850" s="101"/>
      <c r="H850" s="101"/>
      <c r="I850" s="101"/>
      <c r="J850" s="142"/>
      <c r="K850" s="101"/>
      <c r="L850" s="101"/>
      <c r="M850" s="101"/>
      <c r="N850" s="101"/>
      <c r="O850" s="101"/>
      <c r="P850" s="101"/>
      <c r="Q850" s="101"/>
      <c r="R850" s="101"/>
      <c r="S850" s="101"/>
      <c r="T850" s="101"/>
      <c r="U850" s="101"/>
      <c r="V850" s="101"/>
      <c r="W850" s="101"/>
      <c r="X850" s="101"/>
      <c r="Y850" s="101"/>
      <c r="Z850" s="101"/>
      <c r="AA850" s="101"/>
      <c r="AB850" s="101"/>
      <c r="AC850" s="101"/>
      <c r="AD850" s="101"/>
    </row>
    <row r="851" ht="30.0" customHeight="1">
      <c r="A851" s="141"/>
      <c r="B851" s="101"/>
      <c r="C851" s="101"/>
      <c r="D851" s="101"/>
      <c r="E851" s="101"/>
      <c r="F851" s="101"/>
      <c r="G851" s="101"/>
      <c r="H851" s="101"/>
      <c r="I851" s="101"/>
      <c r="J851" s="142"/>
      <c r="K851" s="101"/>
      <c r="L851" s="101"/>
      <c r="M851" s="101"/>
      <c r="N851" s="101"/>
      <c r="O851" s="101"/>
      <c r="P851" s="101"/>
      <c r="Q851" s="101"/>
      <c r="R851" s="101"/>
      <c r="S851" s="101"/>
      <c r="T851" s="101"/>
      <c r="U851" s="101"/>
      <c r="V851" s="101"/>
      <c r="W851" s="101"/>
      <c r="X851" s="101"/>
      <c r="Y851" s="101"/>
      <c r="Z851" s="101"/>
      <c r="AA851" s="101"/>
      <c r="AB851" s="101"/>
      <c r="AC851" s="101"/>
      <c r="AD851" s="101"/>
    </row>
    <row r="852" ht="30.0" customHeight="1">
      <c r="A852" s="141"/>
      <c r="B852" s="101"/>
      <c r="C852" s="101"/>
      <c r="D852" s="101"/>
      <c r="E852" s="101"/>
      <c r="F852" s="101"/>
      <c r="G852" s="101"/>
      <c r="H852" s="101"/>
      <c r="I852" s="101"/>
      <c r="J852" s="142"/>
      <c r="K852" s="101"/>
      <c r="L852" s="101"/>
      <c r="M852" s="101"/>
      <c r="N852" s="101"/>
      <c r="O852" s="101"/>
      <c r="P852" s="101"/>
      <c r="Q852" s="101"/>
      <c r="R852" s="101"/>
      <c r="S852" s="101"/>
      <c r="T852" s="101"/>
      <c r="U852" s="101"/>
      <c r="V852" s="101"/>
      <c r="W852" s="101"/>
      <c r="X852" s="101"/>
      <c r="Y852" s="101"/>
      <c r="Z852" s="101"/>
      <c r="AA852" s="101"/>
      <c r="AB852" s="101"/>
      <c r="AC852" s="101"/>
      <c r="AD852" s="101"/>
    </row>
    <row r="853" ht="30.0" customHeight="1">
      <c r="A853" s="141"/>
      <c r="B853" s="101"/>
      <c r="C853" s="101"/>
      <c r="D853" s="101"/>
      <c r="E853" s="101"/>
      <c r="F853" s="101"/>
      <c r="G853" s="101"/>
      <c r="H853" s="101"/>
      <c r="I853" s="101"/>
      <c r="J853" s="142"/>
      <c r="K853" s="101"/>
      <c r="L853" s="101"/>
      <c r="M853" s="101"/>
      <c r="N853" s="101"/>
      <c r="O853" s="101"/>
      <c r="P853" s="101"/>
      <c r="Q853" s="101"/>
      <c r="R853" s="101"/>
      <c r="S853" s="101"/>
      <c r="T853" s="101"/>
      <c r="U853" s="101"/>
      <c r="V853" s="101"/>
      <c r="W853" s="101"/>
      <c r="X853" s="101"/>
      <c r="Y853" s="101"/>
      <c r="Z853" s="101"/>
      <c r="AA853" s="101"/>
      <c r="AB853" s="101"/>
      <c r="AC853" s="101"/>
      <c r="AD853" s="101"/>
    </row>
    <row r="854" ht="30.0" customHeight="1">
      <c r="A854" s="141"/>
      <c r="B854" s="101"/>
      <c r="C854" s="101"/>
      <c r="D854" s="101"/>
      <c r="E854" s="101"/>
      <c r="F854" s="101"/>
      <c r="G854" s="101"/>
      <c r="H854" s="101"/>
      <c r="I854" s="101"/>
      <c r="J854" s="142"/>
      <c r="K854" s="101"/>
      <c r="L854" s="101"/>
      <c r="M854" s="101"/>
      <c r="N854" s="101"/>
      <c r="O854" s="101"/>
      <c r="P854" s="101"/>
      <c r="Q854" s="101"/>
      <c r="R854" s="101"/>
      <c r="S854" s="101"/>
      <c r="T854" s="101"/>
      <c r="U854" s="101"/>
      <c r="V854" s="101"/>
      <c r="W854" s="101"/>
      <c r="X854" s="101"/>
      <c r="Y854" s="101"/>
      <c r="Z854" s="101"/>
      <c r="AA854" s="101"/>
      <c r="AB854" s="101"/>
      <c r="AC854" s="101"/>
      <c r="AD854" s="101"/>
    </row>
    <row r="855" ht="30.0" customHeight="1">
      <c r="A855" s="141"/>
      <c r="B855" s="101"/>
      <c r="C855" s="101"/>
      <c r="D855" s="101"/>
      <c r="E855" s="101"/>
      <c r="F855" s="101"/>
      <c r="G855" s="101"/>
      <c r="H855" s="101"/>
      <c r="I855" s="101"/>
      <c r="J855" s="142"/>
      <c r="K855" s="101"/>
      <c r="L855" s="101"/>
      <c r="M855" s="101"/>
      <c r="N855" s="101"/>
      <c r="O855" s="101"/>
      <c r="P855" s="101"/>
      <c r="Q855" s="101"/>
      <c r="R855" s="101"/>
      <c r="S855" s="101"/>
      <c r="T855" s="101"/>
      <c r="U855" s="101"/>
      <c r="V855" s="101"/>
      <c r="W855" s="101"/>
      <c r="X855" s="101"/>
      <c r="Y855" s="101"/>
      <c r="Z855" s="101"/>
      <c r="AA855" s="101"/>
      <c r="AB855" s="101"/>
      <c r="AC855" s="101"/>
      <c r="AD855" s="101"/>
    </row>
    <row r="856" ht="30.0" customHeight="1">
      <c r="A856" s="141"/>
      <c r="B856" s="101"/>
      <c r="C856" s="101"/>
      <c r="D856" s="101"/>
      <c r="E856" s="101"/>
      <c r="F856" s="101"/>
      <c r="G856" s="101"/>
      <c r="H856" s="101"/>
      <c r="I856" s="101"/>
      <c r="J856" s="142"/>
      <c r="K856" s="101"/>
      <c r="L856" s="101"/>
      <c r="M856" s="101"/>
      <c r="N856" s="101"/>
      <c r="O856" s="101"/>
      <c r="P856" s="101"/>
      <c r="Q856" s="101"/>
      <c r="R856" s="101"/>
      <c r="S856" s="101"/>
      <c r="T856" s="101"/>
      <c r="U856" s="101"/>
      <c r="V856" s="101"/>
      <c r="W856" s="101"/>
      <c r="X856" s="101"/>
      <c r="Y856" s="101"/>
      <c r="Z856" s="101"/>
      <c r="AA856" s="101"/>
      <c r="AB856" s="101"/>
      <c r="AC856" s="101"/>
      <c r="AD856" s="101"/>
    </row>
    <row r="857" ht="30.0" customHeight="1">
      <c r="A857" s="141"/>
      <c r="B857" s="101"/>
      <c r="C857" s="101"/>
      <c r="D857" s="101"/>
      <c r="E857" s="101"/>
      <c r="F857" s="101"/>
      <c r="G857" s="101"/>
      <c r="H857" s="101"/>
      <c r="I857" s="101"/>
      <c r="J857" s="142"/>
      <c r="K857" s="101"/>
      <c r="L857" s="101"/>
      <c r="M857" s="101"/>
      <c r="N857" s="101"/>
      <c r="O857" s="101"/>
      <c r="P857" s="101"/>
      <c r="Q857" s="101"/>
      <c r="R857" s="101"/>
      <c r="S857" s="101"/>
      <c r="T857" s="101"/>
      <c r="U857" s="101"/>
      <c r="V857" s="101"/>
      <c r="W857" s="101"/>
      <c r="X857" s="101"/>
      <c r="Y857" s="101"/>
      <c r="Z857" s="101"/>
      <c r="AA857" s="101"/>
      <c r="AB857" s="101"/>
      <c r="AC857" s="101"/>
      <c r="AD857" s="101"/>
    </row>
    <row r="858" ht="30.0" customHeight="1">
      <c r="A858" s="141"/>
      <c r="B858" s="101"/>
      <c r="C858" s="101"/>
      <c r="D858" s="101"/>
      <c r="E858" s="101"/>
      <c r="F858" s="101"/>
      <c r="G858" s="101"/>
      <c r="H858" s="101"/>
      <c r="I858" s="101"/>
      <c r="J858" s="142"/>
      <c r="K858" s="101"/>
      <c r="L858" s="101"/>
      <c r="M858" s="101"/>
      <c r="N858" s="101"/>
      <c r="O858" s="101"/>
      <c r="P858" s="101"/>
      <c r="Q858" s="101"/>
      <c r="R858" s="101"/>
      <c r="S858" s="101"/>
      <c r="T858" s="101"/>
      <c r="U858" s="101"/>
      <c r="V858" s="101"/>
      <c r="W858" s="101"/>
      <c r="X858" s="101"/>
      <c r="Y858" s="101"/>
      <c r="Z858" s="101"/>
      <c r="AA858" s="101"/>
      <c r="AB858" s="101"/>
      <c r="AC858" s="101"/>
      <c r="AD858" s="101"/>
    </row>
    <row r="859" ht="30.0" customHeight="1">
      <c r="A859" s="141"/>
      <c r="B859" s="101"/>
      <c r="C859" s="101"/>
      <c r="D859" s="101"/>
      <c r="E859" s="101"/>
      <c r="F859" s="101"/>
      <c r="G859" s="101"/>
      <c r="H859" s="101"/>
      <c r="I859" s="101"/>
      <c r="J859" s="142"/>
      <c r="K859" s="101"/>
      <c r="L859" s="101"/>
      <c r="M859" s="101"/>
      <c r="N859" s="101"/>
      <c r="O859" s="101"/>
      <c r="P859" s="101"/>
      <c r="Q859" s="101"/>
      <c r="R859" s="101"/>
      <c r="S859" s="101"/>
      <c r="T859" s="101"/>
      <c r="U859" s="101"/>
      <c r="V859" s="101"/>
      <c r="W859" s="101"/>
      <c r="X859" s="101"/>
      <c r="Y859" s="101"/>
      <c r="Z859" s="101"/>
      <c r="AA859" s="101"/>
      <c r="AB859" s="101"/>
      <c r="AC859" s="101"/>
      <c r="AD859" s="101"/>
    </row>
    <row r="860" ht="30.0" customHeight="1">
      <c r="A860" s="141"/>
      <c r="B860" s="101"/>
      <c r="C860" s="101"/>
      <c r="D860" s="101"/>
      <c r="E860" s="101"/>
      <c r="F860" s="101"/>
      <c r="G860" s="101"/>
      <c r="H860" s="101"/>
      <c r="I860" s="101"/>
      <c r="J860" s="142"/>
      <c r="K860" s="101"/>
      <c r="L860" s="101"/>
      <c r="M860" s="101"/>
      <c r="N860" s="101"/>
      <c r="O860" s="101"/>
      <c r="P860" s="101"/>
      <c r="Q860" s="101"/>
      <c r="R860" s="101"/>
      <c r="S860" s="101"/>
      <c r="T860" s="101"/>
      <c r="U860" s="101"/>
      <c r="V860" s="101"/>
      <c r="W860" s="101"/>
      <c r="X860" s="101"/>
      <c r="Y860" s="101"/>
      <c r="Z860" s="101"/>
      <c r="AA860" s="101"/>
      <c r="AB860" s="101"/>
      <c r="AC860" s="101"/>
      <c r="AD860" s="101"/>
    </row>
    <row r="861" ht="30.0" customHeight="1">
      <c r="A861" s="141"/>
      <c r="B861" s="101"/>
      <c r="C861" s="101"/>
      <c r="D861" s="101"/>
      <c r="E861" s="101"/>
      <c r="F861" s="101"/>
      <c r="G861" s="101"/>
      <c r="H861" s="101"/>
      <c r="I861" s="101"/>
      <c r="J861" s="142"/>
      <c r="K861" s="101"/>
      <c r="L861" s="101"/>
      <c r="M861" s="101"/>
      <c r="N861" s="101"/>
      <c r="O861" s="101"/>
      <c r="P861" s="101"/>
      <c r="Q861" s="101"/>
      <c r="R861" s="101"/>
      <c r="S861" s="101"/>
      <c r="T861" s="101"/>
      <c r="U861" s="101"/>
      <c r="V861" s="101"/>
      <c r="W861" s="101"/>
      <c r="X861" s="101"/>
      <c r="Y861" s="101"/>
      <c r="Z861" s="101"/>
      <c r="AA861" s="101"/>
      <c r="AB861" s="101"/>
      <c r="AC861" s="101"/>
      <c r="AD861" s="101"/>
    </row>
    <row r="862" ht="30.0" customHeight="1">
      <c r="A862" s="141"/>
      <c r="B862" s="101"/>
      <c r="C862" s="101"/>
      <c r="D862" s="101"/>
      <c r="E862" s="101"/>
      <c r="F862" s="101"/>
      <c r="G862" s="101"/>
      <c r="H862" s="101"/>
      <c r="I862" s="101"/>
      <c r="J862" s="142"/>
      <c r="K862" s="101"/>
      <c r="L862" s="101"/>
      <c r="M862" s="101"/>
      <c r="N862" s="101"/>
      <c r="O862" s="101"/>
      <c r="P862" s="101"/>
      <c r="Q862" s="101"/>
      <c r="R862" s="101"/>
      <c r="S862" s="101"/>
      <c r="T862" s="101"/>
      <c r="U862" s="101"/>
      <c r="V862" s="101"/>
      <c r="W862" s="101"/>
      <c r="X862" s="101"/>
      <c r="Y862" s="101"/>
      <c r="Z862" s="101"/>
      <c r="AA862" s="101"/>
      <c r="AB862" s="101"/>
      <c r="AC862" s="101"/>
      <c r="AD862" s="101"/>
    </row>
    <row r="863" ht="30.0" customHeight="1">
      <c r="A863" s="141"/>
      <c r="B863" s="101"/>
      <c r="C863" s="101"/>
      <c r="D863" s="101"/>
      <c r="E863" s="101"/>
      <c r="F863" s="101"/>
      <c r="G863" s="101"/>
      <c r="H863" s="101"/>
      <c r="I863" s="101"/>
      <c r="J863" s="142"/>
      <c r="K863" s="101"/>
      <c r="L863" s="101"/>
      <c r="M863" s="101"/>
      <c r="N863" s="101"/>
      <c r="O863" s="101"/>
      <c r="P863" s="101"/>
      <c r="Q863" s="101"/>
      <c r="R863" s="101"/>
      <c r="S863" s="101"/>
      <c r="T863" s="101"/>
      <c r="U863" s="101"/>
      <c r="V863" s="101"/>
      <c r="W863" s="101"/>
      <c r="X863" s="101"/>
      <c r="Y863" s="101"/>
      <c r="Z863" s="101"/>
      <c r="AA863" s="101"/>
      <c r="AB863" s="101"/>
      <c r="AC863" s="101"/>
      <c r="AD863" s="101"/>
    </row>
    <row r="864" ht="30.0" customHeight="1">
      <c r="A864" s="141"/>
      <c r="B864" s="101"/>
      <c r="C864" s="101"/>
      <c r="D864" s="101"/>
      <c r="E864" s="101"/>
      <c r="F864" s="101"/>
      <c r="G864" s="101"/>
      <c r="H864" s="101"/>
      <c r="I864" s="101"/>
      <c r="J864" s="142"/>
      <c r="K864" s="101"/>
      <c r="L864" s="101"/>
      <c r="M864" s="101"/>
      <c r="N864" s="101"/>
      <c r="O864" s="101"/>
      <c r="P864" s="101"/>
      <c r="Q864" s="101"/>
      <c r="R864" s="101"/>
      <c r="S864" s="101"/>
      <c r="T864" s="101"/>
      <c r="U864" s="101"/>
      <c r="V864" s="101"/>
      <c r="W864" s="101"/>
      <c r="X864" s="101"/>
      <c r="Y864" s="101"/>
      <c r="Z864" s="101"/>
      <c r="AA864" s="101"/>
      <c r="AB864" s="101"/>
      <c r="AC864" s="101"/>
      <c r="AD864" s="101"/>
    </row>
    <row r="865" ht="30.0" customHeight="1">
      <c r="A865" s="141"/>
      <c r="B865" s="101"/>
      <c r="C865" s="101"/>
      <c r="D865" s="101"/>
      <c r="E865" s="101"/>
      <c r="F865" s="101"/>
      <c r="G865" s="101"/>
      <c r="H865" s="101"/>
      <c r="I865" s="101"/>
      <c r="J865" s="142"/>
      <c r="K865" s="101"/>
      <c r="L865" s="101"/>
      <c r="M865" s="101"/>
      <c r="N865" s="101"/>
      <c r="O865" s="101"/>
      <c r="P865" s="101"/>
      <c r="Q865" s="101"/>
      <c r="R865" s="101"/>
      <c r="S865" s="101"/>
      <c r="T865" s="101"/>
      <c r="U865" s="101"/>
      <c r="V865" s="101"/>
      <c r="W865" s="101"/>
      <c r="X865" s="101"/>
      <c r="Y865" s="101"/>
      <c r="Z865" s="101"/>
      <c r="AA865" s="101"/>
      <c r="AB865" s="101"/>
      <c r="AC865" s="101"/>
      <c r="AD865" s="101"/>
    </row>
    <row r="866" ht="30.0" customHeight="1">
      <c r="A866" s="141"/>
      <c r="B866" s="101"/>
      <c r="C866" s="101"/>
      <c r="D866" s="101"/>
      <c r="E866" s="101"/>
      <c r="F866" s="101"/>
      <c r="G866" s="101"/>
      <c r="H866" s="101"/>
      <c r="I866" s="101"/>
      <c r="J866" s="142"/>
      <c r="K866" s="101"/>
      <c r="L866" s="101"/>
      <c r="M866" s="101"/>
      <c r="N866" s="101"/>
      <c r="O866" s="101"/>
      <c r="P866" s="101"/>
      <c r="Q866" s="101"/>
      <c r="R866" s="101"/>
      <c r="S866" s="101"/>
      <c r="T866" s="101"/>
      <c r="U866" s="101"/>
      <c r="V866" s="101"/>
      <c r="W866" s="101"/>
      <c r="X866" s="101"/>
      <c r="Y866" s="101"/>
      <c r="Z866" s="101"/>
      <c r="AA866" s="101"/>
      <c r="AB866" s="101"/>
      <c r="AC866" s="101"/>
      <c r="AD866" s="101"/>
    </row>
    <row r="867" ht="30.0" customHeight="1">
      <c r="A867" s="141"/>
      <c r="B867" s="101"/>
      <c r="C867" s="101"/>
      <c r="D867" s="101"/>
      <c r="E867" s="101"/>
      <c r="F867" s="101"/>
      <c r="G867" s="101"/>
      <c r="H867" s="101"/>
      <c r="I867" s="101"/>
      <c r="J867" s="142"/>
      <c r="K867" s="101"/>
      <c r="L867" s="101"/>
      <c r="M867" s="101"/>
      <c r="N867" s="101"/>
      <c r="O867" s="101"/>
      <c r="P867" s="101"/>
      <c r="Q867" s="101"/>
      <c r="R867" s="101"/>
      <c r="S867" s="101"/>
      <c r="T867" s="101"/>
      <c r="U867" s="101"/>
      <c r="V867" s="101"/>
      <c r="W867" s="101"/>
      <c r="X867" s="101"/>
      <c r="Y867" s="101"/>
      <c r="Z867" s="101"/>
      <c r="AA867" s="101"/>
      <c r="AB867" s="101"/>
      <c r="AC867" s="101"/>
      <c r="AD867" s="101"/>
    </row>
    <row r="868" ht="30.0" customHeight="1">
      <c r="A868" s="141"/>
      <c r="B868" s="101"/>
      <c r="C868" s="101"/>
      <c r="D868" s="101"/>
      <c r="E868" s="101"/>
      <c r="F868" s="101"/>
      <c r="G868" s="101"/>
      <c r="H868" s="101"/>
      <c r="I868" s="101"/>
      <c r="J868" s="142"/>
      <c r="K868" s="101"/>
      <c r="L868" s="101"/>
      <c r="M868" s="101"/>
      <c r="N868" s="101"/>
      <c r="O868" s="101"/>
      <c r="P868" s="101"/>
      <c r="Q868" s="101"/>
      <c r="R868" s="101"/>
      <c r="S868" s="101"/>
      <c r="T868" s="101"/>
      <c r="U868" s="101"/>
      <c r="V868" s="101"/>
      <c r="W868" s="101"/>
      <c r="X868" s="101"/>
      <c r="Y868" s="101"/>
      <c r="Z868" s="101"/>
      <c r="AA868" s="101"/>
      <c r="AB868" s="101"/>
      <c r="AC868" s="101"/>
      <c r="AD868" s="101"/>
    </row>
    <row r="869" ht="30.0" customHeight="1">
      <c r="A869" s="141"/>
      <c r="B869" s="101"/>
      <c r="C869" s="101"/>
      <c r="D869" s="101"/>
      <c r="E869" s="101"/>
      <c r="F869" s="101"/>
      <c r="G869" s="101"/>
      <c r="H869" s="101"/>
      <c r="I869" s="101"/>
      <c r="J869" s="142"/>
      <c r="K869" s="101"/>
      <c r="L869" s="101"/>
      <c r="M869" s="101"/>
      <c r="N869" s="101"/>
      <c r="O869" s="101"/>
      <c r="P869" s="101"/>
      <c r="Q869" s="101"/>
      <c r="R869" s="101"/>
      <c r="S869" s="101"/>
      <c r="T869" s="101"/>
      <c r="U869" s="101"/>
      <c r="V869" s="101"/>
      <c r="W869" s="101"/>
      <c r="X869" s="101"/>
      <c r="Y869" s="101"/>
      <c r="Z869" s="101"/>
      <c r="AA869" s="101"/>
      <c r="AB869" s="101"/>
      <c r="AC869" s="101"/>
      <c r="AD869" s="101"/>
    </row>
    <row r="870" ht="30.0" customHeight="1">
      <c r="A870" s="141"/>
      <c r="B870" s="101"/>
      <c r="C870" s="101"/>
      <c r="D870" s="101"/>
      <c r="E870" s="101"/>
      <c r="F870" s="101"/>
      <c r="G870" s="101"/>
      <c r="H870" s="101"/>
      <c r="I870" s="101"/>
      <c r="J870" s="142"/>
      <c r="K870" s="101"/>
      <c r="L870" s="101"/>
      <c r="M870" s="101"/>
      <c r="N870" s="101"/>
      <c r="O870" s="101"/>
      <c r="P870" s="101"/>
      <c r="Q870" s="101"/>
      <c r="R870" s="101"/>
      <c r="S870" s="101"/>
      <c r="T870" s="101"/>
      <c r="U870" s="101"/>
      <c r="V870" s="101"/>
      <c r="W870" s="101"/>
      <c r="X870" s="101"/>
      <c r="Y870" s="101"/>
      <c r="Z870" s="101"/>
      <c r="AA870" s="101"/>
      <c r="AB870" s="101"/>
      <c r="AC870" s="101"/>
      <c r="AD870" s="101"/>
    </row>
    <row r="871" ht="30.0" customHeight="1">
      <c r="A871" s="141"/>
      <c r="B871" s="101"/>
      <c r="C871" s="101"/>
      <c r="D871" s="101"/>
      <c r="E871" s="101"/>
      <c r="F871" s="101"/>
      <c r="G871" s="101"/>
      <c r="H871" s="101"/>
      <c r="I871" s="101"/>
      <c r="J871" s="142"/>
      <c r="K871" s="101"/>
      <c r="L871" s="101"/>
      <c r="M871" s="101"/>
      <c r="N871" s="101"/>
      <c r="O871" s="101"/>
      <c r="P871" s="101"/>
      <c r="Q871" s="101"/>
      <c r="R871" s="101"/>
      <c r="S871" s="101"/>
      <c r="T871" s="101"/>
      <c r="U871" s="101"/>
      <c r="V871" s="101"/>
      <c r="W871" s="101"/>
      <c r="X871" s="101"/>
      <c r="Y871" s="101"/>
      <c r="Z871" s="101"/>
      <c r="AA871" s="101"/>
      <c r="AB871" s="101"/>
      <c r="AC871" s="101"/>
      <c r="AD871" s="101"/>
    </row>
    <row r="872" ht="30.0" customHeight="1">
      <c r="A872" s="141"/>
      <c r="B872" s="101"/>
      <c r="C872" s="101"/>
      <c r="D872" s="101"/>
      <c r="E872" s="101"/>
      <c r="F872" s="101"/>
      <c r="G872" s="101"/>
      <c r="H872" s="101"/>
      <c r="I872" s="101"/>
      <c r="J872" s="142"/>
      <c r="K872" s="101"/>
      <c r="L872" s="101"/>
      <c r="M872" s="101"/>
      <c r="N872" s="101"/>
      <c r="O872" s="101"/>
      <c r="P872" s="101"/>
      <c r="Q872" s="101"/>
      <c r="R872" s="101"/>
      <c r="S872" s="101"/>
      <c r="T872" s="101"/>
      <c r="U872" s="101"/>
      <c r="V872" s="101"/>
      <c r="W872" s="101"/>
      <c r="X872" s="101"/>
      <c r="Y872" s="101"/>
      <c r="Z872" s="101"/>
      <c r="AA872" s="101"/>
      <c r="AB872" s="101"/>
      <c r="AC872" s="101"/>
      <c r="AD872" s="101"/>
    </row>
    <row r="873" ht="30.0" customHeight="1">
      <c r="A873" s="141"/>
      <c r="B873" s="101"/>
      <c r="C873" s="101"/>
      <c r="D873" s="101"/>
      <c r="E873" s="101"/>
      <c r="F873" s="101"/>
      <c r="G873" s="101"/>
      <c r="H873" s="101"/>
      <c r="I873" s="101"/>
      <c r="J873" s="142"/>
      <c r="K873" s="101"/>
      <c r="L873" s="101"/>
      <c r="M873" s="101"/>
      <c r="N873" s="101"/>
      <c r="O873" s="101"/>
      <c r="P873" s="101"/>
      <c r="Q873" s="101"/>
      <c r="R873" s="101"/>
      <c r="S873" s="101"/>
      <c r="T873" s="101"/>
      <c r="U873" s="101"/>
      <c r="V873" s="101"/>
      <c r="W873" s="101"/>
      <c r="X873" s="101"/>
      <c r="Y873" s="101"/>
      <c r="Z873" s="101"/>
      <c r="AA873" s="101"/>
      <c r="AB873" s="101"/>
      <c r="AC873" s="101"/>
      <c r="AD873" s="101"/>
    </row>
    <row r="874" ht="30.0" customHeight="1">
      <c r="A874" s="141"/>
      <c r="B874" s="101"/>
      <c r="C874" s="101"/>
      <c r="D874" s="101"/>
      <c r="E874" s="101"/>
      <c r="F874" s="101"/>
      <c r="G874" s="101"/>
      <c r="H874" s="101"/>
      <c r="I874" s="101"/>
      <c r="J874" s="142"/>
      <c r="K874" s="101"/>
      <c r="L874" s="101"/>
      <c r="M874" s="101"/>
      <c r="N874" s="101"/>
      <c r="O874" s="101"/>
      <c r="P874" s="101"/>
      <c r="Q874" s="101"/>
      <c r="R874" s="101"/>
      <c r="S874" s="101"/>
      <c r="T874" s="101"/>
      <c r="U874" s="101"/>
      <c r="V874" s="101"/>
      <c r="W874" s="101"/>
      <c r="X874" s="101"/>
      <c r="Y874" s="101"/>
      <c r="Z874" s="101"/>
      <c r="AA874" s="101"/>
      <c r="AB874" s="101"/>
      <c r="AC874" s="101"/>
      <c r="AD874" s="101"/>
    </row>
    <row r="875" ht="30.0" customHeight="1">
      <c r="A875" s="141"/>
      <c r="B875" s="101"/>
      <c r="C875" s="101"/>
      <c r="D875" s="101"/>
      <c r="E875" s="101"/>
      <c r="F875" s="101"/>
      <c r="G875" s="101"/>
      <c r="H875" s="101"/>
      <c r="I875" s="101"/>
      <c r="J875" s="142"/>
      <c r="K875" s="101"/>
      <c r="L875" s="101"/>
      <c r="M875" s="101"/>
      <c r="N875" s="101"/>
      <c r="O875" s="101"/>
      <c r="P875" s="101"/>
      <c r="Q875" s="101"/>
      <c r="R875" s="101"/>
      <c r="S875" s="101"/>
      <c r="T875" s="101"/>
      <c r="U875" s="101"/>
      <c r="V875" s="101"/>
      <c r="W875" s="101"/>
      <c r="X875" s="101"/>
      <c r="Y875" s="101"/>
      <c r="Z875" s="101"/>
      <c r="AA875" s="101"/>
      <c r="AB875" s="101"/>
      <c r="AC875" s="101"/>
      <c r="AD875" s="101"/>
    </row>
    <row r="876" ht="30.0" customHeight="1">
      <c r="A876" s="141"/>
      <c r="B876" s="101"/>
      <c r="C876" s="101"/>
      <c r="D876" s="101"/>
      <c r="E876" s="101"/>
      <c r="F876" s="101"/>
      <c r="G876" s="101"/>
      <c r="H876" s="101"/>
      <c r="I876" s="101"/>
      <c r="J876" s="142"/>
      <c r="K876" s="101"/>
      <c r="L876" s="101"/>
      <c r="M876" s="101"/>
      <c r="N876" s="101"/>
      <c r="O876" s="101"/>
      <c r="P876" s="101"/>
      <c r="Q876" s="101"/>
      <c r="R876" s="101"/>
      <c r="S876" s="101"/>
      <c r="T876" s="101"/>
      <c r="U876" s="101"/>
      <c r="V876" s="101"/>
      <c r="W876" s="101"/>
      <c r="X876" s="101"/>
      <c r="Y876" s="101"/>
      <c r="Z876" s="101"/>
      <c r="AA876" s="101"/>
      <c r="AB876" s="101"/>
      <c r="AC876" s="101"/>
      <c r="AD876" s="101"/>
    </row>
    <row r="877" ht="30.0" customHeight="1">
      <c r="A877" s="141"/>
      <c r="B877" s="101"/>
      <c r="C877" s="101"/>
      <c r="D877" s="101"/>
      <c r="E877" s="101"/>
      <c r="F877" s="101"/>
      <c r="G877" s="101"/>
      <c r="H877" s="101"/>
      <c r="I877" s="101"/>
      <c r="J877" s="142"/>
      <c r="K877" s="101"/>
      <c r="L877" s="101"/>
      <c r="M877" s="101"/>
      <c r="N877" s="101"/>
      <c r="O877" s="101"/>
      <c r="P877" s="101"/>
      <c r="Q877" s="101"/>
      <c r="R877" s="101"/>
      <c r="S877" s="101"/>
      <c r="T877" s="101"/>
      <c r="U877" s="101"/>
      <c r="V877" s="101"/>
      <c r="W877" s="101"/>
      <c r="X877" s="101"/>
      <c r="Y877" s="101"/>
      <c r="Z877" s="101"/>
      <c r="AA877" s="101"/>
      <c r="AB877" s="101"/>
      <c r="AC877" s="101"/>
      <c r="AD877" s="101"/>
    </row>
    <row r="878" ht="30.0" customHeight="1">
      <c r="A878" s="141"/>
      <c r="B878" s="101"/>
      <c r="C878" s="101"/>
      <c r="D878" s="101"/>
      <c r="E878" s="101"/>
      <c r="F878" s="101"/>
      <c r="G878" s="101"/>
      <c r="H878" s="101"/>
      <c r="I878" s="101"/>
      <c r="J878" s="142"/>
      <c r="K878" s="101"/>
      <c r="L878" s="101"/>
      <c r="M878" s="101"/>
      <c r="N878" s="101"/>
      <c r="O878" s="101"/>
      <c r="P878" s="101"/>
      <c r="Q878" s="101"/>
      <c r="R878" s="101"/>
      <c r="S878" s="101"/>
      <c r="T878" s="101"/>
      <c r="U878" s="101"/>
      <c r="V878" s="101"/>
      <c r="W878" s="101"/>
      <c r="X878" s="101"/>
      <c r="Y878" s="101"/>
      <c r="Z878" s="101"/>
      <c r="AA878" s="101"/>
      <c r="AB878" s="101"/>
      <c r="AC878" s="101"/>
      <c r="AD878" s="101"/>
    </row>
    <row r="879" ht="30.0" customHeight="1">
      <c r="A879" s="141"/>
      <c r="B879" s="101"/>
      <c r="C879" s="101"/>
      <c r="D879" s="101"/>
      <c r="E879" s="101"/>
      <c r="F879" s="101"/>
      <c r="G879" s="101"/>
      <c r="H879" s="101"/>
      <c r="I879" s="101"/>
      <c r="J879" s="142"/>
      <c r="K879" s="101"/>
      <c r="L879" s="101"/>
      <c r="M879" s="101"/>
      <c r="N879" s="101"/>
      <c r="O879" s="101"/>
      <c r="P879" s="101"/>
      <c r="Q879" s="101"/>
      <c r="R879" s="101"/>
      <c r="S879" s="101"/>
      <c r="T879" s="101"/>
      <c r="U879" s="101"/>
      <c r="V879" s="101"/>
      <c r="W879" s="101"/>
      <c r="X879" s="101"/>
      <c r="Y879" s="101"/>
      <c r="Z879" s="101"/>
      <c r="AA879" s="101"/>
      <c r="AB879" s="101"/>
      <c r="AC879" s="101"/>
      <c r="AD879" s="101"/>
    </row>
    <row r="880" ht="30.0" customHeight="1">
      <c r="A880" s="141"/>
      <c r="B880" s="101"/>
      <c r="C880" s="101"/>
      <c r="D880" s="101"/>
      <c r="E880" s="101"/>
      <c r="F880" s="101"/>
      <c r="G880" s="101"/>
      <c r="H880" s="101"/>
      <c r="I880" s="101"/>
      <c r="J880" s="142"/>
      <c r="K880" s="101"/>
      <c r="L880" s="101"/>
      <c r="M880" s="101"/>
      <c r="N880" s="101"/>
      <c r="O880" s="101"/>
      <c r="P880" s="101"/>
      <c r="Q880" s="101"/>
      <c r="R880" s="101"/>
      <c r="S880" s="101"/>
      <c r="T880" s="101"/>
      <c r="U880" s="101"/>
      <c r="V880" s="101"/>
      <c r="W880" s="101"/>
      <c r="X880" s="101"/>
      <c r="Y880" s="101"/>
      <c r="Z880" s="101"/>
      <c r="AA880" s="101"/>
      <c r="AB880" s="101"/>
      <c r="AC880" s="101"/>
      <c r="AD880" s="101"/>
    </row>
    <row r="881" ht="30.0" customHeight="1">
      <c r="A881" s="141"/>
      <c r="B881" s="101"/>
      <c r="C881" s="101"/>
      <c r="D881" s="101"/>
      <c r="E881" s="101"/>
      <c r="F881" s="101"/>
      <c r="G881" s="101"/>
      <c r="H881" s="101"/>
      <c r="I881" s="101"/>
      <c r="J881" s="142"/>
      <c r="K881" s="101"/>
      <c r="L881" s="101"/>
      <c r="M881" s="101"/>
      <c r="N881" s="101"/>
      <c r="O881" s="101"/>
      <c r="P881" s="101"/>
      <c r="Q881" s="101"/>
      <c r="R881" s="101"/>
      <c r="S881" s="101"/>
      <c r="T881" s="101"/>
      <c r="U881" s="101"/>
      <c r="V881" s="101"/>
      <c r="W881" s="101"/>
      <c r="X881" s="101"/>
      <c r="Y881" s="101"/>
      <c r="Z881" s="101"/>
      <c r="AA881" s="101"/>
      <c r="AB881" s="101"/>
      <c r="AC881" s="101"/>
      <c r="AD881" s="101"/>
    </row>
    <row r="882" ht="30.0" customHeight="1">
      <c r="A882" s="141"/>
      <c r="B882" s="101"/>
      <c r="C882" s="101"/>
      <c r="D882" s="101"/>
      <c r="E882" s="101"/>
      <c r="F882" s="101"/>
      <c r="G882" s="101"/>
      <c r="H882" s="101"/>
      <c r="I882" s="101"/>
      <c r="J882" s="142"/>
      <c r="K882" s="101"/>
      <c r="L882" s="101"/>
      <c r="M882" s="101"/>
      <c r="N882" s="101"/>
      <c r="O882" s="101"/>
      <c r="P882" s="101"/>
      <c r="Q882" s="101"/>
      <c r="R882" s="101"/>
      <c r="S882" s="101"/>
      <c r="T882" s="101"/>
      <c r="U882" s="101"/>
      <c r="V882" s="101"/>
      <c r="W882" s="101"/>
      <c r="X882" s="101"/>
      <c r="Y882" s="101"/>
      <c r="Z882" s="101"/>
      <c r="AA882" s="101"/>
      <c r="AB882" s="101"/>
      <c r="AC882" s="101"/>
      <c r="AD882" s="101"/>
    </row>
    <row r="883" ht="30.0" customHeight="1">
      <c r="A883" s="141"/>
      <c r="B883" s="101"/>
      <c r="C883" s="101"/>
      <c r="D883" s="101"/>
      <c r="E883" s="101"/>
      <c r="F883" s="101"/>
      <c r="G883" s="101"/>
      <c r="H883" s="101"/>
      <c r="I883" s="101"/>
      <c r="J883" s="142"/>
      <c r="K883" s="101"/>
      <c r="L883" s="101"/>
      <c r="M883" s="101"/>
      <c r="N883" s="101"/>
      <c r="O883" s="101"/>
      <c r="P883" s="101"/>
      <c r="Q883" s="101"/>
      <c r="R883" s="101"/>
      <c r="S883" s="101"/>
      <c r="T883" s="101"/>
      <c r="U883" s="101"/>
      <c r="V883" s="101"/>
      <c r="W883" s="101"/>
      <c r="X883" s="101"/>
      <c r="Y883" s="101"/>
      <c r="Z883" s="101"/>
      <c r="AA883" s="101"/>
      <c r="AB883" s="101"/>
      <c r="AC883" s="101"/>
      <c r="AD883" s="101"/>
    </row>
    <row r="884" ht="30.0" customHeight="1">
      <c r="A884" s="141"/>
      <c r="B884" s="101"/>
      <c r="C884" s="101"/>
      <c r="D884" s="101"/>
      <c r="E884" s="101"/>
      <c r="F884" s="101"/>
      <c r="G884" s="101"/>
      <c r="H884" s="101"/>
      <c r="I884" s="101"/>
      <c r="J884" s="142"/>
      <c r="K884" s="101"/>
      <c r="L884" s="101"/>
      <c r="M884" s="101"/>
      <c r="N884" s="101"/>
      <c r="O884" s="101"/>
      <c r="P884" s="101"/>
      <c r="Q884" s="101"/>
      <c r="R884" s="101"/>
      <c r="S884" s="101"/>
      <c r="T884" s="101"/>
      <c r="U884" s="101"/>
      <c r="V884" s="101"/>
      <c r="W884" s="101"/>
      <c r="X884" s="101"/>
      <c r="Y884" s="101"/>
      <c r="Z884" s="101"/>
      <c r="AA884" s="101"/>
      <c r="AB884" s="101"/>
      <c r="AC884" s="101"/>
      <c r="AD884" s="101"/>
    </row>
    <row r="885" ht="30.0" customHeight="1">
      <c r="A885" s="141"/>
      <c r="B885" s="101"/>
      <c r="C885" s="101"/>
      <c r="D885" s="101"/>
      <c r="E885" s="101"/>
      <c r="F885" s="101"/>
      <c r="G885" s="101"/>
      <c r="H885" s="101"/>
      <c r="I885" s="101"/>
      <c r="J885" s="142"/>
      <c r="K885" s="101"/>
      <c r="L885" s="101"/>
      <c r="M885" s="101"/>
      <c r="N885" s="101"/>
      <c r="O885" s="101"/>
      <c r="P885" s="101"/>
      <c r="Q885" s="101"/>
      <c r="R885" s="101"/>
      <c r="S885" s="101"/>
      <c r="T885" s="101"/>
      <c r="U885" s="101"/>
      <c r="V885" s="101"/>
      <c r="W885" s="101"/>
      <c r="X885" s="101"/>
      <c r="Y885" s="101"/>
      <c r="Z885" s="101"/>
      <c r="AA885" s="101"/>
      <c r="AB885" s="101"/>
      <c r="AC885" s="101"/>
      <c r="AD885" s="101"/>
    </row>
    <row r="886" ht="30.0" customHeight="1">
      <c r="A886" s="141"/>
      <c r="B886" s="101"/>
      <c r="C886" s="101"/>
      <c r="D886" s="101"/>
      <c r="E886" s="101"/>
      <c r="F886" s="101"/>
      <c r="G886" s="101"/>
      <c r="H886" s="101"/>
      <c r="I886" s="101"/>
      <c r="J886" s="142"/>
      <c r="K886" s="101"/>
      <c r="L886" s="101"/>
      <c r="M886" s="101"/>
      <c r="N886" s="101"/>
      <c r="O886" s="101"/>
      <c r="P886" s="101"/>
      <c r="Q886" s="101"/>
      <c r="R886" s="101"/>
      <c r="S886" s="101"/>
      <c r="T886" s="101"/>
      <c r="U886" s="101"/>
      <c r="V886" s="101"/>
      <c r="W886" s="101"/>
      <c r="X886" s="101"/>
      <c r="Y886" s="101"/>
      <c r="Z886" s="101"/>
      <c r="AA886" s="101"/>
      <c r="AB886" s="101"/>
      <c r="AC886" s="101"/>
      <c r="AD886" s="101"/>
    </row>
    <row r="887" ht="30.0" customHeight="1">
      <c r="A887" s="141"/>
      <c r="B887" s="101"/>
      <c r="C887" s="101"/>
      <c r="D887" s="101"/>
      <c r="E887" s="101"/>
      <c r="F887" s="101"/>
      <c r="G887" s="101"/>
      <c r="H887" s="101"/>
      <c r="I887" s="101"/>
      <c r="J887" s="142"/>
      <c r="K887" s="101"/>
      <c r="L887" s="101"/>
      <c r="M887" s="101"/>
      <c r="N887" s="101"/>
      <c r="O887" s="101"/>
      <c r="P887" s="101"/>
      <c r="Q887" s="101"/>
      <c r="R887" s="101"/>
      <c r="S887" s="101"/>
      <c r="T887" s="101"/>
      <c r="U887" s="101"/>
      <c r="V887" s="101"/>
      <c r="W887" s="101"/>
      <c r="X887" s="101"/>
      <c r="Y887" s="101"/>
      <c r="Z887" s="101"/>
      <c r="AA887" s="101"/>
      <c r="AB887" s="101"/>
      <c r="AC887" s="101"/>
      <c r="AD887" s="101"/>
    </row>
    <row r="888" ht="30.0" customHeight="1">
      <c r="A888" s="141"/>
      <c r="B888" s="101"/>
      <c r="C888" s="101"/>
      <c r="D888" s="101"/>
      <c r="E888" s="101"/>
      <c r="F888" s="101"/>
      <c r="G888" s="101"/>
      <c r="H888" s="101"/>
      <c r="I888" s="101"/>
      <c r="J888" s="142"/>
      <c r="K888" s="101"/>
      <c r="L888" s="101"/>
      <c r="M888" s="101"/>
      <c r="N888" s="101"/>
      <c r="O888" s="101"/>
      <c r="P888" s="101"/>
      <c r="Q888" s="101"/>
      <c r="R888" s="101"/>
      <c r="S888" s="101"/>
      <c r="T888" s="101"/>
      <c r="U888" s="101"/>
      <c r="V888" s="101"/>
      <c r="W888" s="101"/>
      <c r="X888" s="101"/>
      <c r="Y888" s="101"/>
      <c r="Z888" s="101"/>
      <c r="AA888" s="101"/>
      <c r="AB888" s="101"/>
      <c r="AC888" s="101"/>
      <c r="AD888" s="101"/>
    </row>
    <row r="889" ht="30.0" customHeight="1">
      <c r="A889" s="141"/>
      <c r="B889" s="101"/>
      <c r="C889" s="101"/>
      <c r="D889" s="101"/>
      <c r="E889" s="101"/>
      <c r="F889" s="101"/>
      <c r="G889" s="101"/>
      <c r="H889" s="101"/>
      <c r="I889" s="101"/>
      <c r="J889" s="142"/>
      <c r="K889" s="101"/>
      <c r="L889" s="101"/>
      <c r="M889" s="101"/>
      <c r="N889" s="101"/>
      <c r="O889" s="101"/>
      <c r="P889" s="101"/>
      <c r="Q889" s="101"/>
      <c r="R889" s="101"/>
      <c r="S889" s="101"/>
      <c r="T889" s="101"/>
      <c r="U889" s="101"/>
      <c r="V889" s="101"/>
      <c r="W889" s="101"/>
      <c r="X889" s="101"/>
      <c r="Y889" s="101"/>
      <c r="Z889" s="101"/>
      <c r="AA889" s="101"/>
      <c r="AB889" s="101"/>
      <c r="AC889" s="101"/>
      <c r="AD889" s="101"/>
    </row>
    <row r="890" ht="30.0" customHeight="1">
      <c r="A890" s="141"/>
      <c r="B890" s="101"/>
      <c r="C890" s="101"/>
      <c r="D890" s="101"/>
      <c r="E890" s="101"/>
      <c r="F890" s="101"/>
      <c r="G890" s="101"/>
      <c r="H890" s="101"/>
      <c r="I890" s="101"/>
      <c r="J890" s="142"/>
      <c r="K890" s="101"/>
      <c r="L890" s="101"/>
      <c r="M890" s="101"/>
      <c r="N890" s="101"/>
      <c r="O890" s="101"/>
      <c r="P890" s="101"/>
      <c r="Q890" s="101"/>
      <c r="R890" s="101"/>
      <c r="S890" s="101"/>
      <c r="T890" s="101"/>
      <c r="U890" s="101"/>
      <c r="V890" s="101"/>
      <c r="W890" s="101"/>
      <c r="X890" s="101"/>
      <c r="Y890" s="101"/>
      <c r="Z890" s="101"/>
      <c r="AA890" s="101"/>
      <c r="AB890" s="101"/>
      <c r="AC890" s="101"/>
      <c r="AD890" s="101"/>
    </row>
    <row r="891" ht="30.0" customHeight="1">
      <c r="A891" s="141"/>
      <c r="B891" s="101"/>
      <c r="C891" s="101"/>
      <c r="D891" s="101"/>
      <c r="E891" s="101"/>
      <c r="F891" s="101"/>
      <c r="G891" s="101"/>
      <c r="H891" s="101"/>
      <c r="I891" s="101"/>
      <c r="J891" s="142"/>
      <c r="K891" s="101"/>
      <c r="L891" s="101"/>
      <c r="M891" s="101"/>
      <c r="N891" s="101"/>
      <c r="O891" s="101"/>
      <c r="P891" s="101"/>
      <c r="Q891" s="101"/>
      <c r="R891" s="101"/>
      <c r="S891" s="101"/>
      <c r="T891" s="101"/>
      <c r="U891" s="101"/>
      <c r="V891" s="101"/>
      <c r="W891" s="101"/>
      <c r="X891" s="101"/>
      <c r="Y891" s="101"/>
      <c r="Z891" s="101"/>
      <c r="AA891" s="101"/>
      <c r="AB891" s="101"/>
      <c r="AC891" s="101"/>
      <c r="AD891" s="101"/>
    </row>
    <row r="892" ht="30.0" customHeight="1">
      <c r="A892" s="141"/>
      <c r="B892" s="101"/>
      <c r="C892" s="101"/>
      <c r="D892" s="101"/>
      <c r="E892" s="101"/>
      <c r="F892" s="101"/>
      <c r="G892" s="101"/>
      <c r="H892" s="101"/>
      <c r="I892" s="101"/>
      <c r="J892" s="142"/>
      <c r="K892" s="101"/>
      <c r="L892" s="101"/>
      <c r="M892" s="101"/>
      <c r="N892" s="101"/>
      <c r="O892" s="101"/>
      <c r="P892" s="101"/>
      <c r="Q892" s="101"/>
      <c r="R892" s="101"/>
      <c r="S892" s="101"/>
      <c r="T892" s="101"/>
      <c r="U892" s="101"/>
      <c r="V892" s="101"/>
      <c r="W892" s="101"/>
      <c r="X892" s="101"/>
      <c r="Y892" s="101"/>
      <c r="Z892" s="101"/>
      <c r="AA892" s="101"/>
      <c r="AB892" s="101"/>
      <c r="AC892" s="101"/>
      <c r="AD892" s="101"/>
    </row>
    <row r="893" ht="30.0" customHeight="1">
      <c r="A893" s="141"/>
      <c r="B893" s="101"/>
      <c r="C893" s="101"/>
      <c r="D893" s="101"/>
      <c r="E893" s="101"/>
      <c r="F893" s="101"/>
      <c r="G893" s="101"/>
      <c r="H893" s="101"/>
      <c r="I893" s="101"/>
      <c r="J893" s="142"/>
      <c r="K893" s="101"/>
      <c r="L893" s="101"/>
      <c r="M893" s="101"/>
      <c r="N893" s="101"/>
      <c r="O893" s="101"/>
      <c r="P893" s="101"/>
      <c r="Q893" s="101"/>
      <c r="R893" s="101"/>
      <c r="S893" s="101"/>
      <c r="T893" s="101"/>
      <c r="U893" s="101"/>
      <c r="V893" s="101"/>
      <c r="W893" s="101"/>
      <c r="X893" s="101"/>
      <c r="Y893" s="101"/>
      <c r="Z893" s="101"/>
      <c r="AA893" s="101"/>
      <c r="AB893" s="101"/>
      <c r="AC893" s="101"/>
      <c r="AD893" s="101"/>
    </row>
    <row r="894" ht="30.0" customHeight="1">
      <c r="A894" s="141"/>
      <c r="B894" s="101"/>
      <c r="C894" s="101"/>
      <c r="D894" s="101"/>
      <c r="E894" s="101"/>
      <c r="F894" s="101"/>
      <c r="G894" s="101"/>
      <c r="H894" s="101"/>
      <c r="I894" s="101"/>
      <c r="J894" s="142"/>
      <c r="K894" s="101"/>
      <c r="L894" s="101"/>
      <c r="M894" s="101"/>
      <c r="N894" s="101"/>
      <c r="O894" s="101"/>
      <c r="P894" s="101"/>
      <c r="Q894" s="101"/>
      <c r="R894" s="101"/>
      <c r="S894" s="101"/>
      <c r="T894" s="101"/>
      <c r="U894" s="101"/>
      <c r="V894" s="101"/>
      <c r="W894" s="101"/>
      <c r="X894" s="101"/>
      <c r="Y894" s="101"/>
      <c r="Z894" s="101"/>
      <c r="AA894" s="101"/>
      <c r="AB894" s="101"/>
      <c r="AC894" s="101"/>
      <c r="AD894" s="101"/>
    </row>
    <row r="895" ht="30.0" customHeight="1">
      <c r="A895" s="141"/>
      <c r="B895" s="101"/>
      <c r="C895" s="101"/>
      <c r="D895" s="101"/>
      <c r="E895" s="101"/>
      <c r="F895" s="101"/>
      <c r="G895" s="101"/>
      <c r="H895" s="101"/>
      <c r="I895" s="101"/>
      <c r="J895" s="142"/>
      <c r="K895" s="101"/>
      <c r="L895" s="101"/>
      <c r="M895" s="101"/>
      <c r="N895" s="101"/>
      <c r="O895" s="101"/>
      <c r="P895" s="101"/>
      <c r="Q895" s="101"/>
      <c r="R895" s="101"/>
      <c r="S895" s="101"/>
      <c r="T895" s="101"/>
      <c r="U895" s="101"/>
      <c r="V895" s="101"/>
      <c r="W895" s="101"/>
      <c r="X895" s="101"/>
      <c r="Y895" s="101"/>
      <c r="Z895" s="101"/>
      <c r="AA895" s="101"/>
      <c r="AB895" s="101"/>
      <c r="AC895" s="101"/>
      <c r="AD895" s="101"/>
    </row>
    <row r="896" ht="30.0" customHeight="1">
      <c r="A896" s="141"/>
      <c r="B896" s="101"/>
      <c r="C896" s="101"/>
      <c r="D896" s="101"/>
      <c r="E896" s="101"/>
      <c r="F896" s="101"/>
      <c r="G896" s="101"/>
      <c r="H896" s="101"/>
      <c r="I896" s="101"/>
      <c r="J896" s="142"/>
      <c r="K896" s="101"/>
      <c r="L896" s="101"/>
      <c r="M896" s="101"/>
      <c r="N896" s="101"/>
      <c r="O896" s="101"/>
      <c r="P896" s="101"/>
      <c r="Q896" s="101"/>
      <c r="R896" s="101"/>
      <c r="S896" s="101"/>
      <c r="T896" s="101"/>
      <c r="U896" s="101"/>
      <c r="V896" s="101"/>
      <c r="W896" s="101"/>
      <c r="X896" s="101"/>
      <c r="Y896" s="101"/>
      <c r="Z896" s="101"/>
      <c r="AA896" s="101"/>
      <c r="AB896" s="101"/>
      <c r="AC896" s="101"/>
      <c r="AD896" s="101"/>
    </row>
    <row r="897" ht="30.0" customHeight="1">
      <c r="A897" s="141"/>
      <c r="B897" s="101"/>
      <c r="C897" s="101"/>
      <c r="D897" s="101"/>
      <c r="E897" s="101"/>
      <c r="F897" s="101"/>
      <c r="G897" s="101"/>
      <c r="H897" s="101"/>
      <c r="I897" s="101"/>
      <c r="J897" s="142"/>
      <c r="K897" s="101"/>
      <c r="L897" s="101"/>
      <c r="M897" s="101"/>
      <c r="N897" s="101"/>
      <c r="O897" s="101"/>
      <c r="P897" s="101"/>
      <c r="Q897" s="101"/>
      <c r="R897" s="101"/>
      <c r="S897" s="101"/>
      <c r="T897" s="101"/>
      <c r="U897" s="101"/>
      <c r="V897" s="101"/>
      <c r="W897" s="101"/>
      <c r="X897" s="101"/>
      <c r="Y897" s="101"/>
      <c r="Z897" s="101"/>
      <c r="AA897" s="101"/>
      <c r="AB897" s="101"/>
      <c r="AC897" s="101"/>
      <c r="AD897" s="101"/>
    </row>
    <row r="898" ht="30.0" customHeight="1">
      <c r="A898" s="141"/>
      <c r="B898" s="101"/>
      <c r="C898" s="101"/>
      <c r="D898" s="101"/>
      <c r="E898" s="101"/>
      <c r="F898" s="101"/>
      <c r="G898" s="101"/>
      <c r="H898" s="101"/>
      <c r="I898" s="101"/>
      <c r="J898" s="142"/>
      <c r="K898" s="101"/>
      <c r="L898" s="101"/>
      <c r="M898" s="101"/>
      <c r="N898" s="101"/>
      <c r="O898" s="101"/>
      <c r="P898" s="101"/>
      <c r="Q898" s="101"/>
      <c r="R898" s="101"/>
      <c r="S898" s="101"/>
      <c r="T898" s="101"/>
      <c r="U898" s="101"/>
      <c r="V898" s="101"/>
      <c r="W898" s="101"/>
      <c r="X898" s="101"/>
      <c r="Y898" s="101"/>
      <c r="Z898" s="101"/>
      <c r="AA898" s="101"/>
      <c r="AB898" s="101"/>
      <c r="AC898" s="101"/>
      <c r="AD898" s="101"/>
    </row>
    <row r="899" ht="30.0" customHeight="1">
      <c r="A899" s="141"/>
      <c r="B899" s="101"/>
      <c r="C899" s="101"/>
      <c r="D899" s="101"/>
      <c r="E899" s="101"/>
      <c r="F899" s="101"/>
      <c r="G899" s="101"/>
      <c r="H899" s="101"/>
      <c r="I899" s="101"/>
      <c r="J899" s="142"/>
      <c r="K899" s="101"/>
      <c r="L899" s="101"/>
      <c r="M899" s="101"/>
      <c r="N899" s="101"/>
      <c r="O899" s="101"/>
      <c r="P899" s="101"/>
      <c r="Q899" s="101"/>
      <c r="R899" s="101"/>
      <c r="S899" s="101"/>
      <c r="T899" s="101"/>
      <c r="U899" s="101"/>
      <c r="V899" s="101"/>
      <c r="W899" s="101"/>
      <c r="X899" s="101"/>
      <c r="Y899" s="101"/>
      <c r="Z899" s="101"/>
      <c r="AA899" s="101"/>
      <c r="AB899" s="101"/>
      <c r="AC899" s="101"/>
      <c r="AD899" s="101"/>
    </row>
    <row r="900" ht="30.0" customHeight="1">
      <c r="A900" s="141"/>
      <c r="B900" s="101"/>
      <c r="C900" s="101"/>
      <c r="D900" s="101"/>
      <c r="E900" s="101"/>
      <c r="F900" s="101"/>
      <c r="G900" s="101"/>
      <c r="H900" s="101"/>
      <c r="I900" s="101"/>
      <c r="J900" s="142"/>
      <c r="K900" s="101"/>
      <c r="L900" s="101"/>
      <c r="M900" s="101"/>
      <c r="N900" s="101"/>
      <c r="O900" s="101"/>
      <c r="P900" s="101"/>
      <c r="Q900" s="101"/>
      <c r="R900" s="101"/>
      <c r="S900" s="101"/>
      <c r="T900" s="101"/>
      <c r="U900" s="101"/>
      <c r="V900" s="101"/>
      <c r="W900" s="101"/>
      <c r="X900" s="101"/>
      <c r="Y900" s="101"/>
      <c r="Z900" s="101"/>
      <c r="AA900" s="101"/>
      <c r="AB900" s="101"/>
      <c r="AC900" s="101"/>
      <c r="AD900" s="101"/>
    </row>
    <row r="901" ht="30.0" customHeight="1">
      <c r="A901" s="141"/>
      <c r="B901" s="101"/>
      <c r="C901" s="101"/>
      <c r="D901" s="101"/>
      <c r="E901" s="101"/>
      <c r="F901" s="101"/>
      <c r="G901" s="101"/>
      <c r="H901" s="101"/>
      <c r="I901" s="101"/>
      <c r="J901" s="142"/>
      <c r="K901" s="101"/>
      <c r="L901" s="101"/>
      <c r="M901" s="101"/>
      <c r="N901" s="101"/>
      <c r="O901" s="101"/>
      <c r="P901" s="101"/>
      <c r="Q901" s="101"/>
      <c r="R901" s="101"/>
      <c r="S901" s="101"/>
      <c r="T901" s="101"/>
      <c r="U901" s="101"/>
      <c r="V901" s="101"/>
      <c r="W901" s="101"/>
      <c r="X901" s="101"/>
      <c r="Y901" s="101"/>
      <c r="Z901" s="101"/>
      <c r="AA901" s="101"/>
      <c r="AB901" s="101"/>
      <c r="AC901" s="101"/>
      <c r="AD901" s="101"/>
    </row>
    <row r="902" ht="30.0" customHeight="1">
      <c r="A902" s="141"/>
      <c r="B902" s="101"/>
      <c r="C902" s="101"/>
      <c r="D902" s="101"/>
      <c r="E902" s="101"/>
      <c r="F902" s="101"/>
      <c r="G902" s="101"/>
      <c r="H902" s="101"/>
      <c r="I902" s="101"/>
      <c r="J902" s="142"/>
      <c r="K902" s="101"/>
      <c r="L902" s="101"/>
      <c r="M902" s="101"/>
      <c r="N902" s="101"/>
      <c r="O902" s="101"/>
      <c r="P902" s="101"/>
      <c r="Q902" s="101"/>
      <c r="R902" s="101"/>
      <c r="S902" s="101"/>
      <c r="T902" s="101"/>
      <c r="U902" s="101"/>
      <c r="V902" s="101"/>
      <c r="W902" s="101"/>
      <c r="X902" s="101"/>
      <c r="Y902" s="101"/>
      <c r="Z902" s="101"/>
      <c r="AA902" s="101"/>
      <c r="AB902" s="101"/>
      <c r="AC902" s="101"/>
      <c r="AD902" s="101"/>
    </row>
    <row r="903" ht="30.0" customHeight="1">
      <c r="A903" s="141"/>
      <c r="B903" s="101"/>
      <c r="C903" s="101"/>
      <c r="D903" s="101"/>
      <c r="E903" s="101"/>
      <c r="F903" s="101"/>
      <c r="G903" s="101"/>
      <c r="H903" s="101"/>
      <c r="I903" s="101"/>
      <c r="J903" s="142"/>
      <c r="K903" s="101"/>
      <c r="L903" s="101"/>
      <c r="M903" s="101"/>
      <c r="N903" s="101"/>
      <c r="O903" s="101"/>
      <c r="P903" s="101"/>
      <c r="Q903" s="101"/>
      <c r="R903" s="101"/>
      <c r="S903" s="101"/>
      <c r="T903" s="101"/>
      <c r="U903" s="101"/>
      <c r="V903" s="101"/>
      <c r="W903" s="101"/>
      <c r="X903" s="101"/>
      <c r="Y903" s="101"/>
      <c r="Z903" s="101"/>
      <c r="AA903" s="101"/>
      <c r="AB903" s="101"/>
      <c r="AC903" s="101"/>
      <c r="AD903" s="101"/>
    </row>
    <row r="904" ht="30.0" customHeight="1">
      <c r="A904" s="141"/>
      <c r="B904" s="101"/>
      <c r="C904" s="101"/>
      <c r="D904" s="101"/>
      <c r="E904" s="101"/>
      <c r="F904" s="101"/>
      <c r="G904" s="101"/>
      <c r="H904" s="101"/>
      <c r="I904" s="101"/>
      <c r="J904" s="142"/>
      <c r="K904" s="101"/>
      <c r="L904" s="101"/>
      <c r="M904" s="101"/>
      <c r="N904" s="101"/>
      <c r="O904" s="101"/>
      <c r="P904" s="101"/>
      <c r="Q904" s="101"/>
      <c r="R904" s="101"/>
      <c r="S904" s="101"/>
      <c r="T904" s="101"/>
      <c r="U904" s="101"/>
      <c r="V904" s="101"/>
      <c r="W904" s="101"/>
      <c r="X904" s="101"/>
      <c r="Y904" s="101"/>
      <c r="Z904" s="101"/>
      <c r="AA904" s="101"/>
      <c r="AB904" s="101"/>
      <c r="AC904" s="101"/>
      <c r="AD904" s="101"/>
    </row>
    <row r="905" ht="30.0" customHeight="1">
      <c r="A905" s="141"/>
      <c r="B905" s="101"/>
      <c r="C905" s="101"/>
      <c r="D905" s="101"/>
      <c r="E905" s="101"/>
      <c r="F905" s="101"/>
      <c r="G905" s="101"/>
      <c r="H905" s="101"/>
      <c r="I905" s="101"/>
      <c r="J905" s="142"/>
      <c r="K905" s="101"/>
      <c r="L905" s="101"/>
      <c r="M905" s="101"/>
      <c r="N905" s="101"/>
      <c r="O905" s="101"/>
      <c r="P905" s="101"/>
      <c r="Q905" s="101"/>
      <c r="R905" s="101"/>
      <c r="S905" s="101"/>
      <c r="T905" s="101"/>
      <c r="U905" s="101"/>
      <c r="V905" s="101"/>
      <c r="W905" s="101"/>
      <c r="X905" s="101"/>
      <c r="Y905" s="101"/>
      <c r="Z905" s="101"/>
      <c r="AA905" s="101"/>
      <c r="AB905" s="101"/>
      <c r="AC905" s="101"/>
      <c r="AD905" s="101"/>
    </row>
    <row r="906" ht="30.0" customHeight="1">
      <c r="A906" s="141"/>
      <c r="B906" s="101"/>
      <c r="C906" s="101"/>
      <c r="D906" s="101"/>
      <c r="E906" s="101"/>
      <c r="F906" s="101"/>
      <c r="G906" s="101"/>
      <c r="H906" s="101"/>
      <c r="I906" s="101"/>
      <c r="J906" s="142"/>
      <c r="K906" s="101"/>
      <c r="L906" s="101"/>
      <c r="M906" s="101"/>
      <c r="N906" s="101"/>
      <c r="O906" s="101"/>
      <c r="P906" s="101"/>
      <c r="Q906" s="101"/>
      <c r="R906" s="101"/>
      <c r="S906" s="101"/>
      <c r="T906" s="101"/>
      <c r="U906" s="101"/>
      <c r="V906" s="101"/>
      <c r="W906" s="101"/>
      <c r="X906" s="101"/>
      <c r="Y906" s="101"/>
      <c r="Z906" s="101"/>
      <c r="AA906" s="101"/>
      <c r="AB906" s="101"/>
      <c r="AC906" s="101"/>
      <c r="AD906" s="101"/>
    </row>
    <row r="907" ht="30.0" customHeight="1">
      <c r="A907" s="141"/>
      <c r="B907" s="101"/>
      <c r="C907" s="101"/>
      <c r="D907" s="101"/>
      <c r="E907" s="101"/>
      <c r="F907" s="101"/>
      <c r="G907" s="101"/>
      <c r="H907" s="101"/>
      <c r="I907" s="101"/>
      <c r="J907" s="142"/>
      <c r="K907" s="101"/>
      <c r="L907" s="101"/>
      <c r="M907" s="101"/>
      <c r="N907" s="101"/>
      <c r="O907" s="101"/>
      <c r="P907" s="101"/>
      <c r="Q907" s="101"/>
      <c r="R907" s="101"/>
      <c r="S907" s="101"/>
      <c r="T907" s="101"/>
      <c r="U907" s="101"/>
      <c r="V907" s="101"/>
      <c r="W907" s="101"/>
      <c r="X907" s="101"/>
      <c r="Y907" s="101"/>
      <c r="Z907" s="101"/>
      <c r="AA907" s="101"/>
      <c r="AB907" s="101"/>
      <c r="AC907" s="101"/>
      <c r="AD907" s="101"/>
    </row>
    <row r="908" ht="30.0" customHeight="1">
      <c r="A908" s="141"/>
      <c r="B908" s="101"/>
      <c r="C908" s="101"/>
      <c r="D908" s="101"/>
      <c r="E908" s="101"/>
      <c r="F908" s="101"/>
      <c r="G908" s="101"/>
      <c r="H908" s="101"/>
      <c r="I908" s="101"/>
      <c r="J908" s="142"/>
      <c r="K908" s="101"/>
      <c r="L908" s="101"/>
      <c r="M908" s="101"/>
      <c r="N908" s="101"/>
      <c r="O908" s="101"/>
      <c r="P908" s="101"/>
      <c r="Q908" s="101"/>
      <c r="R908" s="101"/>
      <c r="S908" s="101"/>
      <c r="T908" s="101"/>
      <c r="U908" s="101"/>
      <c r="V908" s="101"/>
      <c r="W908" s="101"/>
      <c r="X908" s="101"/>
      <c r="Y908" s="101"/>
      <c r="Z908" s="101"/>
      <c r="AA908" s="101"/>
      <c r="AB908" s="101"/>
      <c r="AC908" s="101"/>
      <c r="AD908" s="101"/>
    </row>
    <row r="909" ht="30.0" customHeight="1">
      <c r="A909" s="141"/>
      <c r="B909" s="101"/>
      <c r="C909" s="101"/>
      <c r="D909" s="101"/>
      <c r="E909" s="101"/>
      <c r="F909" s="101"/>
      <c r="G909" s="101"/>
      <c r="H909" s="101"/>
      <c r="I909" s="101"/>
      <c r="J909" s="142"/>
      <c r="K909" s="101"/>
      <c r="L909" s="101"/>
      <c r="M909" s="101"/>
      <c r="N909" s="101"/>
      <c r="O909" s="101"/>
      <c r="P909" s="101"/>
      <c r="Q909" s="101"/>
      <c r="R909" s="101"/>
      <c r="S909" s="101"/>
      <c r="T909" s="101"/>
      <c r="U909" s="101"/>
      <c r="V909" s="101"/>
      <c r="W909" s="101"/>
      <c r="X909" s="101"/>
      <c r="Y909" s="101"/>
      <c r="Z909" s="101"/>
      <c r="AA909" s="101"/>
      <c r="AB909" s="101"/>
      <c r="AC909" s="101"/>
      <c r="AD909" s="101"/>
    </row>
    <row r="910" ht="30.0" customHeight="1">
      <c r="A910" s="141"/>
      <c r="B910" s="101"/>
      <c r="C910" s="101"/>
      <c r="D910" s="101"/>
      <c r="E910" s="101"/>
      <c r="F910" s="101"/>
      <c r="G910" s="101"/>
      <c r="H910" s="101"/>
      <c r="I910" s="101"/>
      <c r="J910" s="142"/>
      <c r="K910" s="101"/>
      <c r="L910" s="101"/>
      <c r="M910" s="101"/>
      <c r="N910" s="101"/>
      <c r="O910" s="101"/>
      <c r="P910" s="101"/>
      <c r="Q910" s="101"/>
      <c r="R910" s="101"/>
      <c r="S910" s="101"/>
      <c r="T910" s="101"/>
      <c r="U910" s="101"/>
      <c r="V910" s="101"/>
      <c r="W910" s="101"/>
      <c r="X910" s="101"/>
      <c r="Y910" s="101"/>
      <c r="Z910" s="101"/>
      <c r="AA910" s="101"/>
      <c r="AB910" s="101"/>
      <c r="AC910" s="101"/>
      <c r="AD910" s="101"/>
    </row>
    <row r="911" ht="30.0" customHeight="1">
      <c r="A911" s="141"/>
      <c r="B911" s="101"/>
      <c r="C911" s="101"/>
      <c r="D911" s="101"/>
      <c r="E911" s="101"/>
      <c r="F911" s="101"/>
      <c r="G911" s="101"/>
      <c r="H911" s="101"/>
      <c r="I911" s="101"/>
      <c r="J911" s="142"/>
      <c r="K911" s="101"/>
      <c r="L911" s="101"/>
      <c r="M911" s="101"/>
      <c r="N911" s="101"/>
      <c r="O911" s="101"/>
      <c r="P911" s="101"/>
      <c r="Q911" s="101"/>
      <c r="R911" s="101"/>
      <c r="S911" s="101"/>
      <c r="T911" s="101"/>
      <c r="U911" s="101"/>
      <c r="V911" s="101"/>
      <c r="W911" s="101"/>
      <c r="X911" s="101"/>
      <c r="Y911" s="101"/>
      <c r="Z911" s="101"/>
      <c r="AA911" s="101"/>
      <c r="AB911" s="101"/>
      <c r="AC911" s="101"/>
      <c r="AD911" s="101"/>
    </row>
    <row r="912" ht="30.0" customHeight="1">
      <c r="A912" s="141"/>
      <c r="B912" s="101"/>
      <c r="C912" s="101"/>
      <c r="D912" s="101"/>
      <c r="E912" s="101"/>
      <c r="F912" s="101"/>
      <c r="G912" s="101"/>
      <c r="H912" s="101"/>
      <c r="I912" s="101"/>
      <c r="J912" s="142"/>
      <c r="K912" s="101"/>
      <c r="L912" s="101"/>
      <c r="M912" s="101"/>
      <c r="N912" s="101"/>
      <c r="O912" s="101"/>
      <c r="P912" s="101"/>
      <c r="Q912" s="101"/>
      <c r="R912" s="101"/>
      <c r="S912" s="101"/>
      <c r="T912" s="101"/>
      <c r="U912" s="101"/>
      <c r="V912" s="101"/>
      <c r="W912" s="101"/>
      <c r="X912" s="101"/>
      <c r="Y912" s="101"/>
      <c r="Z912" s="101"/>
      <c r="AA912" s="101"/>
      <c r="AB912" s="101"/>
      <c r="AC912" s="101"/>
      <c r="AD912" s="101"/>
    </row>
    <row r="913" ht="30.0" customHeight="1">
      <c r="A913" s="141"/>
      <c r="B913" s="101"/>
      <c r="C913" s="101"/>
      <c r="D913" s="101"/>
      <c r="E913" s="101"/>
      <c r="F913" s="101"/>
      <c r="G913" s="101"/>
      <c r="H913" s="101"/>
      <c r="I913" s="101"/>
      <c r="J913" s="142"/>
      <c r="K913" s="101"/>
      <c r="L913" s="101"/>
      <c r="M913" s="101"/>
      <c r="N913" s="101"/>
      <c r="O913" s="101"/>
      <c r="P913" s="101"/>
      <c r="Q913" s="101"/>
      <c r="R913" s="101"/>
      <c r="S913" s="101"/>
      <c r="T913" s="101"/>
      <c r="U913" s="101"/>
      <c r="V913" s="101"/>
      <c r="W913" s="101"/>
      <c r="X913" s="101"/>
      <c r="Y913" s="101"/>
      <c r="Z913" s="101"/>
      <c r="AA913" s="101"/>
      <c r="AB913" s="101"/>
      <c r="AC913" s="101"/>
      <c r="AD913" s="101"/>
    </row>
    <row r="914" ht="30.0" customHeight="1">
      <c r="A914" s="141"/>
      <c r="B914" s="101"/>
      <c r="C914" s="101"/>
      <c r="D914" s="101"/>
      <c r="E914" s="101"/>
      <c r="F914" s="101"/>
      <c r="G914" s="101"/>
      <c r="H914" s="101"/>
      <c r="I914" s="101"/>
      <c r="J914" s="142"/>
      <c r="K914" s="101"/>
      <c r="L914" s="101"/>
      <c r="M914" s="101"/>
      <c r="N914" s="101"/>
      <c r="O914" s="101"/>
      <c r="P914" s="101"/>
      <c r="Q914" s="101"/>
      <c r="R914" s="101"/>
      <c r="S914" s="101"/>
      <c r="T914" s="101"/>
      <c r="U914" s="101"/>
      <c r="V914" s="101"/>
      <c r="W914" s="101"/>
      <c r="X914" s="101"/>
      <c r="Y914" s="101"/>
      <c r="Z914" s="101"/>
      <c r="AA914" s="101"/>
      <c r="AB914" s="101"/>
      <c r="AC914" s="101"/>
      <c r="AD914" s="101"/>
    </row>
    <row r="915" ht="30.0" customHeight="1">
      <c r="A915" s="141"/>
      <c r="B915" s="101"/>
      <c r="C915" s="101"/>
      <c r="D915" s="101"/>
      <c r="E915" s="101"/>
      <c r="F915" s="101"/>
      <c r="G915" s="101"/>
      <c r="H915" s="101"/>
      <c r="I915" s="101"/>
      <c r="J915" s="142"/>
      <c r="K915" s="101"/>
      <c r="L915" s="101"/>
      <c r="M915" s="101"/>
      <c r="N915" s="101"/>
      <c r="O915" s="101"/>
      <c r="P915" s="101"/>
      <c r="Q915" s="101"/>
      <c r="R915" s="101"/>
      <c r="S915" s="101"/>
      <c r="T915" s="101"/>
      <c r="U915" s="101"/>
      <c r="V915" s="101"/>
      <c r="W915" s="101"/>
      <c r="X915" s="101"/>
      <c r="Y915" s="101"/>
      <c r="Z915" s="101"/>
      <c r="AA915" s="101"/>
      <c r="AB915" s="101"/>
      <c r="AC915" s="101"/>
      <c r="AD915" s="101"/>
    </row>
    <row r="916" ht="30.0" customHeight="1">
      <c r="A916" s="141"/>
      <c r="B916" s="101"/>
      <c r="C916" s="101"/>
      <c r="D916" s="101"/>
      <c r="E916" s="101"/>
      <c r="F916" s="101"/>
      <c r="G916" s="101"/>
      <c r="H916" s="101"/>
      <c r="I916" s="101"/>
      <c r="J916" s="142"/>
      <c r="K916" s="101"/>
      <c r="L916" s="101"/>
      <c r="M916" s="101"/>
      <c r="N916" s="101"/>
      <c r="O916" s="101"/>
      <c r="P916" s="101"/>
      <c r="Q916" s="101"/>
      <c r="R916" s="101"/>
      <c r="S916" s="101"/>
      <c r="T916" s="101"/>
      <c r="U916" s="101"/>
      <c r="V916" s="101"/>
      <c r="W916" s="101"/>
      <c r="X916" s="101"/>
      <c r="Y916" s="101"/>
      <c r="Z916" s="101"/>
      <c r="AA916" s="101"/>
      <c r="AB916" s="101"/>
      <c r="AC916" s="101"/>
      <c r="AD916" s="101"/>
    </row>
    <row r="917" ht="30.0" customHeight="1">
      <c r="A917" s="141"/>
      <c r="B917" s="101"/>
      <c r="C917" s="101"/>
      <c r="D917" s="101"/>
      <c r="E917" s="101"/>
      <c r="F917" s="101"/>
      <c r="G917" s="101"/>
      <c r="H917" s="101"/>
      <c r="I917" s="101"/>
      <c r="J917" s="142"/>
      <c r="K917" s="101"/>
      <c r="L917" s="101"/>
      <c r="M917" s="101"/>
      <c r="N917" s="101"/>
      <c r="O917" s="101"/>
      <c r="P917" s="101"/>
      <c r="Q917" s="101"/>
      <c r="R917" s="101"/>
      <c r="S917" s="101"/>
      <c r="T917" s="101"/>
      <c r="U917" s="101"/>
      <c r="V917" s="101"/>
      <c r="W917" s="101"/>
      <c r="X917" s="101"/>
      <c r="Y917" s="101"/>
      <c r="Z917" s="101"/>
      <c r="AA917" s="101"/>
      <c r="AB917" s="101"/>
      <c r="AC917" s="101"/>
      <c r="AD917" s="101"/>
    </row>
    <row r="918" ht="30.0" customHeight="1">
      <c r="A918" s="141"/>
      <c r="B918" s="101"/>
      <c r="C918" s="101"/>
      <c r="D918" s="101"/>
      <c r="E918" s="101"/>
      <c r="F918" s="101"/>
      <c r="G918" s="101"/>
      <c r="H918" s="101"/>
      <c r="I918" s="101"/>
      <c r="J918" s="142"/>
      <c r="K918" s="101"/>
      <c r="L918" s="101"/>
      <c r="M918" s="101"/>
      <c r="N918" s="101"/>
      <c r="O918" s="101"/>
      <c r="P918" s="101"/>
      <c r="Q918" s="101"/>
      <c r="R918" s="101"/>
      <c r="S918" s="101"/>
      <c r="T918" s="101"/>
      <c r="U918" s="101"/>
      <c r="V918" s="101"/>
      <c r="W918" s="101"/>
      <c r="X918" s="101"/>
      <c r="Y918" s="101"/>
      <c r="Z918" s="101"/>
      <c r="AA918" s="101"/>
      <c r="AB918" s="101"/>
      <c r="AC918" s="101"/>
      <c r="AD918" s="101"/>
    </row>
    <row r="919" ht="30.0" customHeight="1">
      <c r="A919" s="141"/>
      <c r="B919" s="101"/>
      <c r="C919" s="101"/>
      <c r="D919" s="101"/>
      <c r="E919" s="101"/>
      <c r="F919" s="101"/>
      <c r="G919" s="101"/>
      <c r="H919" s="101"/>
      <c r="I919" s="101"/>
      <c r="J919" s="142"/>
      <c r="K919" s="101"/>
      <c r="L919" s="101"/>
      <c r="M919" s="101"/>
      <c r="N919" s="101"/>
      <c r="O919" s="101"/>
      <c r="P919" s="101"/>
      <c r="Q919" s="101"/>
      <c r="R919" s="101"/>
      <c r="S919" s="101"/>
      <c r="T919" s="101"/>
      <c r="U919" s="101"/>
      <c r="V919" s="101"/>
      <c r="W919" s="101"/>
      <c r="X919" s="101"/>
      <c r="Y919" s="101"/>
      <c r="Z919" s="101"/>
      <c r="AA919" s="101"/>
      <c r="AB919" s="101"/>
      <c r="AC919" s="101"/>
      <c r="AD919" s="101"/>
    </row>
    <row r="920" ht="30.0" customHeight="1">
      <c r="A920" s="141"/>
      <c r="B920" s="101"/>
      <c r="C920" s="101"/>
      <c r="D920" s="101"/>
      <c r="E920" s="101"/>
      <c r="F920" s="101"/>
      <c r="G920" s="101"/>
      <c r="H920" s="101"/>
      <c r="I920" s="101"/>
      <c r="J920" s="142"/>
      <c r="K920" s="101"/>
      <c r="L920" s="101"/>
      <c r="M920" s="101"/>
      <c r="N920" s="101"/>
      <c r="O920" s="101"/>
      <c r="P920" s="101"/>
      <c r="Q920" s="101"/>
      <c r="R920" s="101"/>
      <c r="S920" s="101"/>
      <c r="T920" s="101"/>
      <c r="U920" s="101"/>
      <c r="V920" s="101"/>
      <c r="W920" s="101"/>
      <c r="X920" s="101"/>
      <c r="Y920" s="101"/>
      <c r="Z920" s="101"/>
      <c r="AA920" s="101"/>
      <c r="AB920" s="101"/>
      <c r="AC920" s="101"/>
      <c r="AD920" s="101"/>
    </row>
    <row r="921" ht="30.0" customHeight="1">
      <c r="A921" s="141"/>
      <c r="B921" s="101"/>
      <c r="C921" s="101"/>
      <c r="D921" s="101"/>
      <c r="E921" s="101"/>
      <c r="F921" s="101"/>
      <c r="G921" s="101"/>
      <c r="H921" s="101"/>
      <c r="I921" s="101"/>
      <c r="J921" s="142"/>
      <c r="K921" s="101"/>
      <c r="L921" s="101"/>
      <c r="M921" s="101"/>
      <c r="N921" s="101"/>
      <c r="O921" s="101"/>
      <c r="P921" s="101"/>
      <c r="Q921" s="101"/>
      <c r="R921" s="101"/>
      <c r="S921" s="101"/>
      <c r="T921" s="101"/>
      <c r="U921" s="101"/>
      <c r="V921" s="101"/>
      <c r="W921" s="101"/>
      <c r="X921" s="101"/>
      <c r="Y921" s="101"/>
      <c r="Z921" s="101"/>
      <c r="AA921" s="101"/>
      <c r="AB921" s="101"/>
      <c r="AC921" s="101"/>
      <c r="AD921" s="101"/>
    </row>
    <row r="922" ht="30.0" customHeight="1">
      <c r="A922" s="141"/>
      <c r="B922" s="101"/>
      <c r="C922" s="101"/>
      <c r="D922" s="101"/>
      <c r="E922" s="101"/>
      <c r="F922" s="101"/>
      <c r="G922" s="101"/>
      <c r="H922" s="101"/>
      <c r="I922" s="101"/>
      <c r="J922" s="142"/>
      <c r="K922" s="101"/>
      <c r="L922" s="101"/>
      <c r="M922" s="101"/>
      <c r="N922" s="101"/>
      <c r="O922" s="101"/>
      <c r="P922" s="101"/>
      <c r="Q922" s="101"/>
      <c r="R922" s="101"/>
      <c r="S922" s="101"/>
      <c r="T922" s="101"/>
      <c r="U922" s="101"/>
      <c r="V922" s="101"/>
      <c r="W922" s="101"/>
      <c r="X922" s="101"/>
      <c r="Y922" s="101"/>
      <c r="Z922" s="101"/>
      <c r="AA922" s="101"/>
      <c r="AB922" s="101"/>
      <c r="AC922" s="101"/>
      <c r="AD922" s="101"/>
    </row>
    <row r="923" ht="30.0" customHeight="1">
      <c r="A923" s="141"/>
      <c r="B923" s="101"/>
      <c r="C923" s="101"/>
      <c r="D923" s="101"/>
      <c r="E923" s="101"/>
      <c r="F923" s="101"/>
      <c r="G923" s="101"/>
      <c r="H923" s="101"/>
      <c r="I923" s="101"/>
      <c r="J923" s="142"/>
      <c r="K923" s="101"/>
      <c r="L923" s="101"/>
      <c r="M923" s="101"/>
      <c r="N923" s="101"/>
      <c r="O923" s="101"/>
      <c r="P923" s="101"/>
      <c r="Q923" s="101"/>
      <c r="R923" s="101"/>
      <c r="S923" s="101"/>
      <c r="T923" s="101"/>
      <c r="U923" s="101"/>
      <c r="V923" s="101"/>
      <c r="W923" s="101"/>
      <c r="X923" s="101"/>
      <c r="Y923" s="101"/>
      <c r="Z923" s="101"/>
      <c r="AA923" s="101"/>
      <c r="AB923" s="101"/>
      <c r="AC923" s="101"/>
      <c r="AD923" s="101"/>
    </row>
    <row r="924" ht="30.0" customHeight="1">
      <c r="A924" s="141"/>
      <c r="B924" s="101"/>
      <c r="C924" s="101"/>
      <c r="D924" s="101"/>
      <c r="E924" s="101"/>
      <c r="F924" s="101"/>
      <c r="G924" s="101"/>
      <c r="H924" s="101"/>
      <c r="I924" s="101"/>
      <c r="J924" s="142"/>
      <c r="K924" s="101"/>
      <c r="L924" s="101"/>
      <c r="M924" s="101"/>
      <c r="N924" s="101"/>
      <c r="O924" s="101"/>
      <c r="P924" s="101"/>
      <c r="Q924" s="101"/>
      <c r="R924" s="101"/>
      <c r="S924" s="101"/>
      <c r="T924" s="101"/>
      <c r="U924" s="101"/>
      <c r="V924" s="101"/>
      <c r="W924" s="101"/>
      <c r="X924" s="101"/>
      <c r="Y924" s="101"/>
      <c r="Z924" s="101"/>
      <c r="AA924" s="101"/>
      <c r="AB924" s="101"/>
      <c r="AC924" s="101"/>
      <c r="AD924" s="101"/>
    </row>
    <row r="925" ht="30.0" customHeight="1">
      <c r="A925" s="141"/>
      <c r="B925" s="101"/>
      <c r="C925" s="101"/>
      <c r="D925" s="101"/>
      <c r="E925" s="101"/>
      <c r="F925" s="101"/>
      <c r="G925" s="101"/>
      <c r="H925" s="101"/>
      <c r="I925" s="101"/>
      <c r="J925" s="142"/>
      <c r="K925" s="101"/>
      <c r="L925" s="101"/>
      <c r="M925" s="101"/>
      <c r="N925" s="101"/>
      <c r="O925" s="101"/>
      <c r="P925" s="101"/>
      <c r="Q925" s="101"/>
      <c r="R925" s="101"/>
      <c r="S925" s="101"/>
      <c r="T925" s="101"/>
      <c r="U925" s="101"/>
      <c r="V925" s="101"/>
      <c r="W925" s="101"/>
      <c r="X925" s="101"/>
      <c r="Y925" s="101"/>
      <c r="Z925" s="101"/>
      <c r="AA925" s="101"/>
      <c r="AB925" s="101"/>
      <c r="AC925" s="101"/>
      <c r="AD925" s="101"/>
    </row>
    <row r="926" ht="30.0" customHeight="1">
      <c r="A926" s="141"/>
      <c r="B926" s="101"/>
      <c r="C926" s="101"/>
      <c r="D926" s="101"/>
      <c r="E926" s="101"/>
      <c r="F926" s="101"/>
      <c r="G926" s="101"/>
      <c r="H926" s="101"/>
      <c r="I926" s="101"/>
      <c r="J926" s="142"/>
      <c r="K926" s="101"/>
      <c r="L926" s="101"/>
      <c r="M926" s="101"/>
      <c r="N926" s="101"/>
      <c r="O926" s="101"/>
      <c r="P926" s="101"/>
      <c r="Q926" s="101"/>
      <c r="R926" s="101"/>
      <c r="S926" s="101"/>
      <c r="T926" s="101"/>
      <c r="U926" s="101"/>
      <c r="V926" s="101"/>
      <c r="W926" s="101"/>
      <c r="X926" s="101"/>
      <c r="Y926" s="101"/>
      <c r="Z926" s="101"/>
      <c r="AA926" s="101"/>
      <c r="AB926" s="101"/>
      <c r="AC926" s="101"/>
      <c r="AD926" s="101"/>
    </row>
    <row r="927" ht="30.0" customHeight="1">
      <c r="A927" s="141"/>
      <c r="B927" s="101"/>
      <c r="C927" s="101"/>
      <c r="D927" s="101"/>
      <c r="E927" s="101"/>
      <c r="F927" s="101"/>
      <c r="G927" s="101"/>
      <c r="H927" s="101"/>
      <c r="I927" s="101"/>
      <c r="J927" s="142"/>
      <c r="K927" s="101"/>
      <c r="L927" s="101"/>
      <c r="M927" s="101"/>
      <c r="N927" s="101"/>
      <c r="O927" s="101"/>
      <c r="P927" s="101"/>
      <c r="Q927" s="101"/>
      <c r="R927" s="101"/>
      <c r="S927" s="101"/>
      <c r="T927" s="101"/>
      <c r="U927" s="101"/>
      <c r="V927" s="101"/>
      <c r="W927" s="101"/>
      <c r="X927" s="101"/>
      <c r="Y927" s="101"/>
      <c r="Z927" s="101"/>
      <c r="AA927" s="101"/>
      <c r="AB927" s="101"/>
      <c r="AC927" s="101"/>
      <c r="AD927" s="101"/>
    </row>
    <row r="928" ht="30.0" customHeight="1">
      <c r="A928" s="141"/>
      <c r="B928" s="101"/>
      <c r="C928" s="101"/>
      <c r="D928" s="101"/>
      <c r="E928" s="101"/>
      <c r="F928" s="101"/>
      <c r="G928" s="101"/>
      <c r="H928" s="101"/>
      <c r="I928" s="101"/>
      <c r="J928" s="142"/>
      <c r="K928" s="101"/>
      <c r="L928" s="101"/>
      <c r="M928" s="101"/>
      <c r="N928" s="101"/>
      <c r="O928" s="101"/>
      <c r="P928" s="101"/>
      <c r="Q928" s="101"/>
      <c r="R928" s="101"/>
      <c r="S928" s="101"/>
      <c r="T928" s="101"/>
      <c r="U928" s="101"/>
      <c r="V928" s="101"/>
      <c r="W928" s="101"/>
      <c r="X928" s="101"/>
      <c r="Y928" s="101"/>
      <c r="Z928" s="101"/>
      <c r="AA928" s="101"/>
      <c r="AB928" s="101"/>
      <c r="AC928" s="101"/>
      <c r="AD928" s="101"/>
    </row>
    <row r="929" ht="30.0" customHeight="1">
      <c r="A929" s="141"/>
      <c r="B929" s="101"/>
      <c r="C929" s="101"/>
      <c r="D929" s="101"/>
      <c r="E929" s="101"/>
      <c r="F929" s="101"/>
      <c r="G929" s="101"/>
      <c r="H929" s="101"/>
      <c r="I929" s="101"/>
      <c r="J929" s="142"/>
      <c r="K929" s="101"/>
      <c r="L929" s="101"/>
      <c r="M929" s="101"/>
      <c r="N929" s="101"/>
      <c r="O929" s="101"/>
      <c r="P929" s="101"/>
      <c r="Q929" s="101"/>
      <c r="R929" s="101"/>
      <c r="S929" s="101"/>
      <c r="T929" s="101"/>
      <c r="U929" s="101"/>
      <c r="V929" s="101"/>
      <c r="W929" s="101"/>
      <c r="X929" s="101"/>
      <c r="Y929" s="101"/>
      <c r="Z929" s="101"/>
      <c r="AA929" s="101"/>
      <c r="AB929" s="101"/>
      <c r="AC929" s="101"/>
      <c r="AD929" s="101"/>
    </row>
    <row r="930" ht="30.0" customHeight="1">
      <c r="A930" s="141"/>
      <c r="B930" s="101"/>
      <c r="C930" s="101"/>
      <c r="D930" s="101"/>
      <c r="E930" s="101"/>
      <c r="F930" s="101"/>
      <c r="G930" s="101"/>
      <c r="H930" s="101"/>
      <c r="I930" s="101"/>
      <c r="J930" s="142"/>
      <c r="K930" s="101"/>
      <c r="L930" s="101"/>
      <c r="M930" s="101"/>
      <c r="N930" s="101"/>
      <c r="O930" s="101"/>
      <c r="P930" s="101"/>
      <c r="Q930" s="101"/>
      <c r="R930" s="101"/>
      <c r="S930" s="101"/>
      <c r="T930" s="101"/>
      <c r="U930" s="101"/>
      <c r="V930" s="101"/>
      <c r="W930" s="101"/>
      <c r="X930" s="101"/>
      <c r="Y930" s="101"/>
      <c r="Z930" s="101"/>
      <c r="AA930" s="101"/>
      <c r="AB930" s="101"/>
      <c r="AC930" s="101"/>
      <c r="AD930" s="101"/>
    </row>
    <row r="931" ht="30.0" customHeight="1">
      <c r="A931" s="141"/>
      <c r="B931" s="101"/>
      <c r="C931" s="101"/>
      <c r="D931" s="101"/>
      <c r="E931" s="101"/>
      <c r="F931" s="101"/>
      <c r="G931" s="101"/>
      <c r="H931" s="101"/>
      <c r="I931" s="101"/>
      <c r="J931" s="142"/>
      <c r="K931" s="101"/>
      <c r="L931" s="101"/>
      <c r="M931" s="101"/>
      <c r="N931" s="101"/>
      <c r="O931" s="101"/>
      <c r="P931" s="101"/>
      <c r="Q931" s="101"/>
      <c r="R931" s="101"/>
      <c r="S931" s="101"/>
      <c r="T931" s="101"/>
      <c r="U931" s="101"/>
      <c r="V931" s="101"/>
      <c r="W931" s="101"/>
      <c r="X931" s="101"/>
      <c r="Y931" s="101"/>
      <c r="Z931" s="101"/>
      <c r="AA931" s="101"/>
      <c r="AB931" s="101"/>
      <c r="AC931" s="101"/>
      <c r="AD931" s="101"/>
    </row>
    <row r="932" ht="30.0" customHeight="1">
      <c r="A932" s="141"/>
      <c r="B932" s="101"/>
      <c r="C932" s="101"/>
      <c r="D932" s="101"/>
      <c r="E932" s="101"/>
      <c r="F932" s="101"/>
      <c r="G932" s="101"/>
      <c r="H932" s="101"/>
      <c r="I932" s="101"/>
      <c r="J932" s="142"/>
      <c r="K932" s="101"/>
      <c r="L932" s="101"/>
      <c r="M932" s="101"/>
      <c r="N932" s="101"/>
      <c r="O932" s="101"/>
      <c r="P932" s="101"/>
      <c r="Q932" s="101"/>
      <c r="R932" s="101"/>
      <c r="S932" s="101"/>
      <c r="T932" s="101"/>
      <c r="U932" s="101"/>
      <c r="V932" s="101"/>
      <c r="W932" s="101"/>
      <c r="X932" s="101"/>
      <c r="Y932" s="101"/>
      <c r="Z932" s="101"/>
      <c r="AA932" s="101"/>
      <c r="AB932" s="101"/>
      <c r="AC932" s="101"/>
      <c r="AD932" s="101"/>
    </row>
    <row r="933" ht="30.0" customHeight="1">
      <c r="A933" s="141"/>
      <c r="B933" s="101"/>
      <c r="C933" s="101"/>
      <c r="D933" s="101"/>
      <c r="E933" s="101"/>
      <c r="F933" s="101"/>
      <c r="G933" s="101"/>
      <c r="H933" s="101"/>
      <c r="I933" s="101"/>
      <c r="J933" s="142"/>
      <c r="K933" s="101"/>
      <c r="L933" s="101"/>
      <c r="M933" s="101"/>
      <c r="N933" s="101"/>
      <c r="O933" s="101"/>
      <c r="P933" s="101"/>
      <c r="Q933" s="101"/>
      <c r="R933" s="101"/>
      <c r="S933" s="101"/>
      <c r="T933" s="101"/>
      <c r="U933" s="101"/>
      <c r="V933" s="101"/>
      <c r="W933" s="101"/>
      <c r="X933" s="101"/>
      <c r="Y933" s="101"/>
      <c r="Z933" s="101"/>
      <c r="AA933" s="101"/>
      <c r="AB933" s="101"/>
      <c r="AC933" s="101"/>
      <c r="AD933" s="101"/>
    </row>
    <row r="934" ht="30.0" customHeight="1">
      <c r="A934" s="141"/>
      <c r="B934" s="101"/>
      <c r="C934" s="101"/>
      <c r="D934" s="101"/>
      <c r="E934" s="101"/>
      <c r="F934" s="101"/>
      <c r="G934" s="101"/>
      <c r="H934" s="101"/>
      <c r="I934" s="101"/>
      <c r="J934" s="142"/>
      <c r="K934" s="101"/>
      <c r="L934" s="101"/>
      <c r="M934" s="101"/>
      <c r="N934" s="101"/>
      <c r="O934" s="101"/>
      <c r="P934" s="101"/>
      <c r="Q934" s="101"/>
      <c r="R934" s="101"/>
      <c r="S934" s="101"/>
      <c r="T934" s="101"/>
      <c r="U934" s="101"/>
      <c r="V934" s="101"/>
      <c r="W934" s="101"/>
      <c r="X934" s="101"/>
      <c r="Y934" s="101"/>
      <c r="Z934" s="101"/>
      <c r="AA934" s="101"/>
      <c r="AB934" s="101"/>
      <c r="AC934" s="101"/>
      <c r="AD934" s="101"/>
    </row>
    <row r="935" ht="30.0" customHeight="1">
      <c r="A935" s="141"/>
      <c r="B935" s="101"/>
      <c r="C935" s="101"/>
      <c r="D935" s="101"/>
      <c r="E935" s="101"/>
      <c r="F935" s="101"/>
      <c r="G935" s="101"/>
      <c r="H935" s="101"/>
      <c r="I935" s="101"/>
      <c r="J935" s="142"/>
      <c r="K935" s="101"/>
      <c r="L935" s="101"/>
      <c r="M935" s="101"/>
      <c r="N935" s="101"/>
      <c r="O935" s="101"/>
      <c r="P935" s="101"/>
      <c r="Q935" s="101"/>
      <c r="R935" s="101"/>
      <c r="S935" s="101"/>
      <c r="T935" s="101"/>
      <c r="U935" s="101"/>
      <c r="V935" s="101"/>
      <c r="W935" s="101"/>
      <c r="X935" s="101"/>
      <c r="Y935" s="101"/>
      <c r="Z935" s="101"/>
      <c r="AA935" s="101"/>
      <c r="AB935" s="101"/>
      <c r="AC935" s="101"/>
      <c r="AD935" s="101"/>
    </row>
    <row r="936" ht="30.0" customHeight="1">
      <c r="A936" s="141"/>
      <c r="B936" s="101"/>
      <c r="C936" s="101"/>
      <c r="D936" s="101"/>
      <c r="E936" s="101"/>
      <c r="F936" s="101"/>
      <c r="G936" s="101"/>
      <c r="H936" s="101"/>
      <c r="I936" s="101"/>
      <c r="J936" s="142"/>
      <c r="K936" s="101"/>
      <c r="L936" s="101"/>
      <c r="M936" s="101"/>
      <c r="N936" s="101"/>
      <c r="O936" s="101"/>
      <c r="P936" s="101"/>
      <c r="Q936" s="101"/>
      <c r="R936" s="101"/>
      <c r="S936" s="101"/>
      <c r="T936" s="101"/>
      <c r="U936" s="101"/>
      <c r="V936" s="101"/>
      <c r="W936" s="101"/>
      <c r="X936" s="101"/>
      <c r="Y936" s="101"/>
      <c r="Z936" s="101"/>
      <c r="AA936" s="101"/>
      <c r="AB936" s="101"/>
      <c r="AC936" s="101"/>
      <c r="AD936" s="101"/>
    </row>
    <row r="937" ht="30.0" customHeight="1">
      <c r="A937" s="141"/>
      <c r="B937" s="101"/>
      <c r="C937" s="101"/>
      <c r="D937" s="101"/>
      <c r="E937" s="101"/>
      <c r="F937" s="101"/>
      <c r="G937" s="101"/>
      <c r="H937" s="101"/>
      <c r="I937" s="101"/>
      <c r="J937" s="142"/>
      <c r="K937" s="101"/>
      <c r="L937" s="101"/>
      <c r="M937" s="101"/>
      <c r="N937" s="101"/>
      <c r="O937" s="101"/>
      <c r="P937" s="101"/>
      <c r="Q937" s="101"/>
      <c r="R937" s="101"/>
      <c r="S937" s="101"/>
      <c r="T937" s="101"/>
      <c r="U937" s="101"/>
      <c r="V937" s="101"/>
      <c r="W937" s="101"/>
      <c r="X937" s="101"/>
      <c r="Y937" s="101"/>
      <c r="Z937" s="101"/>
      <c r="AA937" s="101"/>
      <c r="AB937" s="101"/>
      <c r="AC937" s="101"/>
      <c r="AD937" s="101"/>
    </row>
    <row r="938" ht="30.0" customHeight="1">
      <c r="A938" s="141"/>
      <c r="B938" s="101"/>
      <c r="C938" s="101"/>
      <c r="D938" s="101"/>
      <c r="E938" s="101"/>
      <c r="F938" s="101"/>
      <c r="G938" s="101"/>
      <c r="H938" s="101"/>
      <c r="I938" s="101"/>
      <c r="J938" s="142"/>
      <c r="K938" s="101"/>
      <c r="L938" s="101"/>
      <c r="M938" s="101"/>
      <c r="N938" s="101"/>
      <c r="O938" s="101"/>
      <c r="P938" s="101"/>
      <c r="Q938" s="101"/>
      <c r="R938" s="101"/>
      <c r="S938" s="101"/>
      <c r="T938" s="101"/>
      <c r="U938" s="101"/>
      <c r="V938" s="101"/>
      <c r="W938" s="101"/>
      <c r="X938" s="101"/>
      <c r="Y938" s="101"/>
      <c r="Z938" s="101"/>
      <c r="AA938" s="101"/>
      <c r="AB938" s="101"/>
      <c r="AC938" s="101"/>
      <c r="AD938" s="101"/>
    </row>
    <row r="939" ht="30.0" customHeight="1">
      <c r="A939" s="141"/>
      <c r="B939" s="101"/>
      <c r="C939" s="101"/>
      <c r="D939" s="101"/>
      <c r="E939" s="101"/>
      <c r="F939" s="101"/>
      <c r="G939" s="101"/>
      <c r="H939" s="101"/>
      <c r="I939" s="101"/>
      <c r="J939" s="142"/>
      <c r="K939" s="101"/>
      <c r="L939" s="101"/>
      <c r="M939" s="101"/>
      <c r="N939" s="101"/>
      <c r="O939" s="101"/>
      <c r="P939" s="101"/>
      <c r="Q939" s="101"/>
      <c r="R939" s="101"/>
      <c r="S939" s="101"/>
      <c r="T939" s="101"/>
      <c r="U939" s="101"/>
      <c r="V939" s="101"/>
      <c r="W939" s="101"/>
      <c r="X939" s="101"/>
      <c r="Y939" s="101"/>
      <c r="Z939" s="101"/>
      <c r="AA939" s="101"/>
      <c r="AB939" s="101"/>
      <c r="AC939" s="101"/>
      <c r="AD939" s="101"/>
    </row>
    <row r="940" ht="30.0" customHeight="1">
      <c r="A940" s="141"/>
      <c r="B940" s="101"/>
      <c r="C940" s="101"/>
      <c r="D940" s="101"/>
      <c r="E940" s="101"/>
      <c r="F940" s="101"/>
      <c r="G940" s="101"/>
      <c r="H940" s="101"/>
      <c r="I940" s="101"/>
      <c r="J940" s="142"/>
      <c r="K940" s="101"/>
      <c r="L940" s="101"/>
      <c r="M940" s="101"/>
      <c r="N940" s="101"/>
      <c r="O940" s="101"/>
      <c r="P940" s="101"/>
      <c r="Q940" s="101"/>
      <c r="R940" s="101"/>
      <c r="S940" s="101"/>
      <c r="T940" s="101"/>
      <c r="U940" s="101"/>
      <c r="V940" s="101"/>
      <c r="W940" s="101"/>
      <c r="X940" s="101"/>
      <c r="Y940" s="101"/>
      <c r="Z940" s="101"/>
      <c r="AA940" s="101"/>
      <c r="AB940" s="101"/>
      <c r="AC940" s="101"/>
      <c r="AD940" s="101"/>
    </row>
    <row r="941" ht="30.0" customHeight="1">
      <c r="A941" s="141"/>
      <c r="B941" s="101"/>
      <c r="C941" s="101"/>
      <c r="D941" s="101"/>
      <c r="E941" s="101"/>
      <c r="F941" s="101"/>
      <c r="G941" s="101"/>
      <c r="H941" s="101"/>
      <c r="I941" s="101"/>
      <c r="J941" s="142"/>
      <c r="K941" s="101"/>
      <c r="L941" s="101"/>
      <c r="M941" s="101"/>
      <c r="N941" s="101"/>
      <c r="O941" s="101"/>
      <c r="P941" s="101"/>
      <c r="Q941" s="101"/>
      <c r="R941" s="101"/>
      <c r="S941" s="101"/>
      <c r="T941" s="101"/>
      <c r="U941" s="101"/>
      <c r="V941" s="101"/>
      <c r="W941" s="101"/>
      <c r="X941" s="101"/>
      <c r="Y941" s="101"/>
      <c r="Z941" s="101"/>
      <c r="AA941" s="101"/>
      <c r="AB941" s="101"/>
      <c r="AC941" s="101"/>
      <c r="AD941" s="101"/>
    </row>
    <row r="942" ht="30.0" customHeight="1">
      <c r="A942" s="141"/>
      <c r="B942" s="101"/>
      <c r="C942" s="101"/>
      <c r="D942" s="101"/>
      <c r="E942" s="101"/>
      <c r="F942" s="101"/>
      <c r="G942" s="101"/>
      <c r="H942" s="101"/>
      <c r="I942" s="101"/>
      <c r="J942" s="142"/>
      <c r="K942" s="101"/>
      <c r="L942" s="101"/>
      <c r="M942" s="101"/>
      <c r="N942" s="101"/>
      <c r="O942" s="101"/>
      <c r="P942" s="101"/>
      <c r="Q942" s="101"/>
      <c r="R942" s="101"/>
      <c r="S942" s="101"/>
      <c r="T942" s="101"/>
      <c r="U942" s="101"/>
      <c r="V942" s="101"/>
      <c r="W942" s="101"/>
      <c r="X942" s="101"/>
      <c r="Y942" s="101"/>
      <c r="Z942" s="101"/>
      <c r="AA942" s="101"/>
      <c r="AB942" s="101"/>
      <c r="AC942" s="101"/>
      <c r="AD942" s="101"/>
    </row>
    <row r="943" ht="30.0" customHeight="1">
      <c r="A943" s="141"/>
      <c r="B943" s="101"/>
      <c r="C943" s="101"/>
      <c r="D943" s="101"/>
      <c r="E943" s="101"/>
      <c r="F943" s="101"/>
      <c r="G943" s="101"/>
      <c r="H943" s="101"/>
      <c r="I943" s="101"/>
      <c r="J943" s="142"/>
      <c r="K943" s="101"/>
      <c r="L943" s="101"/>
      <c r="M943" s="101"/>
      <c r="N943" s="101"/>
      <c r="O943" s="101"/>
      <c r="P943" s="101"/>
      <c r="Q943" s="101"/>
      <c r="R943" s="101"/>
      <c r="S943" s="101"/>
      <c r="T943" s="101"/>
      <c r="U943" s="101"/>
      <c r="V943" s="101"/>
      <c r="W943" s="101"/>
      <c r="X943" s="101"/>
      <c r="Y943" s="101"/>
      <c r="Z943" s="101"/>
      <c r="AA943" s="101"/>
      <c r="AB943" s="101"/>
      <c r="AC943" s="101"/>
      <c r="AD943" s="101"/>
    </row>
    <row r="944" ht="30.0" customHeight="1">
      <c r="A944" s="141"/>
      <c r="B944" s="101"/>
      <c r="C944" s="101"/>
      <c r="D944" s="101"/>
      <c r="E944" s="101"/>
      <c r="F944" s="101"/>
      <c r="G944" s="101"/>
      <c r="H944" s="101"/>
      <c r="I944" s="101"/>
      <c r="J944" s="142"/>
      <c r="K944" s="101"/>
      <c r="L944" s="101"/>
      <c r="M944" s="101"/>
      <c r="N944" s="101"/>
      <c r="O944" s="101"/>
      <c r="P944" s="101"/>
      <c r="Q944" s="101"/>
      <c r="R944" s="101"/>
      <c r="S944" s="101"/>
      <c r="T944" s="101"/>
      <c r="U944" s="101"/>
      <c r="V944" s="101"/>
      <c r="W944" s="101"/>
      <c r="X944" s="101"/>
      <c r="Y944" s="101"/>
      <c r="Z944" s="101"/>
      <c r="AA944" s="101"/>
      <c r="AB944" s="101"/>
      <c r="AC944" s="101"/>
      <c r="AD944" s="101"/>
    </row>
    <row r="945" ht="30.0" customHeight="1">
      <c r="A945" s="141"/>
      <c r="B945" s="101"/>
      <c r="C945" s="101"/>
      <c r="D945" s="101"/>
      <c r="E945" s="101"/>
      <c r="F945" s="101"/>
      <c r="G945" s="101"/>
      <c r="H945" s="101"/>
      <c r="I945" s="101"/>
      <c r="J945" s="142"/>
      <c r="K945" s="101"/>
      <c r="L945" s="101"/>
      <c r="M945" s="101"/>
      <c r="N945" s="101"/>
      <c r="O945" s="101"/>
      <c r="P945" s="101"/>
      <c r="Q945" s="101"/>
      <c r="R945" s="101"/>
      <c r="S945" s="101"/>
      <c r="T945" s="101"/>
      <c r="U945" s="101"/>
      <c r="V945" s="101"/>
      <c r="W945" s="101"/>
      <c r="X945" s="101"/>
      <c r="Y945" s="101"/>
      <c r="Z945" s="101"/>
      <c r="AA945" s="101"/>
      <c r="AB945" s="101"/>
      <c r="AC945" s="101"/>
      <c r="AD945" s="101"/>
    </row>
    <row r="946" ht="30.0" customHeight="1">
      <c r="A946" s="141"/>
      <c r="B946" s="101"/>
      <c r="C946" s="101"/>
      <c r="D946" s="101"/>
      <c r="E946" s="101"/>
      <c r="F946" s="101"/>
      <c r="G946" s="101"/>
      <c r="H946" s="101"/>
      <c r="I946" s="101"/>
      <c r="J946" s="142"/>
      <c r="K946" s="101"/>
      <c r="L946" s="101"/>
      <c r="M946" s="101"/>
      <c r="N946" s="101"/>
      <c r="O946" s="101"/>
      <c r="P946" s="101"/>
      <c r="Q946" s="101"/>
      <c r="R946" s="101"/>
      <c r="S946" s="101"/>
      <c r="T946" s="101"/>
      <c r="U946" s="101"/>
      <c r="V946" s="101"/>
      <c r="W946" s="101"/>
      <c r="X946" s="101"/>
      <c r="Y946" s="101"/>
      <c r="Z946" s="101"/>
      <c r="AA946" s="101"/>
      <c r="AB946" s="101"/>
      <c r="AC946" s="101"/>
      <c r="AD946" s="101"/>
    </row>
    <row r="947" ht="30.0" customHeight="1">
      <c r="A947" s="141"/>
      <c r="B947" s="101"/>
      <c r="C947" s="101"/>
      <c r="D947" s="101"/>
      <c r="E947" s="101"/>
      <c r="F947" s="101"/>
      <c r="G947" s="101"/>
      <c r="H947" s="101"/>
      <c r="I947" s="101"/>
      <c r="J947" s="142"/>
      <c r="K947" s="101"/>
      <c r="L947" s="101"/>
      <c r="M947" s="101"/>
      <c r="N947" s="101"/>
      <c r="O947" s="101"/>
      <c r="P947" s="101"/>
      <c r="Q947" s="101"/>
      <c r="R947" s="101"/>
      <c r="S947" s="101"/>
      <c r="T947" s="101"/>
      <c r="U947" s="101"/>
      <c r="V947" s="101"/>
      <c r="W947" s="101"/>
      <c r="X947" s="101"/>
      <c r="Y947" s="101"/>
      <c r="Z947" s="101"/>
      <c r="AA947" s="101"/>
      <c r="AB947" s="101"/>
      <c r="AC947" s="101"/>
      <c r="AD947" s="101"/>
    </row>
    <row r="948" ht="30.0" customHeight="1">
      <c r="A948" s="141"/>
      <c r="B948" s="101"/>
      <c r="C948" s="101"/>
      <c r="D948" s="101"/>
      <c r="E948" s="101"/>
      <c r="F948" s="101"/>
      <c r="G948" s="101"/>
      <c r="H948" s="101"/>
      <c r="I948" s="101"/>
      <c r="J948" s="142"/>
      <c r="K948" s="101"/>
      <c r="L948" s="101"/>
      <c r="M948" s="101"/>
      <c r="N948" s="101"/>
      <c r="O948" s="101"/>
      <c r="P948" s="101"/>
      <c r="Q948" s="101"/>
      <c r="R948" s="101"/>
      <c r="S948" s="101"/>
      <c r="T948" s="101"/>
      <c r="U948" s="101"/>
      <c r="V948" s="101"/>
      <c r="W948" s="101"/>
      <c r="X948" s="101"/>
      <c r="Y948" s="101"/>
      <c r="Z948" s="101"/>
      <c r="AA948" s="101"/>
      <c r="AB948" s="101"/>
      <c r="AC948" s="101"/>
      <c r="AD948" s="101"/>
    </row>
    <row r="949" ht="30.0" customHeight="1">
      <c r="A949" s="141"/>
      <c r="B949" s="101"/>
      <c r="C949" s="101"/>
      <c r="D949" s="101"/>
      <c r="E949" s="101"/>
      <c r="F949" s="101"/>
      <c r="G949" s="101"/>
      <c r="H949" s="101"/>
      <c r="I949" s="101"/>
      <c r="J949" s="142"/>
      <c r="K949" s="101"/>
      <c r="L949" s="101"/>
      <c r="M949" s="101"/>
      <c r="N949" s="101"/>
      <c r="O949" s="101"/>
      <c r="P949" s="101"/>
      <c r="Q949" s="101"/>
      <c r="R949" s="101"/>
      <c r="S949" s="101"/>
      <c r="T949" s="101"/>
      <c r="U949" s="101"/>
      <c r="V949" s="101"/>
      <c r="W949" s="101"/>
      <c r="X949" s="101"/>
      <c r="Y949" s="101"/>
      <c r="Z949" s="101"/>
      <c r="AA949" s="101"/>
      <c r="AB949" s="101"/>
      <c r="AC949" s="101"/>
      <c r="AD949" s="101"/>
    </row>
    <row r="950" ht="30.0" customHeight="1">
      <c r="A950" s="141"/>
      <c r="B950" s="101"/>
      <c r="C950" s="101"/>
      <c r="D950" s="101"/>
      <c r="E950" s="101"/>
      <c r="F950" s="101"/>
      <c r="G950" s="101"/>
      <c r="H950" s="101"/>
      <c r="I950" s="101"/>
      <c r="J950" s="142"/>
      <c r="K950" s="101"/>
      <c r="L950" s="101"/>
      <c r="M950" s="101"/>
      <c r="N950" s="101"/>
      <c r="O950" s="101"/>
      <c r="P950" s="101"/>
      <c r="Q950" s="101"/>
      <c r="R950" s="101"/>
      <c r="S950" s="101"/>
      <c r="T950" s="101"/>
      <c r="U950" s="101"/>
      <c r="V950" s="101"/>
      <c r="W950" s="101"/>
      <c r="X950" s="101"/>
      <c r="Y950" s="101"/>
      <c r="Z950" s="101"/>
      <c r="AA950" s="101"/>
      <c r="AB950" s="101"/>
      <c r="AC950" s="101"/>
      <c r="AD950" s="101"/>
    </row>
    <row r="951" ht="30.0" customHeight="1">
      <c r="A951" s="141"/>
      <c r="B951" s="101"/>
      <c r="C951" s="101"/>
      <c r="D951" s="101"/>
      <c r="E951" s="101"/>
      <c r="F951" s="101"/>
      <c r="G951" s="101"/>
      <c r="H951" s="101"/>
      <c r="I951" s="101"/>
      <c r="J951" s="142"/>
      <c r="K951" s="101"/>
      <c r="L951" s="101"/>
      <c r="M951" s="101"/>
      <c r="N951" s="101"/>
      <c r="O951" s="101"/>
      <c r="P951" s="101"/>
      <c r="Q951" s="101"/>
      <c r="R951" s="101"/>
      <c r="S951" s="101"/>
      <c r="T951" s="101"/>
      <c r="U951" s="101"/>
      <c r="V951" s="101"/>
      <c r="W951" s="101"/>
      <c r="X951" s="101"/>
      <c r="Y951" s="101"/>
      <c r="Z951" s="101"/>
      <c r="AA951" s="101"/>
      <c r="AB951" s="101"/>
      <c r="AC951" s="101"/>
      <c r="AD951" s="101"/>
    </row>
    <row r="952" ht="30.0" customHeight="1">
      <c r="A952" s="141"/>
      <c r="B952" s="101"/>
      <c r="C952" s="101"/>
      <c r="D952" s="101"/>
      <c r="E952" s="101"/>
      <c r="F952" s="101"/>
      <c r="G952" s="101"/>
      <c r="H952" s="101"/>
      <c r="I952" s="101"/>
      <c r="J952" s="142"/>
      <c r="K952" s="101"/>
      <c r="L952" s="101"/>
      <c r="M952" s="101"/>
      <c r="N952" s="101"/>
      <c r="O952" s="101"/>
      <c r="P952" s="101"/>
      <c r="Q952" s="101"/>
      <c r="R952" s="101"/>
      <c r="S952" s="101"/>
      <c r="T952" s="101"/>
      <c r="U952" s="101"/>
      <c r="V952" s="101"/>
      <c r="W952" s="101"/>
      <c r="X952" s="101"/>
      <c r="Y952" s="101"/>
      <c r="Z952" s="101"/>
      <c r="AA952" s="101"/>
      <c r="AB952" s="101"/>
      <c r="AC952" s="101"/>
      <c r="AD952" s="101"/>
    </row>
    <row r="953" ht="30.0" customHeight="1">
      <c r="A953" s="141"/>
      <c r="B953" s="101"/>
      <c r="C953" s="101"/>
      <c r="D953" s="101"/>
      <c r="E953" s="101"/>
      <c r="F953" s="101"/>
      <c r="G953" s="101"/>
      <c r="H953" s="101"/>
      <c r="I953" s="101"/>
      <c r="J953" s="142"/>
      <c r="K953" s="101"/>
      <c r="L953" s="101"/>
      <c r="M953" s="101"/>
      <c r="N953" s="101"/>
      <c r="O953" s="101"/>
      <c r="P953" s="101"/>
      <c r="Q953" s="101"/>
      <c r="R953" s="101"/>
      <c r="S953" s="101"/>
      <c r="T953" s="101"/>
      <c r="U953" s="101"/>
      <c r="V953" s="101"/>
      <c r="W953" s="101"/>
      <c r="X953" s="101"/>
      <c r="Y953" s="101"/>
      <c r="Z953" s="101"/>
      <c r="AA953" s="101"/>
      <c r="AB953" s="101"/>
      <c r="AC953" s="101"/>
      <c r="AD953" s="101"/>
    </row>
    <row r="954" ht="30.0" customHeight="1">
      <c r="A954" s="141"/>
      <c r="B954" s="101"/>
      <c r="C954" s="101"/>
      <c r="D954" s="101"/>
      <c r="E954" s="101"/>
      <c r="F954" s="101"/>
      <c r="G954" s="101"/>
      <c r="H954" s="101"/>
      <c r="I954" s="101"/>
      <c r="J954" s="142"/>
      <c r="K954" s="101"/>
      <c r="L954" s="101"/>
      <c r="M954" s="101"/>
      <c r="N954" s="101"/>
      <c r="O954" s="101"/>
      <c r="P954" s="101"/>
      <c r="Q954" s="101"/>
      <c r="R954" s="101"/>
      <c r="S954" s="101"/>
      <c r="T954" s="101"/>
      <c r="U954" s="101"/>
      <c r="V954" s="101"/>
      <c r="W954" s="101"/>
      <c r="X954" s="101"/>
      <c r="Y954" s="101"/>
      <c r="Z954" s="101"/>
      <c r="AA954" s="101"/>
      <c r="AB954" s="101"/>
      <c r="AC954" s="101"/>
      <c r="AD954" s="101"/>
    </row>
    <row r="955" ht="30.0" customHeight="1">
      <c r="A955" s="141"/>
      <c r="B955" s="101"/>
      <c r="C955" s="101"/>
      <c r="D955" s="101"/>
      <c r="E955" s="101"/>
      <c r="F955" s="101"/>
      <c r="G955" s="101"/>
      <c r="H955" s="101"/>
      <c r="I955" s="101"/>
      <c r="J955" s="142"/>
      <c r="K955" s="101"/>
      <c r="L955" s="101"/>
      <c r="M955" s="101"/>
      <c r="N955" s="101"/>
      <c r="O955" s="101"/>
      <c r="P955" s="101"/>
      <c r="Q955" s="101"/>
      <c r="R955" s="101"/>
      <c r="S955" s="101"/>
      <c r="T955" s="101"/>
      <c r="U955" s="101"/>
      <c r="V955" s="101"/>
      <c r="W955" s="101"/>
      <c r="X955" s="101"/>
      <c r="Y955" s="101"/>
      <c r="Z955" s="101"/>
      <c r="AA955" s="101"/>
      <c r="AB955" s="101"/>
      <c r="AC955" s="101"/>
      <c r="AD955" s="101"/>
    </row>
    <row r="956" ht="30.0" customHeight="1">
      <c r="A956" s="141"/>
      <c r="B956" s="101"/>
      <c r="C956" s="101"/>
      <c r="D956" s="101"/>
      <c r="E956" s="101"/>
      <c r="F956" s="101"/>
      <c r="G956" s="101"/>
      <c r="H956" s="101"/>
      <c r="I956" s="101"/>
      <c r="J956" s="142"/>
      <c r="K956" s="101"/>
      <c r="L956" s="101"/>
      <c r="M956" s="101"/>
      <c r="N956" s="101"/>
      <c r="O956" s="101"/>
      <c r="P956" s="101"/>
      <c r="Q956" s="101"/>
      <c r="R956" s="101"/>
      <c r="S956" s="101"/>
      <c r="T956" s="101"/>
      <c r="U956" s="101"/>
      <c r="V956" s="101"/>
      <c r="W956" s="101"/>
      <c r="X956" s="101"/>
      <c r="Y956" s="101"/>
      <c r="Z956" s="101"/>
      <c r="AA956" s="101"/>
      <c r="AB956" s="101"/>
      <c r="AC956" s="101"/>
      <c r="AD956" s="101"/>
    </row>
    <row r="957" ht="30.0" customHeight="1">
      <c r="A957" s="141"/>
      <c r="B957" s="101"/>
      <c r="C957" s="101"/>
      <c r="D957" s="101"/>
      <c r="E957" s="101"/>
      <c r="F957" s="101"/>
      <c r="G957" s="101"/>
      <c r="H957" s="101"/>
      <c r="I957" s="101"/>
      <c r="J957" s="142"/>
      <c r="K957" s="101"/>
      <c r="L957" s="101"/>
      <c r="M957" s="101"/>
      <c r="N957" s="101"/>
      <c r="O957" s="101"/>
      <c r="P957" s="101"/>
      <c r="Q957" s="101"/>
      <c r="R957" s="101"/>
      <c r="S957" s="101"/>
      <c r="T957" s="101"/>
      <c r="U957" s="101"/>
      <c r="V957" s="101"/>
      <c r="W957" s="101"/>
      <c r="X957" s="101"/>
      <c r="Y957" s="101"/>
      <c r="Z957" s="101"/>
      <c r="AA957" s="101"/>
      <c r="AB957" s="101"/>
      <c r="AC957" s="101"/>
      <c r="AD957" s="101"/>
    </row>
    <row r="958" ht="30.0" customHeight="1">
      <c r="A958" s="141"/>
      <c r="B958" s="101"/>
      <c r="C958" s="101"/>
      <c r="D958" s="101"/>
      <c r="E958" s="101"/>
      <c r="F958" s="101"/>
      <c r="G958" s="101"/>
      <c r="H958" s="101"/>
      <c r="I958" s="101"/>
      <c r="J958" s="142"/>
      <c r="K958" s="101"/>
      <c r="L958" s="101"/>
      <c r="M958" s="101"/>
      <c r="N958" s="101"/>
      <c r="O958" s="101"/>
      <c r="P958" s="101"/>
      <c r="Q958" s="101"/>
      <c r="R958" s="101"/>
      <c r="S958" s="101"/>
      <c r="T958" s="101"/>
      <c r="U958" s="101"/>
      <c r="V958" s="101"/>
      <c r="W958" s="101"/>
      <c r="X958" s="101"/>
      <c r="Y958" s="101"/>
      <c r="Z958" s="101"/>
      <c r="AA958" s="101"/>
      <c r="AB958" s="101"/>
      <c r="AC958" s="101"/>
      <c r="AD958" s="101"/>
    </row>
    <row r="959" ht="30.0" customHeight="1">
      <c r="A959" s="141"/>
      <c r="B959" s="101"/>
      <c r="C959" s="101"/>
      <c r="D959" s="101"/>
      <c r="E959" s="101"/>
      <c r="F959" s="101"/>
      <c r="G959" s="101"/>
      <c r="H959" s="101"/>
      <c r="I959" s="101"/>
      <c r="J959" s="142"/>
      <c r="K959" s="101"/>
      <c r="L959" s="101"/>
      <c r="M959" s="101"/>
      <c r="N959" s="101"/>
      <c r="O959" s="101"/>
      <c r="P959" s="101"/>
      <c r="Q959" s="101"/>
      <c r="R959" s="101"/>
      <c r="S959" s="101"/>
      <c r="T959" s="101"/>
      <c r="U959" s="101"/>
      <c r="V959" s="101"/>
      <c r="W959" s="101"/>
      <c r="X959" s="101"/>
      <c r="Y959" s="101"/>
      <c r="Z959" s="101"/>
      <c r="AA959" s="101"/>
      <c r="AB959" s="101"/>
      <c r="AC959" s="101"/>
      <c r="AD959" s="101"/>
    </row>
    <row r="960" ht="30.0" customHeight="1">
      <c r="A960" s="141"/>
      <c r="B960" s="101"/>
      <c r="C960" s="101"/>
      <c r="D960" s="101"/>
      <c r="E960" s="101"/>
      <c r="F960" s="101"/>
      <c r="G960" s="101"/>
      <c r="H960" s="101"/>
      <c r="I960" s="101"/>
      <c r="J960" s="142"/>
      <c r="K960" s="101"/>
      <c r="L960" s="101"/>
      <c r="M960" s="101"/>
      <c r="N960" s="101"/>
      <c r="O960" s="101"/>
      <c r="P960" s="101"/>
      <c r="Q960" s="101"/>
      <c r="R960" s="101"/>
      <c r="S960" s="101"/>
      <c r="T960" s="101"/>
      <c r="U960" s="101"/>
      <c r="V960" s="101"/>
      <c r="W960" s="101"/>
      <c r="X960" s="101"/>
      <c r="Y960" s="101"/>
      <c r="Z960" s="101"/>
      <c r="AA960" s="101"/>
      <c r="AB960" s="101"/>
      <c r="AC960" s="101"/>
      <c r="AD960" s="101"/>
    </row>
    <row r="961" ht="30.0" customHeight="1">
      <c r="A961" s="141"/>
      <c r="B961" s="101"/>
      <c r="C961" s="101"/>
      <c r="D961" s="101"/>
      <c r="E961" s="101"/>
      <c r="F961" s="101"/>
      <c r="G961" s="101"/>
      <c r="H961" s="101"/>
      <c r="I961" s="101"/>
      <c r="J961" s="142"/>
      <c r="K961" s="101"/>
      <c r="L961" s="101"/>
      <c r="M961" s="101"/>
      <c r="N961" s="101"/>
      <c r="O961" s="101"/>
      <c r="P961" s="101"/>
      <c r="Q961" s="101"/>
      <c r="R961" s="101"/>
      <c r="S961" s="101"/>
      <c r="T961" s="101"/>
      <c r="U961" s="101"/>
      <c r="V961" s="101"/>
      <c r="W961" s="101"/>
      <c r="X961" s="101"/>
      <c r="Y961" s="101"/>
      <c r="Z961" s="101"/>
      <c r="AA961" s="101"/>
      <c r="AB961" s="101"/>
      <c r="AC961" s="101"/>
      <c r="AD961" s="101"/>
    </row>
    <row r="962" ht="30.0" customHeight="1">
      <c r="A962" s="141"/>
      <c r="B962" s="101"/>
      <c r="C962" s="101"/>
      <c r="D962" s="101"/>
      <c r="E962" s="101"/>
      <c r="F962" s="101"/>
      <c r="G962" s="101"/>
      <c r="H962" s="101"/>
      <c r="I962" s="101"/>
      <c r="J962" s="142"/>
      <c r="K962" s="101"/>
      <c r="L962" s="101"/>
      <c r="M962" s="101"/>
      <c r="N962" s="101"/>
      <c r="O962" s="101"/>
      <c r="P962" s="101"/>
      <c r="Q962" s="101"/>
      <c r="R962" s="101"/>
      <c r="S962" s="101"/>
      <c r="T962" s="101"/>
      <c r="U962" s="101"/>
      <c r="V962" s="101"/>
      <c r="W962" s="101"/>
      <c r="X962" s="101"/>
      <c r="Y962" s="101"/>
      <c r="Z962" s="101"/>
      <c r="AA962" s="101"/>
      <c r="AB962" s="101"/>
      <c r="AC962" s="101"/>
      <c r="AD962" s="101"/>
    </row>
    <row r="963" ht="30.0" customHeight="1">
      <c r="A963" s="141"/>
      <c r="B963" s="101"/>
      <c r="C963" s="101"/>
      <c r="D963" s="101"/>
      <c r="E963" s="101"/>
      <c r="F963" s="101"/>
      <c r="G963" s="101"/>
      <c r="H963" s="101"/>
      <c r="I963" s="101"/>
      <c r="J963" s="142"/>
      <c r="K963" s="101"/>
      <c r="L963" s="101"/>
      <c r="M963" s="101"/>
      <c r="N963" s="101"/>
      <c r="O963" s="101"/>
      <c r="P963" s="101"/>
      <c r="Q963" s="101"/>
      <c r="R963" s="101"/>
      <c r="S963" s="101"/>
      <c r="T963" s="101"/>
      <c r="U963" s="101"/>
      <c r="V963" s="101"/>
      <c r="W963" s="101"/>
      <c r="X963" s="101"/>
      <c r="Y963" s="101"/>
      <c r="Z963" s="101"/>
      <c r="AA963" s="101"/>
      <c r="AB963" s="101"/>
      <c r="AC963" s="101"/>
      <c r="AD963" s="101"/>
    </row>
    <row r="964" ht="30.0" customHeight="1">
      <c r="A964" s="141"/>
      <c r="B964" s="101"/>
      <c r="C964" s="101"/>
      <c r="D964" s="101"/>
      <c r="E964" s="101"/>
      <c r="F964" s="101"/>
      <c r="G964" s="101"/>
      <c r="H964" s="101"/>
      <c r="I964" s="101"/>
      <c r="J964" s="142"/>
      <c r="K964" s="101"/>
      <c r="L964" s="101"/>
      <c r="M964" s="101"/>
      <c r="N964" s="101"/>
      <c r="O964" s="101"/>
      <c r="P964" s="101"/>
      <c r="Q964" s="101"/>
      <c r="R964" s="101"/>
      <c r="S964" s="101"/>
      <c r="T964" s="101"/>
      <c r="U964" s="101"/>
      <c r="V964" s="101"/>
      <c r="W964" s="101"/>
      <c r="X964" s="101"/>
      <c r="Y964" s="101"/>
      <c r="Z964" s="101"/>
      <c r="AA964" s="101"/>
      <c r="AB964" s="101"/>
      <c r="AC964" s="101"/>
      <c r="AD964" s="101"/>
    </row>
    <row r="965" ht="30.0" customHeight="1">
      <c r="A965" s="141"/>
      <c r="B965" s="101"/>
      <c r="C965" s="101"/>
      <c r="D965" s="101"/>
      <c r="E965" s="101"/>
      <c r="F965" s="101"/>
      <c r="G965" s="101"/>
      <c r="H965" s="101"/>
      <c r="I965" s="101"/>
      <c r="J965" s="142"/>
      <c r="K965" s="101"/>
      <c r="L965" s="101"/>
      <c r="M965" s="101"/>
      <c r="N965" s="101"/>
      <c r="O965" s="101"/>
      <c r="P965" s="101"/>
      <c r="Q965" s="101"/>
      <c r="R965" s="101"/>
      <c r="S965" s="101"/>
      <c r="T965" s="101"/>
      <c r="U965" s="101"/>
      <c r="V965" s="101"/>
      <c r="W965" s="101"/>
      <c r="X965" s="101"/>
      <c r="Y965" s="101"/>
      <c r="Z965" s="101"/>
      <c r="AA965" s="101"/>
      <c r="AB965" s="101"/>
      <c r="AC965" s="101"/>
      <c r="AD965" s="101"/>
    </row>
    <row r="966" ht="30.0" customHeight="1">
      <c r="A966" s="141"/>
      <c r="B966" s="101"/>
      <c r="C966" s="101"/>
      <c r="D966" s="101"/>
      <c r="E966" s="101"/>
      <c r="F966" s="101"/>
      <c r="G966" s="101"/>
      <c r="H966" s="101"/>
      <c r="I966" s="101"/>
      <c r="J966" s="142"/>
      <c r="K966" s="101"/>
      <c r="L966" s="101"/>
      <c r="M966" s="101"/>
      <c r="N966" s="101"/>
      <c r="O966" s="101"/>
      <c r="P966" s="101"/>
      <c r="Q966" s="101"/>
      <c r="R966" s="101"/>
      <c r="S966" s="101"/>
      <c r="T966" s="101"/>
      <c r="U966" s="101"/>
      <c r="V966" s="101"/>
      <c r="W966" s="101"/>
      <c r="X966" s="101"/>
      <c r="Y966" s="101"/>
      <c r="Z966" s="101"/>
      <c r="AA966" s="101"/>
      <c r="AB966" s="101"/>
      <c r="AC966" s="101"/>
      <c r="AD966" s="101"/>
    </row>
    <row r="967" ht="30.0" customHeight="1">
      <c r="A967" s="141"/>
      <c r="B967" s="101"/>
      <c r="C967" s="101"/>
      <c r="D967" s="101"/>
      <c r="E967" s="101"/>
      <c r="F967" s="101"/>
      <c r="G967" s="101"/>
      <c r="H967" s="101"/>
      <c r="I967" s="101"/>
      <c r="J967" s="142"/>
      <c r="K967" s="101"/>
      <c r="L967" s="101"/>
      <c r="M967" s="101"/>
      <c r="N967" s="101"/>
      <c r="O967" s="101"/>
      <c r="P967" s="101"/>
      <c r="Q967" s="101"/>
      <c r="R967" s="101"/>
      <c r="S967" s="101"/>
      <c r="T967" s="101"/>
      <c r="U967" s="101"/>
      <c r="V967" s="101"/>
      <c r="W967" s="101"/>
      <c r="X967" s="101"/>
      <c r="Y967" s="101"/>
      <c r="Z967" s="101"/>
      <c r="AA967" s="101"/>
      <c r="AB967" s="101"/>
      <c r="AC967" s="101"/>
      <c r="AD967" s="101"/>
    </row>
    <row r="968" ht="30.0" customHeight="1">
      <c r="A968" s="141"/>
      <c r="B968" s="101"/>
      <c r="C968" s="101"/>
      <c r="D968" s="101"/>
      <c r="E968" s="101"/>
      <c r="F968" s="101"/>
      <c r="G968" s="101"/>
      <c r="H968" s="101"/>
      <c r="I968" s="101"/>
      <c r="J968" s="142"/>
      <c r="K968" s="101"/>
      <c r="L968" s="101"/>
      <c r="M968" s="101"/>
      <c r="N968" s="101"/>
      <c r="O968" s="101"/>
      <c r="P968" s="101"/>
      <c r="Q968" s="101"/>
      <c r="R968" s="101"/>
      <c r="S968" s="101"/>
      <c r="T968" s="101"/>
      <c r="U968" s="101"/>
      <c r="V968" s="101"/>
      <c r="W968" s="101"/>
      <c r="X968" s="101"/>
      <c r="Y968" s="101"/>
      <c r="Z968" s="101"/>
      <c r="AA968" s="101"/>
      <c r="AB968" s="101"/>
      <c r="AC968" s="101"/>
      <c r="AD968" s="101"/>
    </row>
    <row r="969" ht="30.0" customHeight="1">
      <c r="A969" s="141"/>
      <c r="B969" s="101"/>
      <c r="C969" s="101"/>
      <c r="D969" s="101"/>
      <c r="E969" s="101"/>
      <c r="F969" s="101"/>
      <c r="G969" s="101"/>
      <c r="H969" s="101"/>
      <c r="I969" s="101"/>
      <c r="J969" s="142"/>
      <c r="K969" s="101"/>
      <c r="L969" s="101"/>
      <c r="M969" s="101"/>
      <c r="N969" s="101"/>
      <c r="O969" s="101"/>
      <c r="P969" s="101"/>
      <c r="Q969" s="101"/>
      <c r="R969" s="101"/>
      <c r="S969" s="101"/>
      <c r="T969" s="101"/>
      <c r="U969" s="101"/>
      <c r="V969" s="101"/>
      <c r="W969" s="101"/>
      <c r="X969" s="101"/>
      <c r="Y969" s="101"/>
      <c r="Z969" s="101"/>
      <c r="AA969" s="101"/>
      <c r="AB969" s="101"/>
      <c r="AC969" s="101"/>
      <c r="AD969" s="101"/>
    </row>
    <row r="970" ht="30.0" customHeight="1">
      <c r="A970" s="141"/>
      <c r="B970" s="101"/>
      <c r="C970" s="101"/>
      <c r="D970" s="101"/>
      <c r="E970" s="101"/>
      <c r="F970" s="101"/>
      <c r="G970" s="101"/>
      <c r="H970" s="101"/>
      <c r="I970" s="101"/>
      <c r="J970" s="142"/>
      <c r="K970" s="101"/>
      <c r="L970" s="101"/>
      <c r="M970" s="101"/>
      <c r="N970" s="101"/>
      <c r="O970" s="101"/>
      <c r="P970" s="101"/>
      <c r="Q970" s="101"/>
      <c r="R970" s="101"/>
      <c r="S970" s="101"/>
      <c r="T970" s="101"/>
      <c r="U970" s="101"/>
      <c r="V970" s="101"/>
      <c r="W970" s="101"/>
      <c r="X970" s="101"/>
      <c r="Y970" s="101"/>
      <c r="Z970" s="101"/>
      <c r="AA970" s="101"/>
      <c r="AB970" s="101"/>
      <c r="AC970" s="101"/>
      <c r="AD970" s="101"/>
    </row>
    <row r="971" ht="30.0" customHeight="1">
      <c r="A971" s="141"/>
      <c r="B971" s="101"/>
      <c r="C971" s="101"/>
      <c r="D971" s="101"/>
      <c r="E971" s="101"/>
      <c r="F971" s="101"/>
      <c r="G971" s="101"/>
      <c r="H971" s="101"/>
      <c r="I971" s="101"/>
      <c r="J971" s="142"/>
      <c r="K971" s="101"/>
      <c r="L971" s="101"/>
      <c r="M971" s="101"/>
      <c r="N971" s="101"/>
      <c r="O971" s="101"/>
      <c r="P971" s="101"/>
      <c r="Q971" s="101"/>
      <c r="R971" s="101"/>
      <c r="S971" s="101"/>
      <c r="T971" s="101"/>
      <c r="U971" s="101"/>
      <c r="V971" s="101"/>
      <c r="W971" s="101"/>
      <c r="X971" s="101"/>
      <c r="Y971" s="101"/>
      <c r="Z971" s="101"/>
      <c r="AA971" s="101"/>
      <c r="AB971" s="101"/>
      <c r="AC971" s="101"/>
      <c r="AD971" s="101"/>
    </row>
    <row r="972" ht="30.0" customHeight="1">
      <c r="A972" s="141"/>
      <c r="B972" s="101"/>
      <c r="C972" s="101"/>
      <c r="D972" s="101"/>
      <c r="E972" s="101"/>
      <c r="F972" s="101"/>
      <c r="G972" s="101"/>
      <c r="H972" s="101"/>
      <c r="I972" s="101"/>
      <c r="J972" s="142"/>
      <c r="K972" s="101"/>
      <c r="L972" s="101"/>
      <c r="M972" s="101"/>
      <c r="N972" s="101"/>
      <c r="O972" s="101"/>
      <c r="P972" s="101"/>
      <c r="Q972" s="101"/>
      <c r="R972" s="101"/>
      <c r="S972" s="101"/>
      <c r="T972" s="101"/>
      <c r="U972" s="101"/>
      <c r="V972" s="101"/>
      <c r="W972" s="101"/>
      <c r="X972" s="101"/>
      <c r="Y972" s="101"/>
      <c r="Z972" s="101"/>
      <c r="AA972" s="101"/>
      <c r="AB972" s="101"/>
      <c r="AC972" s="101"/>
      <c r="AD972" s="101"/>
    </row>
    <row r="973" ht="30.0" customHeight="1">
      <c r="A973" s="141"/>
      <c r="B973" s="101"/>
      <c r="C973" s="101"/>
      <c r="D973" s="101"/>
      <c r="E973" s="101"/>
      <c r="F973" s="101"/>
      <c r="G973" s="101"/>
      <c r="H973" s="101"/>
      <c r="I973" s="101"/>
      <c r="J973" s="142"/>
      <c r="K973" s="101"/>
      <c r="L973" s="101"/>
      <c r="M973" s="101"/>
      <c r="N973" s="101"/>
      <c r="O973" s="101"/>
      <c r="P973" s="101"/>
      <c r="Q973" s="101"/>
      <c r="R973" s="101"/>
      <c r="S973" s="101"/>
      <c r="T973" s="101"/>
      <c r="U973" s="101"/>
      <c r="V973" s="101"/>
      <c r="W973" s="101"/>
      <c r="X973" s="101"/>
      <c r="Y973" s="101"/>
      <c r="Z973" s="101"/>
      <c r="AA973" s="101"/>
      <c r="AB973" s="101"/>
      <c r="AC973" s="101"/>
      <c r="AD973" s="101"/>
    </row>
    <row r="974" ht="30.0" customHeight="1">
      <c r="A974" s="141"/>
      <c r="B974" s="101"/>
      <c r="C974" s="101"/>
      <c r="D974" s="101"/>
      <c r="E974" s="101"/>
      <c r="F974" s="101"/>
      <c r="G974" s="101"/>
      <c r="H974" s="101"/>
      <c r="I974" s="101"/>
      <c r="J974" s="142"/>
      <c r="K974" s="101"/>
      <c r="L974" s="101"/>
      <c r="M974" s="101"/>
      <c r="N974" s="101"/>
      <c r="O974" s="101"/>
      <c r="P974" s="101"/>
      <c r="Q974" s="101"/>
      <c r="R974" s="101"/>
      <c r="S974" s="101"/>
      <c r="T974" s="101"/>
      <c r="U974" s="101"/>
      <c r="V974" s="101"/>
      <c r="W974" s="101"/>
      <c r="X974" s="101"/>
      <c r="Y974" s="101"/>
      <c r="Z974" s="101"/>
      <c r="AA974" s="101"/>
      <c r="AB974" s="101"/>
      <c r="AC974" s="101"/>
      <c r="AD974" s="101"/>
    </row>
    <row r="975" ht="30.0" customHeight="1">
      <c r="A975" s="141"/>
      <c r="B975" s="101"/>
      <c r="C975" s="101"/>
      <c r="D975" s="101"/>
      <c r="E975" s="101"/>
      <c r="F975" s="101"/>
      <c r="G975" s="101"/>
      <c r="H975" s="101"/>
      <c r="I975" s="101"/>
      <c r="J975" s="142"/>
      <c r="K975" s="101"/>
      <c r="L975" s="101"/>
      <c r="M975" s="101"/>
      <c r="N975" s="101"/>
      <c r="O975" s="101"/>
      <c r="P975" s="101"/>
      <c r="Q975" s="101"/>
      <c r="R975" s="101"/>
      <c r="S975" s="101"/>
      <c r="T975" s="101"/>
      <c r="U975" s="101"/>
      <c r="V975" s="101"/>
      <c r="W975" s="101"/>
      <c r="X975" s="101"/>
      <c r="Y975" s="101"/>
      <c r="Z975" s="101"/>
      <c r="AA975" s="101"/>
      <c r="AB975" s="101"/>
      <c r="AC975" s="101"/>
      <c r="AD975" s="101"/>
    </row>
    <row r="976" ht="30.0" customHeight="1">
      <c r="A976" s="141"/>
      <c r="B976" s="101"/>
      <c r="C976" s="101"/>
      <c r="D976" s="101"/>
      <c r="E976" s="101"/>
      <c r="F976" s="101"/>
      <c r="G976" s="101"/>
      <c r="H976" s="101"/>
      <c r="I976" s="101"/>
      <c r="J976" s="142"/>
      <c r="K976" s="101"/>
      <c r="L976" s="101"/>
      <c r="M976" s="101"/>
      <c r="N976" s="101"/>
      <c r="O976" s="101"/>
      <c r="P976" s="101"/>
      <c r="Q976" s="101"/>
      <c r="R976" s="101"/>
      <c r="S976" s="101"/>
      <c r="T976" s="101"/>
      <c r="U976" s="101"/>
      <c r="V976" s="101"/>
      <c r="W976" s="101"/>
      <c r="X976" s="101"/>
      <c r="Y976" s="101"/>
      <c r="Z976" s="101"/>
      <c r="AA976" s="101"/>
      <c r="AB976" s="101"/>
      <c r="AC976" s="101"/>
      <c r="AD976" s="101"/>
    </row>
  </sheetData>
  <printOptions/>
  <pageMargins bottom="0.75" footer="0.0" header="0.0" left="0.7" right="0.7" top="0.75"/>
  <pageSetup scale="50"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86"/>
    <col customWidth="1" min="2" max="2" width="18.29"/>
    <col customWidth="1" min="3" max="3" width="20.71"/>
    <col customWidth="1" min="4" max="4" width="16.29"/>
    <col customWidth="1" min="5" max="5" width="22.29"/>
    <col customWidth="1" min="6" max="6" width="52.71"/>
    <col customWidth="1" min="7" max="7" width="45.71"/>
    <col customWidth="1" min="8" max="25" width="9.14"/>
  </cols>
  <sheetData>
    <row r="1" ht="15.75" customHeight="1">
      <c r="A1" s="143" t="s">
        <v>2630</v>
      </c>
      <c r="B1" s="144"/>
      <c r="C1" s="144"/>
      <c r="D1" s="144"/>
      <c r="E1" s="145"/>
      <c r="F1" s="145"/>
      <c r="G1" s="146"/>
      <c r="H1" s="147"/>
      <c r="I1" s="147"/>
      <c r="J1" s="147"/>
      <c r="K1" s="147"/>
      <c r="L1" s="147"/>
      <c r="M1" s="147"/>
      <c r="N1" s="147"/>
      <c r="O1" s="147"/>
      <c r="P1" s="147"/>
      <c r="Q1" s="147"/>
      <c r="R1" s="147"/>
      <c r="S1" s="147"/>
      <c r="T1" s="147"/>
      <c r="U1" s="147"/>
      <c r="V1" s="147"/>
      <c r="W1" s="147"/>
      <c r="X1" s="147"/>
      <c r="Y1" s="147"/>
    </row>
    <row r="2" ht="15.75" customHeight="1">
      <c r="A2" s="148" t="s">
        <v>2631</v>
      </c>
      <c r="B2" s="144"/>
      <c r="C2" s="144"/>
      <c r="D2" s="144"/>
      <c r="E2" s="144"/>
      <c r="F2" s="145"/>
      <c r="G2" s="146"/>
      <c r="H2" s="147"/>
      <c r="I2" s="147"/>
      <c r="J2" s="147"/>
      <c r="K2" s="147"/>
      <c r="L2" s="147"/>
      <c r="M2" s="147"/>
      <c r="N2" s="147"/>
      <c r="O2" s="147"/>
      <c r="P2" s="147"/>
      <c r="Q2" s="147"/>
      <c r="R2" s="147"/>
      <c r="S2" s="147"/>
      <c r="T2" s="147"/>
      <c r="U2" s="147"/>
      <c r="V2" s="147"/>
      <c r="W2" s="147"/>
      <c r="X2" s="147"/>
      <c r="Y2" s="147"/>
    </row>
    <row r="3" ht="15.75" customHeight="1">
      <c r="A3" s="149" t="s">
        <v>2632</v>
      </c>
      <c r="B3" s="150" t="s">
        <v>2585</v>
      </c>
      <c r="C3" s="150" t="s">
        <v>2</v>
      </c>
      <c r="D3" s="150" t="s">
        <v>6</v>
      </c>
      <c r="E3" s="150" t="s">
        <v>2587</v>
      </c>
      <c r="F3" s="150" t="s">
        <v>2633</v>
      </c>
      <c r="G3" s="151" t="s">
        <v>2634</v>
      </c>
      <c r="H3" s="152"/>
      <c r="I3" s="152"/>
      <c r="J3" s="152"/>
      <c r="K3" s="152"/>
      <c r="L3" s="152"/>
      <c r="M3" s="152"/>
      <c r="N3" s="152"/>
      <c r="O3" s="152"/>
      <c r="P3" s="152"/>
      <c r="Q3" s="152"/>
      <c r="R3" s="152"/>
      <c r="S3" s="152"/>
      <c r="T3" s="152"/>
      <c r="U3" s="152"/>
      <c r="V3" s="152"/>
      <c r="W3" s="152"/>
      <c r="X3" s="152"/>
      <c r="Y3" s="152"/>
    </row>
    <row r="4" ht="15.75" customHeight="1">
      <c r="A4" s="153">
        <v>1.0</v>
      </c>
      <c r="B4" s="154" t="s">
        <v>74</v>
      </c>
      <c r="C4" s="154" t="s">
        <v>75</v>
      </c>
      <c r="D4" s="154" t="s">
        <v>42</v>
      </c>
      <c r="E4" s="154" t="s">
        <v>2635</v>
      </c>
      <c r="F4" s="155"/>
      <c r="G4" s="155"/>
      <c r="H4" s="152"/>
      <c r="I4" s="152"/>
      <c r="J4" s="152"/>
      <c r="K4" s="152"/>
      <c r="L4" s="152"/>
      <c r="M4" s="152"/>
      <c r="N4" s="152"/>
      <c r="O4" s="152"/>
      <c r="P4" s="152"/>
      <c r="Q4" s="152"/>
      <c r="R4" s="152"/>
      <c r="S4" s="152"/>
      <c r="T4" s="152"/>
      <c r="U4" s="152"/>
      <c r="V4" s="152"/>
      <c r="W4" s="152"/>
      <c r="X4" s="152"/>
      <c r="Y4" s="152"/>
    </row>
    <row r="5" ht="15.75" customHeight="1">
      <c r="A5" s="153">
        <v>2.0</v>
      </c>
      <c r="B5" s="155" t="s">
        <v>98</v>
      </c>
      <c r="C5" s="155" t="s">
        <v>2636</v>
      </c>
      <c r="D5" s="155" t="s">
        <v>42</v>
      </c>
      <c r="E5" s="155" t="s">
        <v>2637</v>
      </c>
      <c r="F5" s="155" t="s">
        <v>2638</v>
      </c>
      <c r="G5" s="155"/>
      <c r="H5" s="152"/>
      <c r="I5" s="152"/>
      <c r="J5" s="152"/>
      <c r="K5" s="152"/>
      <c r="L5" s="152"/>
      <c r="M5" s="152"/>
      <c r="N5" s="152"/>
      <c r="O5" s="152"/>
      <c r="P5" s="152"/>
      <c r="Q5" s="152"/>
      <c r="R5" s="152"/>
      <c r="S5" s="152"/>
      <c r="T5" s="152"/>
      <c r="U5" s="152"/>
      <c r="V5" s="152"/>
      <c r="W5" s="152"/>
      <c r="X5" s="152"/>
      <c r="Y5" s="152"/>
    </row>
    <row r="6" ht="53.25" customHeight="1">
      <c r="A6" s="153">
        <v>3.0</v>
      </c>
      <c r="B6" s="154" t="s">
        <v>2639</v>
      </c>
      <c r="C6" s="154" t="s">
        <v>123</v>
      </c>
      <c r="D6" s="155" t="s">
        <v>42</v>
      </c>
      <c r="E6" s="155" t="s">
        <v>2640</v>
      </c>
      <c r="F6" s="155" t="s">
        <v>2641</v>
      </c>
      <c r="G6" s="155"/>
      <c r="H6" s="152"/>
      <c r="I6" s="152"/>
      <c r="J6" s="152"/>
      <c r="K6" s="152"/>
      <c r="L6" s="152"/>
      <c r="M6" s="152"/>
      <c r="N6" s="152"/>
      <c r="O6" s="152"/>
      <c r="P6" s="152"/>
      <c r="Q6" s="152"/>
      <c r="R6" s="152"/>
      <c r="S6" s="152"/>
      <c r="T6" s="152"/>
      <c r="U6" s="152"/>
      <c r="V6" s="152"/>
      <c r="W6" s="152"/>
      <c r="X6" s="152"/>
      <c r="Y6" s="152"/>
    </row>
    <row r="7" ht="15.75" customHeight="1">
      <c r="A7" s="153">
        <v>4.0</v>
      </c>
      <c r="B7" s="155" t="s">
        <v>61</v>
      </c>
      <c r="C7" s="155" t="s">
        <v>62</v>
      </c>
      <c r="D7" s="155" t="s">
        <v>42</v>
      </c>
      <c r="E7" s="155" t="s">
        <v>2642</v>
      </c>
      <c r="F7" s="156" t="s">
        <v>69</v>
      </c>
      <c r="G7" s="155"/>
      <c r="H7" s="152"/>
      <c r="I7" s="152"/>
      <c r="J7" s="152"/>
      <c r="K7" s="152"/>
      <c r="L7" s="152"/>
      <c r="M7" s="152"/>
      <c r="N7" s="152"/>
      <c r="O7" s="152"/>
      <c r="P7" s="152"/>
      <c r="Q7" s="152"/>
      <c r="R7" s="152"/>
      <c r="S7" s="152"/>
      <c r="T7" s="152"/>
      <c r="U7" s="152"/>
      <c r="V7" s="152"/>
      <c r="W7" s="152"/>
      <c r="X7" s="152"/>
      <c r="Y7" s="152"/>
    </row>
    <row r="8" ht="15.75" customHeight="1">
      <c r="A8" s="153">
        <v>5.0</v>
      </c>
      <c r="B8" s="155" t="s">
        <v>87</v>
      </c>
      <c r="C8" s="155" t="s">
        <v>88</v>
      </c>
      <c r="D8" s="155" t="s">
        <v>42</v>
      </c>
      <c r="E8" s="155" t="s">
        <v>2643</v>
      </c>
      <c r="F8" s="155"/>
      <c r="G8" s="155"/>
      <c r="H8" s="152"/>
      <c r="I8" s="152"/>
      <c r="J8" s="152"/>
      <c r="K8" s="152"/>
      <c r="L8" s="152"/>
      <c r="M8" s="152"/>
      <c r="N8" s="152"/>
      <c r="O8" s="152"/>
      <c r="P8" s="152"/>
      <c r="Q8" s="152"/>
      <c r="R8" s="152"/>
      <c r="S8" s="152"/>
      <c r="T8" s="152"/>
      <c r="U8" s="152"/>
      <c r="V8" s="152"/>
      <c r="W8" s="152"/>
      <c r="X8" s="152"/>
      <c r="Y8" s="152"/>
    </row>
    <row r="9" ht="15.75" customHeight="1">
      <c r="A9" s="153">
        <v>6.0</v>
      </c>
      <c r="B9" s="155" t="s">
        <v>146</v>
      </c>
      <c r="C9" s="155" t="s">
        <v>2644</v>
      </c>
      <c r="D9" s="155" t="s">
        <v>42</v>
      </c>
      <c r="E9" s="155" t="s">
        <v>2645</v>
      </c>
      <c r="F9" s="155"/>
      <c r="G9" s="155"/>
      <c r="H9" s="152"/>
      <c r="I9" s="152"/>
      <c r="J9" s="152"/>
      <c r="K9" s="152"/>
      <c r="L9" s="152"/>
      <c r="M9" s="152"/>
      <c r="N9" s="152"/>
      <c r="O9" s="152"/>
      <c r="P9" s="152"/>
      <c r="Q9" s="152"/>
      <c r="R9" s="152"/>
      <c r="S9" s="152"/>
      <c r="T9" s="152"/>
      <c r="U9" s="152"/>
      <c r="V9" s="152"/>
      <c r="W9" s="152"/>
      <c r="X9" s="152"/>
      <c r="Y9" s="152"/>
    </row>
    <row r="10" ht="15.75" customHeight="1">
      <c r="A10" s="153">
        <v>7.0</v>
      </c>
      <c r="B10" s="155" t="s">
        <v>111</v>
      </c>
      <c r="C10" s="155" t="s">
        <v>112</v>
      </c>
      <c r="D10" s="155" t="s">
        <v>42</v>
      </c>
      <c r="E10" s="155" t="s">
        <v>2646</v>
      </c>
      <c r="F10" s="155" t="s">
        <v>2647</v>
      </c>
      <c r="G10" s="155"/>
      <c r="H10" s="152"/>
      <c r="I10" s="152"/>
      <c r="J10" s="152"/>
      <c r="K10" s="152"/>
      <c r="L10" s="152"/>
      <c r="M10" s="152"/>
      <c r="N10" s="152"/>
      <c r="O10" s="152"/>
      <c r="P10" s="152"/>
      <c r="Q10" s="152"/>
      <c r="R10" s="152"/>
      <c r="S10" s="152"/>
      <c r="T10" s="152"/>
      <c r="U10" s="152"/>
      <c r="V10" s="152"/>
      <c r="W10" s="152"/>
      <c r="X10" s="152"/>
      <c r="Y10" s="152"/>
    </row>
    <row r="11" ht="15.75" customHeight="1">
      <c r="A11" s="153">
        <v>8.0</v>
      </c>
      <c r="B11" s="157" t="s">
        <v>157</v>
      </c>
      <c r="C11" s="157" t="s">
        <v>158</v>
      </c>
      <c r="D11" s="157" t="s">
        <v>160</v>
      </c>
      <c r="E11" s="157" t="s">
        <v>2648</v>
      </c>
      <c r="F11" s="157"/>
      <c r="G11" s="157"/>
      <c r="H11" s="152"/>
      <c r="I11" s="152"/>
      <c r="J11" s="152"/>
      <c r="K11" s="152"/>
      <c r="L11" s="152"/>
      <c r="M11" s="152"/>
      <c r="N11" s="152"/>
      <c r="O11" s="152"/>
      <c r="P11" s="152"/>
      <c r="Q11" s="152"/>
      <c r="R11" s="152"/>
      <c r="S11" s="152"/>
      <c r="T11" s="152"/>
      <c r="U11" s="152"/>
      <c r="V11" s="152"/>
      <c r="W11" s="152"/>
      <c r="X11" s="152"/>
      <c r="Y11" s="152"/>
    </row>
    <row r="12" ht="15.75" customHeight="1">
      <c r="A12" s="153">
        <v>9.0</v>
      </c>
      <c r="B12" s="157" t="s">
        <v>191</v>
      </c>
      <c r="C12" s="157" t="s">
        <v>192</v>
      </c>
      <c r="D12" s="157" t="s">
        <v>160</v>
      </c>
      <c r="E12" s="157" t="s">
        <v>2649</v>
      </c>
      <c r="F12" s="157"/>
      <c r="G12" s="157"/>
      <c r="H12" s="152"/>
      <c r="I12" s="152"/>
      <c r="J12" s="152"/>
      <c r="K12" s="152"/>
      <c r="L12" s="152"/>
      <c r="M12" s="152"/>
      <c r="N12" s="152"/>
      <c r="O12" s="152"/>
      <c r="P12" s="152"/>
      <c r="Q12" s="152"/>
      <c r="R12" s="152"/>
      <c r="S12" s="152"/>
      <c r="T12" s="152"/>
      <c r="U12" s="152"/>
      <c r="V12" s="152"/>
      <c r="W12" s="152"/>
      <c r="X12" s="152"/>
      <c r="Y12" s="152"/>
    </row>
    <row r="13" ht="15.75" customHeight="1">
      <c r="A13" s="153">
        <v>10.0</v>
      </c>
      <c r="B13" s="157" t="s">
        <v>203</v>
      </c>
      <c r="C13" s="157" t="s">
        <v>204</v>
      </c>
      <c r="D13" s="157" t="s">
        <v>160</v>
      </c>
      <c r="E13" s="157" t="s">
        <v>2650</v>
      </c>
      <c r="F13" s="157" t="s">
        <v>2651</v>
      </c>
      <c r="G13" s="157"/>
      <c r="H13" s="152"/>
      <c r="I13" s="152"/>
      <c r="J13" s="152"/>
      <c r="K13" s="152"/>
      <c r="L13" s="152"/>
      <c r="M13" s="152"/>
      <c r="N13" s="152"/>
      <c r="O13" s="152"/>
      <c r="P13" s="152"/>
      <c r="Q13" s="152"/>
      <c r="R13" s="152"/>
      <c r="S13" s="152"/>
      <c r="T13" s="152"/>
      <c r="U13" s="152"/>
      <c r="V13" s="152"/>
      <c r="W13" s="152"/>
      <c r="X13" s="152"/>
      <c r="Y13" s="152"/>
    </row>
    <row r="14" ht="15.75" customHeight="1">
      <c r="A14" s="153">
        <v>11.0</v>
      </c>
      <c r="B14" s="157" t="s">
        <v>223</v>
      </c>
      <c r="C14" s="157" t="s">
        <v>224</v>
      </c>
      <c r="D14" s="157" t="s">
        <v>160</v>
      </c>
      <c r="E14" s="157" t="s">
        <v>2652</v>
      </c>
      <c r="F14" s="157" t="s">
        <v>2653</v>
      </c>
      <c r="G14" s="157"/>
      <c r="H14" s="152"/>
      <c r="I14" s="152"/>
      <c r="J14" s="152"/>
      <c r="K14" s="152"/>
      <c r="L14" s="152"/>
      <c r="M14" s="152"/>
      <c r="N14" s="152"/>
      <c r="O14" s="152"/>
      <c r="P14" s="152"/>
      <c r="Q14" s="152"/>
      <c r="R14" s="152"/>
      <c r="S14" s="152"/>
      <c r="T14" s="152"/>
      <c r="U14" s="152"/>
      <c r="V14" s="152"/>
      <c r="W14" s="152"/>
      <c r="X14" s="152"/>
      <c r="Y14" s="152"/>
    </row>
    <row r="15" ht="15.75" customHeight="1">
      <c r="A15" s="153">
        <v>12.0</v>
      </c>
      <c r="B15" s="157" t="s">
        <v>241</v>
      </c>
      <c r="C15" s="157" t="s">
        <v>242</v>
      </c>
      <c r="D15" s="157" t="s">
        <v>160</v>
      </c>
      <c r="E15" s="157" t="s">
        <v>2654</v>
      </c>
      <c r="F15" s="157"/>
      <c r="G15" s="157"/>
      <c r="H15" s="152"/>
      <c r="I15" s="152"/>
      <c r="J15" s="152"/>
      <c r="K15" s="152"/>
      <c r="L15" s="152"/>
      <c r="M15" s="152"/>
      <c r="N15" s="152"/>
      <c r="O15" s="152"/>
      <c r="P15" s="152"/>
      <c r="Q15" s="152"/>
      <c r="R15" s="152"/>
      <c r="S15" s="152"/>
      <c r="T15" s="152"/>
      <c r="U15" s="152"/>
      <c r="V15" s="152"/>
      <c r="W15" s="152"/>
      <c r="X15" s="152"/>
      <c r="Y15" s="152"/>
    </row>
    <row r="16" ht="15.75" customHeight="1">
      <c r="A16" s="153">
        <v>13.0</v>
      </c>
      <c r="B16" s="157" t="s">
        <v>260</v>
      </c>
      <c r="C16" s="157" t="s">
        <v>261</v>
      </c>
      <c r="D16" s="157" t="s">
        <v>160</v>
      </c>
      <c r="E16" s="157" t="s">
        <v>2655</v>
      </c>
      <c r="F16" s="157" t="s">
        <v>2656</v>
      </c>
      <c r="G16" s="157"/>
      <c r="H16" s="152"/>
      <c r="I16" s="152"/>
      <c r="J16" s="152"/>
      <c r="K16" s="152"/>
      <c r="L16" s="152"/>
      <c r="M16" s="152"/>
      <c r="N16" s="152"/>
      <c r="O16" s="152"/>
      <c r="P16" s="152"/>
      <c r="Q16" s="152"/>
      <c r="R16" s="152"/>
      <c r="S16" s="152"/>
      <c r="T16" s="152"/>
      <c r="U16" s="152"/>
      <c r="V16" s="152"/>
      <c r="W16" s="152"/>
      <c r="X16" s="152"/>
      <c r="Y16" s="152"/>
    </row>
    <row r="17" ht="15.75" customHeight="1">
      <c r="A17" s="153">
        <v>14.0</v>
      </c>
      <c r="B17" s="157" t="s">
        <v>271</v>
      </c>
      <c r="C17" s="157" t="s">
        <v>272</v>
      </c>
      <c r="D17" s="157" t="s">
        <v>160</v>
      </c>
      <c r="E17" s="157" t="s">
        <v>2657</v>
      </c>
      <c r="F17" s="157"/>
      <c r="G17" s="157"/>
      <c r="H17" s="152"/>
      <c r="I17" s="152"/>
      <c r="J17" s="152"/>
      <c r="K17" s="152"/>
      <c r="L17" s="152"/>
      <c r="M17" s="152"/>
      <c r="N17" s="152"/>
      <c r="O17" s="152"/>
      <c r="P17" s="152"/>
      <c r="Q17" s="152"/>
      <c r="R17" s="152"/>
      <c r="S17" s="152"/>
      <c r="T17" s="152"/>
      <c r="U17" s="152"/>
      <c r="V17" s="152"/>
      <c r="W17" s="152"/>
      <c r="X17" s="152"/>
      <c r="Y17" s="152"/>
    </row>
    <row r="18" ht="15.75" customHeight="1">
      <c r="A18" s="153">
        <v>15.0</v>
      </c>
      <c r="B18" s="157" t="s">
        <v>282</v>
      </c>
      <c r="C18" s="157" t="s">
        <v>192</v>
      </c>
      <c r="D18" s="157" t="s">
        <v>160</v>
      </c>
      <c r="E18" s="157" t="s">
        <v>2658</v>
      </c>
      <c r="F18" s="157"/>
      <c r="G18" s="157"/>
      <c r="H18" s="152"/>
      <c r="I18" s="152"/>
      <c r="J18" s="152"/>
      <c r="K18" s="152"/>
      <c r="L18" s="152"/>
      <c r="M18" s="152"/>
      <c r="N18" s="152"/>
      <c r="O18" s="152"/>
      <c r="P18" s="152"/>
      <c r="Q18" s="152"/>
      <c r="R18" s="152"/>
      <c r="S18" s="152"/>
      <c r="T18" s="152"/>
      <c r="U18" s="152"/>
      <c r="V18" s="152"/>
      <c r="W18" s="152"/>
      <c r="X18" s="152"/>
      <c r="Y18" s="152"/>
    </row>
    <row r="19" ht="15.75" customHeight="1">
      <c r="A19" s="153">
        <v>16.0</v>
      </c>
      <c r="B19" s="157" t="s">
        <v>292</v>
      </c>
      <c r="C19" s="157" t="s">
        <v>293</v>
      </c>
      <c r="D19" s="157" t="s">
        <v>295</v>
      </c>
      <c r="E19" s="157" t="s">
        <v>2659</v>
      </c>
      <c r="F19" s="157"/>
      <c r="G19" s="157"/>
      <c r="H19" s="152"/>
      <c r="I19" s="152"/>
      <c r="J19" s="152"/>
      <c r="K19" s="152"/>
      <c r="L19" s="152"/>
      <c r="M19" s="152"/>
      <c r="N19" s="152"/>
      <c r="O19" s="152"/>
      <c r="P19" s="152"/>
      <c r="Q19" s="152"/>
      <c r="R19" s="152"/>
      <c r="S19" s="152"/>
      <c r="T19" s="152"/>
      <c r="U19" s="152"/>
      <c r="V19" s="152"/>
      <c r="W19" s="152"/>
      <c r="X19" s="152"/>
      <c r="Y19" s="152"/>
    </row>
    <row r="20" ht="15.75" customHeight="1">
      <c r="A20" s="153">
        <v>17.0</v>
      </c>
      <c r="B20" s="157" t="s">
        <v>2660</v>
      </c>
      <c r="C20" s="157" t="s">
        <v>308</v>
      </c>
      <c r="D20" s="157" t="s">
        <v>2661</v>
      </c>
      <c r="E20" s="157" t="s">
        <v>2662</v>
      </c>
      <c r="F20" s="157" t="s">
        <v>2663</v>
      </c>
      <c r="G20" s="157"/>
      <c r="H20" s="152"/>
      <c r="I20" s="152"/>
      <c r="J20" s="152"/>
      <c r="K20" s="152"/>
      <c r="L20" s="152"/>
      <c r="M20" s="152"/>
      <c r="N20" s="152"/>
      <c r="O20" s="152"/>
      <c r="P20" s="152"/>
      <c r="Q20" s="152"/>
      <c r="R20" s="152"/>
      <c r="S20" s="152"/>
      <c r="T20" s="152"/>
      <c r="U20" s="152"/>
      <c r="V20" s="152"/>
      <c r="W20" s="152"/>
      <c r="X20" s="152"/>
      <c r="Y20" s="152"/>
    </row>
    <row r="21" ht="15.75" customHeight="1">
      <c r="A21" s="153">
        <v>18.0</v>
      </c>
      <c r="B21" s="155" t="s">
        <v>341</v>
      </c>
      <c r="C21" s="155" t="s">
        <v>342</v>
      </c>
      <c r="D21" s="155" t="s">
        <v>320</v>
      </c>
      <c r="E21" s="155" t="s">
        <v>2657</v>
      </c>
      <c r="F21" s="155"/>
      <c r="G21" s="155"/>
      <c r="H21" s="152"/>
      <c r="I21" s="152"/>
      <c r="J21" s="152"/>
      <c r="K21" s="152"/>
      <c r="L21" s="152"/>
      <c r="M21" s="152"/>
      <c r="N21" s="152"/>
      <c r="O21" s="152"/>
      <c r="P21" s="152"/>
      <c r="Q21" s="152"/>
      <c r="R21" s="152"/>
      <c r="S21" s="152"/>
      <c r="T21" s="152"/>
      <c r="U21" s="152"/>
      <c r="V21" s="152"/>
      <c r="W21" s="152"/>
      <c r="X21" s="152"/>
      <c r="Y21" s="152"/>
    </row>
    <row r="22" ht="15.75" customHeight="1">
      <c r="A22" s="153">
        <v>19.0</v>
      </c>
      <c r="B22" s="155" t="s">
        <v>363</v>
      </c>
      <c r="C22" s="155" t="s">
        <v>364</v>
      </c>
      <c r="D22" s="155" t="s">
        <v>320</v>
      </c>
      <c r="E22" s="155" t="s">
        <v>2664</v>
      </c>
      <c r="F22" s="155" t="s">
        <v>2665</v>
      </c>
      <c r="G22" s="155"/>
      <c r="H22" s="152"/>
      <c r="I22" s="152"/>
      <c r="J22" s="152"/>
      <c r="K22" s="152"/>
      <c r="L22" s="152"/>
      <c r="M22" s="152"/>
      <c r="N22" s="152"/>
      <c r="O22" s="152"/>
      <c r="P22" s="152"/>
      <c r="Q22" s="152"/>
      <c r="R22" s="152"/>
      <c r="S22" s="152"/>
      <c r="T22" s="152"/>
      <c r="U22" s="152"/>
      <c r="V22" s="152"/>
      <c r="W22" s="152"/>
      <c r="X22" s="152"/>
      <c r="Y22" s="152"/>
    </row>
    <row r="23" ht="15.75" customHeight="1">
      <c r="A23" s="153">
        <v>20.0</v>
      </c>
      <c r="B23" s="155" t="s">
        <v>374</v>
      </c>
      <c r="C23" s="155" t="s">
        <v>375</v>
      </c>
      <c r="D23" s="155" t="s">
        <v>320</v>
      </c>
      <c r="E23" s="155" t="s">
        <v>2666</v>
      </c>
      <c r="F23" s="155"/>
      <c r="G23" s="155"/>
      <c r="H23" s="152"/>
      <c r="I23" s="152"/>
      <c r="J23" s="152"/>
      <c r="K23" s="152"/>
      <c r="L23" s="152"/>
      <c r="M23" s="152"/>
      <c r="N23" s="152"/>
      <c r="O23" s="152"/>
      <c r="P23" s="152"/>
      <c r="Q23" s="152"/>
      <c r="R23" s="152"/>
      <c r="S23" s="152"/>
      <c r="T23" s="152"/>
      <c r="U23" s="152"/>
      <c r="V23" s="152"/>
      <c r="W23" s="152"/>
      <c r="X23" s="152"/>
      <c r="Y23" s="152"/>
    </row>
    <row r="24" ht="15.75" customHeight="1">
      <c r="A24" s="153">
        <v>21.0</v>
      </c>
      <c r="B24" s="155" t="s">
        <v>416</v>
      </c>
      <c r="C24" s="155" t="s">
        <v>417</v>
      </c>
      <c r="D24" s="155" t="s">
        <v>320</v>
      </c>
      <c r="E24" s="155" t="s">
        <v>2667</v>
      </c>
      <c r="F24" s="155"/>
      <c r="G24" s="155"/>
      <c r="H24" s="152"/>
      <c r="I24" s="152"/>
      <c r="J24" s="152"/>
      <c r="K24" s="152"/>
      <c r="L24" s="152"/>
      <c r="M24" s="152"/>
      <c r="N24" s="152"/>
      <c r="O24" s="152"/>
      <c r="P24" s="152"/>
      <c r="Q24" s="152"/>
      <c r="R24" s="152"/>
      <c r="S24" s="152"/>
      <c r="T24" s="152"/>
      <c r="U24" s="152"/>
      <c r="V24" s="152"/>
      <c r="W24" s="152"/>
      <c r="X24" s="152"/>
      <c r="Y24" s="152"/>
    </row>
    <row r="25" ht="15.75" customHeight="1">
      <c r="A25" s="153">
        <v>22.0</v>
      </c>
      <c r="B25" s="157" t="s">
        <v>501</v>
      </c>
      <c r="C25" s="157" t="s">
        <v>502</v>
      </c>
      <c r="D25" s="157" t="s">
        <v>466</v>
      </c>
      <c r="E25" s="158" t="s">
        <v>2668</v>
      </c>
      <c r="F25" s="157"/>
      <c r="G25" s="157"/>
      <c r="H25" s="152"/>
      <c r="I25" s="152"/>
      <c r="J25" s="152"/>
      <c r="K25" s="152"/>
      <c r="L25" s="152"/>
      <c r="M25" s="152"/>
      <c r="N25" s="152"/>
      <c r="O25" s="152"/>
      <c r="P25" s="152"/>
      <c r="Q25" s="152"/>
      <c r="R25" s="152"/>
      <c r="S25" s="152"/>
      <c r="T25" s="152"/>
      <c r="U25" s="152"/>
      <c r="V25" s="152"/>
      <c r="W25" s="152"/>
      <c r="X25" s="152"/>
      <c r="Y25" s="152"/>
    </row>
    <row r="26" ht="15.75" customHeight="1">
      <c r="A26" s="153">
        <v>23.0</v>
      </c>
      <c r="B26" s="157" t="s">
        <v>2669</v>
      </c>
      <c r="C26" s="157" t="s">
        <v>2670</v>
      </c>
      <c r="D26" s="157" t="s">
        <v>466</v>
      </c>
      <c r="E26" s="158" t="s">
        <v>2671</v>
      </c>
      <c r="F26" s="157" t="s">
        <v>2672</v>
      </c>
      <c r="G26" s="157"/>
      <c r="H26" s="152"/>
      <c r="I26" s="152"/>
      <c r="J26" s="152"/>
      <c r="K26" s="152"/>
      <c r="L26" s="152"/>
      <c r="M26" s="152"/>
      <c r="N26" s="152"/>
      <c r="O26" s="152"/>
      <c r="P26" s="152"/>
      <c r="Q26" s="152"/>
      <c r="R26" s="152"/>
      <c r="S26" s="152"/>
      <c r="T26" s="152"/>
      <c r="U26" s="152"/>
      <c r="V26" s="152"/>
      <c r="W26" s="152"/>
      <c r="X26" s="152"/>
      <c r="Y26" s="152"/>
    </row>
    <row r="27" ht="15.75" customHeight="1">
      <c r="A27" s="153">
        <v>24.0</v>
      </c>
      <c r="B27" s="158" t="s">
        <v>583</v>
      </c>
      <c r="C27" s="158" t="s">
        <v>192</v>
      </c>
      <c r="D27" s="157" t="s">
        <v>466</v>
      </c>
      <c r="E27" s="158" t="s">
        <v>2673</v>
      </c>
      <c r="F27" s="157" t="s">
        <v>2674</v>
      </c>
      <c r="G27" s="157"/>
      <c r="H27" s="152"/>
      <c r="I27" s="152"/>
      <c r="J27" s="152"/>
      <c r="K27" s="152"/>
      <c r="L27" s="152"/>
      <c r="M27" s="152"/>
      <c r="N27" s="152"/>
      <c r="O27" s="152"/>
      <c r="P27" s="152"/>
      <c r="Q27" s="152"/>
      <c r="R27" s="152"/>
      <c r="S27" s="152"/>
      <c r="T27" s="152"/>
      <c r="U27" s="152"/>
      <c r="V27" s="152"/>
      <c r="W27" s="152"/>
      <c r="X27" s="152"/>
      <c r="Y27" s="152"/>
    </row>
    <row r="28" ht="15.75" customHeight="1">
      <c r="A28" s="153">
        <v>25.0</v>
      </c>
      <c r="B28" s="155" t="s">
        <v>2675</v>
      </c>
      <c r="C28" s="155" t="s">
        <v>609</v>
      </c>
      <c r="D28" s="155" t="s">
        <v>599</v>
      </c>
      <c r="E28" s="155" t="s">
        <v>2676</v>
      </c>
      <c r="F28" s="155" t="s">
        <v>2677</v>
      </c>
      <c r="G28" s="155"/>
      <c r="H28" s="152"/>
      <c r="I28" s="152"/>
      <c r="J28" s="152"/>
      <c r="K28" s="152"/>
      <c r="L28" s="152"/>
      <c r="M28" s="152"/>
      <c r="N28" s="152"/>
      <c r="O28" s="152"/>
      <c r="P28" s="152"/>
      <c r="Q28" s="152"/>
      <c r="R28" s="152"/>
      <c r="S28" s="152"/>
      <c r="T28" s="152"/>
      <c r="U28" s="152"/>
      <c r="V28" s="152"/>
      <c r="W28" s="152"/>
      <c r="X28" s="152"/>
      <c r="Y28" s="152"/>
    </row>
    <row r="29" ht="15.75" customHeight="1">
      <c r="A29" s="153">
        <v>26.0</v>
      </c>
      <c r="B29" s="155" t="s">
        <v>621</v>
      </c>
      <c r="C29" s="155" t="s">
        <v>622</v>
      </c>
      <c r="D29" s="155" t="s">
        <v>599</v>
      </c>
      <c r="E29" s="155" t="s">
        <v>2654</v>
      </c>
      <c r="F29" s="155"/>
      <c r="G29" s="155"/>
      <c r="H29" s="152"/>
      <c r="I29" s="152"/>
      <c r="J29" s="152"/>
      <c r="K29" s="152"/>
      <c r="L29" s="152"/>
      <c r="M29" s="152"/>
      <c r="N29" s="152"/>
      <c r="O29" s="152"/>
      <c r="P29" s="152"/>
      <c r="Q29" s="152"/>
      <c r="R29" s="152"/>
      <c r="S29" s="152"/>
      <c r="T29" s="152"/>
      <c r="U29" s="152"/>
      <c r="V29" s="152"/>
      <c r="W29" s="152"/>
      <c r="X29" s="152"/>
      <c r="Y29" s="152"/>
    </row>
    <row r="30" ht="15.75" customHeight="1">
      <c r="A30" s="153">
        <v>27.0</v>
      </c>
      <c r="B30" s="155" t="s">
        <v>685</v>
      </c>
      <c r="C30" s="155" t="s">
        <v>686</v>
      </c>
      <c r="D30" s="155" t="s">
        <v>599</v>
      </c>
      <c r="E30" s="155" t="s">
        <v>2678</v>
      </c>
      <c r="F30" s="155" t="s">
        <v>2679</v>
      </c>
      <c r="G30" s="155"/>
      <c r="H30" s="152"/>
      <c r="I30" s="152"/>
      <c r="J30" s="152"/>
      <c r="K30" s="152"/>
      <c r="L30" s="152"/>
      <c r="M30" s="152"/>
      <c r="N30" s="152"/>
      <c r="O30" s="152"/>
      <c r="P30" s="152"/>
      <c r="Q30" s="152"/>
      <c r="R30" s="152"/>
      <c r="S30" s="152"/>
      <c r="T30" s="152"/>
      <c r="U30" s="152"/>
      <c r="V30" s="152"/>
      <c r="W30" s="152"/>
      <c r="X30" s="152"/>
      <c r="Y30" s="152"/>
    </row>
    <row r="31" ht="15.75" customHeight="1">
      <c r="A31" s="153">
        <v>28.0</v>
      </c>
      <c r="B31" s="155" t="s">
        <v>705</v>
      </c>
      <c r="C31" s="155" t="s">
        <v>706</v>
      </c>
      <c r="D31" s="155" t="s">
        <v>599</v>
      </c>
      <c r="E31" s="155" t="s">
        <v>2680</v>
      </c>
      <c r="F31" s="155" t="s">
        <v>2681</v>
      </c>
      <c r="G31" s="155"/>
      <c r="H31" s="152"/>
      <c r="I31" s="152"/>
      <c r="J31" s="152"/>
      <c r="K31" s="152"/>
      <c r="L31" s="152"/>
      <c r="M31" s="152"/>
      <c r="N31" s="152"/>
      <c r="O31" s="152"/>
      <c r="P31" s="152"/>
      <c r="Q31" s="152"/>
      <c r="R31" s="152"/>
      <c r="S31" s="152"/>
      <c r="T31" s="152"/>
      <c r="U31" s="152"/>
      <c r="V31" s="152"/>
      <c r="W31" s="152"/>
      <c r="X31" s="152"/>
      <c r="Y31" s="152"/>
    </row>
    <row r="32" ht="15.75" customHeight="1">
      <c r="A32" s="153">
        <v>29.0</v>
      </c>
      <c r="B32" s="157" t="s">
        <v>715</v>
      </c>
      <c r="C32" s="157" t="s">
        <v>716</v>
      </c>
      <c r="D32" s="157" t="s">
        <v>717</v>
      </c>
      <c r="E32" s="157" t="s">
        <v>2682</v>
      </c>
      <c r="F32" s="157" t="s">
        <v>2683</v>
      </c>
      <c r="G32" s="157"/>
      <c r="H32" s="152"/>
      <c r="I32" s="152"/>
      <c r="J32" s="152"/>
      <c r="K32" s="152"/>
      <c r="L32" s="152"/>
      <c r="M32" s="152"/>
      <c r="N32" s="152"/>
      <c r="O32" s="152"/>
      <c r="P32" s="152"/>
      <c r="Q32" s="152"/>
      <c r="R32" s="152"/>
      <c r="S32" s="152"/>
      <c r="T32" s="152"/>
      <c r="U32" s="152"/>
      <c r="V32" s="152"/>
      <c r="W32" s="152"/>
      <c r="X32" s="152"/>
      <c r="Y32" s="152"/>
    </row>
    <row r="33" ht="15.75" customHeight="1">
      <c r="A33" s="153">
        <v>30.0</v>
      </c>
      <c r="B33" s="157" t="s">
        <v>735</v>
      </c>
      <c r="C33" s="157" t="s">
        <v>736</v>
      </c>
      <c r="D33" s="157" t="s">
        <v>717</v>
      </c>
      <c r="E33" s="159" t="s">
        <v>2684</v>
      </c>
      <c r="F33" s="157"/>
      <c r="G33" s="157"/>
      <c r="H33" s="152"/>
      <c r="I33" s="152"/>
      <c r="J33" s="152"/>
      <c r="K33" s="152"/>
      <c r="L33" s="152"/>
      <c r="M33" s="152"/>
      <c r="N33" s="152"/>
      <c r="O33" s="152"/>
      <c r="P33" s="152"/>
      <c r="Q33" s="152"/>
      <c r="R33" s="152"/>
      <c r="S33" s="152"/>
      <c r="T33" s="152"/>
      <c r="U33" s="152"/>
      <c r="V33" s="152"/>
      <c r="W33" s="152"/>
      <c r="X33" s="152"/>
      <c r="Y33" s="152"/>
    </row>
    <row r="34" ht="15.75" customHeight="1">
      <c r="A34" s="153">
        <v>31.0</v>
      </c>
      <c r="B34" s="160" t="s">
        <v>748</v>
      </c>
      <c r="C34" s="158" t="s">
        <v>331</v>
      </c>
      <c r="D34" s="157" t="s">
        <v>717</v>
      </c>
      <c r="E34" s="160" t="s">
        <v>2685</v>
      </c>
      <c r="F34" s="160" t="s">
        <v>2686</v>
      </c>
      <c r="G34" s="157"/>
      <c r="H34" s="152"/>
      <c r="I34" s="152"/>
      <c r="J34" s="152"/>
      <c r="K34" s="152"/>
      <c r="L34" s="152"/>
      <c r="M34" s="152"/>
      <c r="N34" s="152"/>
      <c r="O34" s="152"/>
      <c r="P34" s="152"/>
      <c r="Q34" s="152"/>
      <c r="R34" s="152"/>
      <c r="S34" s="152"/>
      <c r="T34" s="152"/>
      <c r="U34" s="152"/>
      <c r="V34" s="152"/>
      <c r="W34" s="152"/>
      <c r="X34" s="152"/>
      <c r="Y34" s="152"/>
    </row>
    <row r="35" ht="15.75" customHeight="1">
      <c r="A35" s="153">
        <v>32.0</v>
      </c>
      <c r="B35" s="157" t="s">
        <v>770</v>
      </c>
      <c r="C35" s="157" t="s">
        <v>598</v>
      </c>
      <c r="D35" s="157" t="s">
        <v>717</v>
      </c>
      <c r="E35" s="157" t="s">
        <v>2687</v>
      </c>
      <c r="F35" s="157"/>
      <c r="G35" s="157"/>
      <c r="H35" s="152"/>
      <c r="I35" s="152"/>
      <c r="J35" s="152"/>
      <c r="K35" s="152"/>
      <c r="L35" s="152"/>
      <c r="M35" s="152"/>
      <c r="N35" s="152"/>
      <c r="O35" s="152"/>
      <c r="P35" s="152"/>
      <c r="Q35" s="152"/>
      <c r="R35" s="152"/>
      <c r="S35" s="152"/>
      <c r="T35" s="152"/>
      <c r="U35" s="152"/>
      <c r="V35" s="152"/>
      <c r="W35" s="152"/>
      <c r="X35" s="152"/>
      <c r="Y35" s="152"/>
    </row>
    <row r="36" ht="15.75" customHeight="1">
      <c r="A36" s="153">
        <v>33.0</v>
      </c>
      <c r="B36" s="158" t="s">
        <v>795</v>
      </c>
      <c r="C36" s="158" t="s">
        <v>796</v>
      </c>
      <c r="D36" s="158" t="s">
        <v>717</v>
      </c>
      <c r="E36" s="160" t="s">
        <v>2688</v>
      </c>
      <c r="F36" s="158" t="s">
        <v>2689</v>
      </c>
      <c r="G36" s="157"/>
      <c r="H36" s="152"/>
      <c r="I36" s="152"/>
      <c r="J36" s="152"/>
      <c r="K36" s="152"/>
      <c r="L36" s="152"/>
      <c r="M36" s="152"/>
      <c r="N36" s="152"/>
      <c r="O36" s="152"/>
      <c r="P36" s="152"/>
      <c r="Q36" s="152"/>
      <c r="R36" s="152"/>
      <c r="S36" s="152"/>
      <c r="T36" s="152"/>
      <c r="U36" s="152"/>
      <c r="V36" s="152"/>
      <c r="W36" s="152"/>
      <c r="X36" s="152"/>
      <c r="Y36" s="152"/>
    </row>
    <row r="37" ht="15.75" customHeight="1">
      <c r="A37" s="153">
        <v>34.0</v>
      </c>
      <c r="B37" s="154" t="s">
        <v>843</v>
      </c>
      <c r="C37" s="154" t="s">
        <v>844</v>
      </c>
      <c r="D37" s="155" t="s">
        <v>845</v>
      </c>
      <c r="E37" s="155" t="s">
        <v>2690</v>
      </c>
      <c r="F37" s="155" t="s">
        <v>851</v>
      </c>
      <c r="G37" s="155"/>
      <c r="H37" s="152"/>
      <c r="I37" s="152"/>
      <c r="J37" s="152"/>
      <c r="K37" s="152"/>
      <c r="L37" s="152"/>
      <c r="M37" s="152"/>
      <c r="N37" s="152"/>
      <c r="O37" s="152"/>
      <c r="P37" s="152"/>
      <c r="Q37" s="152"/>
      <c r="R37" s="152"/>
      <c r="S37" s="152"/>
      <c r="T37" s="152"/>
      <c r="U37" s="152"/>
      <c r="V37" s="152"/>
      <c r="W37" s="152"/>
      <c r="X37" s="152"/>
      <c r="Y37" s="152"/>
    </row>
    <row r="38" ht="15.75" customHeight="1">
      <c r="A38" s="153">
        <v>35.0</v>
      </c>
      <c r="B38" s="155" t="s">
        <v>867</v>
      </c>
      <c r="C38" s="155" t="s">
        <v>868</v>
      </c>
      <c r="D38" s="155" t="s">
        <v>845</v>
      </c>
      <c r="E38" s="155" t="s">
        <v>2691</v>
      </c>
      <c r="F38" s="155" t="s">
        <v>2692</v>
      </c>
      <c r="G38" s="155"/>
      <c r="H38" s="152"/>
      <c r="I38" s="152"/>
      <c r="J38" s="152"/>
      <c r="K38" s="152"/>
      <c r="L38" s="152"/>
      <c r="M38" s="152"/>
      <c r="N38" s="152"/>
      <c r="O38" s="152"/>
      <c r="P38" s="152"/>
      <c r="Q38" s="152"/>
      <c r="R38" s="152"/>
      <c r="S38" s="152"/>
      <c r="T38" s="152"/>
      <c r="U38" s="152"/>
      <c r="V38" s="152"/>
      <c r="W38" s="152"/>
      <c r="X38" s="152"/>
      <c r="Y38" s="152"/>
    </row>
    <row r="39" ht="15.75" customHeight="1">
      <c r="A39" s="153">
        <v>36.0</v>
      </c>
      <c r="B39" s="154" t="s">
        <v>909</v>
      </c>
      <c r="C39" s="154" t="s">
        <v>868</v>
      </c>
      <c r="D39" s="155" t="s">
        <v>845</v>
      </c>
      <c r="E39" s="155" t="s">
        <v>2693</v>
      </c>
      <c r="F39" s="155"/>
      <c r="G39" s="155"/>
      <c r="H39" s="152"/>
      <c r="I39" s="152"/>
      <c r="J39" s="152"/>
      <c r="K39" s="152"/>
      <c r="L39" s="152"/>
      <c r="M39" s="152"/>
      <c r="N39" s="152"/>
      <c r="O39" s="152"/>
      <c r="P39" s="152"/>
      <c r="Q39" s="152"/>
      <c r="R39" s="152"/>
      <c r="S39" s="152"/>
      <c r="T39" s="152"/>
      <c r="U39" s="152"/>
      <c r="V39" s="152"/>
      <c r="W39" s="152"/>
      <c r="X39" s="152"/>
      <c r="Y39" s="152"/>
    </row>
    <row r="40" ht="15.75" customHeight="1">
      <c r="A40" s="153">
        <v>37.0</v>
      </c>
      <c r="B40" s="155" t="s">
        <v>957</v>
      </c>
      <c r="C40" s="155" t="s">
        <v>158</v>
      </c>
      <c r="D40" s="155" t="s">
        <v>845</v>
      </c>
      <c r="E40" s="155" t="s">
        <v>2694</v>
      </c>
      <c r="F40" s="155"/>
      <c r="G40" s="155"/>
      <c r="H40" s="152"/>
      <c r="I40" s="152"/>
      <c r="J40" s="152"/>
      <c r="K40" s="152"/>
      <c r="L40" s="152"/>
      <c r="M40" s="152"/>
      <c r="N40" s="152"/>
      <c r="O40" s="152"/>
      <c r="P40" s="152"/>
      <c r="Q40" s="152"/>
      <c r="R40" s="152"/>
      <c r="S40" s="152"/>
      <c r="T40" s="152"/>
      <c r="U40" s="152"/>
      <c r="V40" s="152"/>
      <c r="W40" s="152"/>
      <c r="X40" s="152"/>
      <c r="Y40" s="152"/>
    </row>
    <row r="41" ht="15.75" customHeight="1">
      <c r="A41" s="153">
        <v>38.0</v>
      </c>
      <c r="B41" s="154" t="s">
        <v>969</v>
      </c>
      <c r="C41" s="154" t="s">
        <v>970</v>
      </c>
      <c r="D41" s="155" t="s">
        <v>845</v>
      </c>
      <c r="E41" s="155" t="s">
        <v>2695</v>
      </c>
      <c r="F41" s="155" t="s">
        <v>2696</v>
      </c>
      <c r="G41" s="155"/>
      <c r="H41" s="152"/>
      <c r="I41" s="152"/>
      <c r="J41" s="152"/>
      <c r="K41" s="152"/>
      <c r="L41" s="152"/>
      <c r="M41" s="152"/>
      <c r="N41" s="152"/>
      <c r="O41" s="152"/>
      <c r="P41" s="152"/>
      <c r="Q41" s="152"/>
      <c r="R41" s="152"/>
      <c r="S41" s="152"/>
      <c r="T41" s="152"/>
      <c r="U41" s="152"/>
      <c r="V41" s="152"/>
      <c r="W41" s="152"/>
      <c r="X41" s="152"/>
      <c r="Y41" s="152"/>
    </row>
    <row r="42" ht="15.75" customHeight="1">
      <c r="A42" s="153">
        <v>39.0</v>
      </c>
      <c r="B42" s="157" t="s">
        <v>2697</v>
      </c>
      <c r="C42" s="157" t="s">
        <v>2698</v>
      </c>
      <c r="D42" s="157" t="s">
        <v>1019</v>
      </c>
      <c r="E42" s="157" t="s">
        <v>2699</v>
      </c>
      <c r="F42" s="157" t="s">
        <v>2700</v>
      </c>
      <c r="G42" s="157"/>
      <c r="H42" s="152"/>
      <c r="I42" s="152"/>
      <c r="J42" s="152"/>
      <c r="K42" s="152"/>
      <c r="L42" s="152"/>
      <c r="M42" s="152"/>
      <c r="N42" s="152"/>
      <c r="O42" s="152"/>
      <c r="P42" s="152"/>
      <c r="Q42" s="152"/>
      <c r="R42" s="152"/>
      <c r="S42" s="152"/>
      <c r="T42" s="152"/>
      <c r="U42" s="152"/>
      <c r="V42" s="152"/>
      <c r="W42" s="152"/>
      <c r="X42" s="152"/>
      <c r="Y42" s="152"/>
    </row>
    <row r="43" ht="15.75" customHeight="1">
      <c r="A43" s="161">
        <v>40.0</v>
      </c>
      <c r="B43" s="157" t="s">
        <v>1124</v>
      </c>
      <c r="C43" s="157" t="s">
        <v>308</v>
      </c>
      <c r="D43" s="157" t="s">
        <v>1019</v>
      </c>
      <c r="E43" s="157" t="s">
        <v>2701</v>
      </c>
      <c r="F43" s="157" t="s">
        <v>2702</v>
      </c>
      <c r="G43" s="157"/>
      <c r="H43" s="152"/>
      <c r="I43" s="152"/>
      <c r="J43" s="152"/>
      <c r="K43" s="152"/>
      <c r="L43" s="152"/>
      <c r="M43" s="152"/>
      <c r="N43" s="152"/>
      <c r="O43" s="152"/>
      <c r="P43" s="152"/>
      <c r="Q43" s="152"/>
      <c r="R43" s="152"/>
      <c r="S43" s="152"/>
      <c r="T43" s="152"/>
      <c r="U43" s="152"/>
      <c r="V43" s="152"/>
      <c r="W43" s="152"/>
      <c r="X43" s="152"/>
      <c r="Y43" s="152"/>
    </row>
    <row r="44" ht="15.75" customHeight="1">
      <c r="A44" s="153">
        <v>41.0</v>
      </c>
      <c r="B44" s="157" t="s">
        <v>1147</v>
      </c>
      <c r="C44" s="157" t="s">
        <v>1148</v>
      </c>
      <c r="D44" s="157" t="s">
        <v>1019</v>
      </c>
      <c r="E44" s="157" t="s">
        <v>2703</v>
      </c>
      <c r="F44" s="157" t="s">
        <v>2704</v>
      </c>
      <c r="G44" s="157"/>
      <c r="H44" s="152"/>
      <c r="I44" s="152"/>
      <c r="J44" s="152"/>
      <c r="K44" s="152"/>
      <c r="L44" s="152"/>
      <c r="M44" s="152"/>
      <c r="N44" s="152"/>
      <c r="O44" s="152"/>
      <c r="P44" s="152"/>
      <c r="Q44" s="152"/>
      <c r="R44" s="152"/>
      <c r="S44" s="152"/>
      <c r="T44" s="152"/>
      <c r="U44" s="152"/>
      <c r="V44" s="152"/>
      <c r="W44" s="152"/>
      <c r="X44" s="152"/>
      <c r="Y44" s="152"/>
    </row>
    <row r="45" ht="15.75" customHeight="1">
      <c r="A45" s="153">
        <v>42.0</v>
      </c>
      <c r="B45" s="154" t="s">
        <v>1195</v>
      </c>
      <c r="C45" s="154" t="s">
        <v>1196</v>
      </c>
      <c r="D45" s="155" t="s">
        <v>1197</v>
      </c>
      <c r="E45" s="155" t="s">
        <v>2705</v>
      </c>
      <c r="F45" s="155" t="s">
        <v>2706</v>
      </c>
      <c r="G45" s="162" t="s">
        <v>2707</v>
      </c>
      <c r="H45" s="152"/>
      <c r="I45" s="152"/>
      <c r="J45" s="152"/>
      <c r="K45" s="152"/>
      <c r="L45" s="152"/>
      <c r="M45" s="152"/>
      <c r="N45" s="152"/>
      <c r="O45" s="152"/>
      <c r="P45" s="152"/>
      <c r="Q45" s="152"/>
      <c r="R45" s="152"/>
      <c r="S45" s="152"/>
      <c r="T45" s="152"/>
      <c r="U45" s="152"/>
      <c r="V45" s="152"/>
      <c r="W45" s="152"/>
      <c r="X45" s="152"/>
      <c r="Y45" s="152"/>
    </row>
    <row r="46" ht="15.75" customHeight="1">
      <c r="A46" s="153">
        <v>43.0</v>
      </c>
      <c r="B46" s="154" t="s">
        <v>1285</v>
      </c>
      <c r="C46" s="154" t="s">
        <v>1286</v>
      </c>
      <c r="D46" s="155" t="s">
        <v>1197</v>
      </c>
      <c r="E46" s="155" t="s">
        <v>2708</v>
      </c>
      <c r="F46" s="155" t="s">
        <v>1293</v>
      </c>
      <c r="G46" s="155"/>
      <c r="H46" s="152"/>
      <c r="I46" s="152"/>
      <c r="J46" s="152"/>
      <c r="K46" s="152"/>
      <c r="L46" s="152"/>
      <c r="M46" s="152"/>
      <c r="N46" s="152"/>
      <c r="O46" s="152"/>
      <c r="P46" s="152"/>
      <c r="Q46" s="152"/>
      <c r="R46" s="152"/>
      <c r="S46" s="152"/>
      <c r="T46" s="152"/>
      <c r="U46" s="152"/>
      <c r="V46" s="152"/>
      <c r="W46" s="152"/>
      <c r="X46" s="152"/>
      <c r="Y46" s="152"/>
    </row>
    <row r="47" ht="15.75" customHeight="1">
      <c r="A47" s="153">
        <v>44.0</v>
      </c>
      <c r="B47" s="154" t="s">
        <v>2709</v>
      </c>
      <c r="C47" s="154" t="s">
        <v>1218</v>
      </c>
      <c r="D47" s="155" t="s">
        <v>1197</v>
      </c>
      <c r="E47" s="155" t="s">
        <v>2710</v>
      </c>
      <c r="F47" s="155" t="s">
        <v>2711</v>
      </c>
      <c r="G47" s="155"/>
      <c r="H47" s="152"/>
      <c r="I47" s="152"/>
      <c r="J47" s="152"/>
      <c r="K47" s="152"/>
      <c r="L47" s="152"/>
      <c r="M47" s="152"/>
      <c r="N47" s="152"/>
      <c r="O47" s="152"/>
      <c r="P47" s="152"/>
      <c r="Q47" s="152"/>
      <c r="R47" s="152"/>
      <c r="S47" s="152"/>
      <c r="T47" s="152"/>
      <c r="U47" s="152"/>
      <c r="V47" s="152"/>
      <c r="W47" s="152"/>
      <c r="X47" s="152"/>
      <c r="Y47" s="152"/>
    </row>
    <row r="48" ht="15.75" customHeight="1">
      <c r="A48" s="153">
        <v>45.0</v>
      </c>
      <c r="B48" s="154" t="s">
        <v>1295</v>
      </c>
      <c r="C48" s="154" t="s">
        <v>1296</v>
      </c>
      <c r="D48" s="155" t="s">
        <v>1197</v>
      </c>
      <c r="E48" s="155" t="s">
        <v>2712</v>
      </c>
      <c r="F48" s="155" t="s">
        <v>2713</v>
      </c>
      <c r="G48" s="155"/>
      <c r="H48" s="152"/>
      <c r="I48" s="152"/>
      <c r="J48" s="152"/>
      <c r="K48" s="152"/>
      <c r="L48" s="152"/>
      <c r="M48" s="152"/>
      <c r="N48" s="152"/>
      <c r="O48" s="152"/>
      <c r="P48" s="152"/>
      <c r="Q48" s="152"/>
      <c r="R48" s="152"/>
      <c r="S48" s="152"/>
      <c r="T48" s="152"/>
      <c r="U48" s="152"/>
      <c r="V48" s="152"/>
      <c r="W48" s="152"/>
      <c r="X48" s="152"/>
      <c r="Y48" s="152"/>
    </row>
    <row r="49" ht="15.75" customHeight="1">
      <c r="A49" s="153">
        <v>46.0</v>
      </c>
      <c r="B49" s="158" t="s">
        <v>2714</v>
      </c>
      <c r="C49" s="158" t="s">
        <v>1518</v>
      </c>
      <c r="D49" s="157" t="s">
        <v>1489</v>
      </c>
      <c r="E49" s="157" t="s">
        <v>2715</v>
      </c>
      <c r="F49" s="157" t="s">
        <v>2716</v>
      </c>
      <c r="G49" s="157"/>
      <c r="H49" s="152"/>
      <c r="I49" s="152"/>
      <c r="J49" s="152"/>
      <c r="K49" s="152"/>
      <c r="L49" s="152"/>
      <c r="M49" s="152"/>
      <c r="N49" s="152"/>
      <c r="O49" s="152"/>
      <c r="P49" s="152"/>
      <c r="Q49" s="152"/>
      <c r="R49" s="152"/>
      <c r="S49" s="152"/>
      <c r="T49" s="152"/>
      <c r="U49" s="152"/>
      <c r="V49" s="152"/>
      <c r="W49" s="152"/>
      <c r="X49" s="152"/>
      <c r="Y49" s="152"/>
    </row>
    <row r="50" ht="15.75" customHeight="1">
      <c r="A50" s="163">
        <v>47.0</v>
      </c>
      <c r="B50" s="164" t="s">
        <v>1590</v>
      </c>
      <c r="C50" s="165" t="s">
        <v>1591</v>
      </c>
      <c r="D50" s="157" t="s">
        <v>1489</v>
      </c>
      <c r="E50" s="166" t="s">
        <v>2717</v>
      </c>
      <c r="F50" s="166" t="s">
        <v>1598</v>
      </c>
      <c r="G50" s="165"/>
      <c r="H50" s="152"/>
      <c r="I50" s="152"/>
      <c r="J50" s="152"/>
      <c r="K50" s="152"/>
      <c r="L50" s="152"/>
      <c r="M50" s="152"/>
      <c r="N50" s="152"/>
      <c r="O50" s="152"/>
      <c r="P50" s="152"/>
      <c r="Q50" s="152"/>
      <c r="R50" s="152"/>
      <c r="S50" s="152"/>
      <c r="T50" s="152"/>
      <c r="U50" s="152"/>
      <c r="V50" s="152"/>
      <c r="W50" s="152"/>
      <c r="X50" s="152"/>
      <c r="Y50" s="152"/>
    </row>
    <row r="51" ht="15.75" customHeight="1">
      <c r="A51" s="167">
        <v>48.0</v>
      </c>
      <c r="B51" s="152"/>
      <c r="C51" s="167" t="s">
        <v>824</v>
      </c>
      <c r="D51" s="152"/>
      <c r="E51" s="152"/>
      <c r="F51" s="167" t="s">
        <v>2718</v>
      </c>
      <c r="G51" s="152"/>
      <c r="H51" s="152"/>
      <c r="I51" s="152"/>
      <c r="J51" s="152"/>
      <c r="K51" s="152"/>
      <c r="L51" s="152"/>
      <c r="M51" s="152"/>
      <c r="N51" s="152"/>
      <c r="O51" s="152"/>
      <c r="P51" s="152"/>
      <c r="Q51" s="152"/>
      <c r="R51" s="152"/>
      <c r="S51" s="152"/>
      <c r="T51" s="152"/>
      <c r="U51" s="152"/>
      <c r="V51" s="152"/>
      <c r="W51" s="152"/>
      <c r="X51" s="152"/>
      <c r="Y51" s="152"/>
    </row>
    <row r="52" ht="15.75" customHeight="1">
      <c r="A52" s="152"/>
      <c r="B52" s="167" t="s">
        <v>2719</v>
      </c>
      <c r="C52" s="167" t="s">
        <v>2720</v>
      </c>
      <c r="D52" s="152"/>
      <c r="E52" s="167" t="s">
        <v>2721</v>
      </c>
      <c r="F52" s="167" t="s">
        <v>2722</v>
      </c>
      <c r="G52" s="152"/>
      <c r="H52" s="152"/>
      <c r="I52" s="152"/>
      <c r="J52" s="152"/>
      <c r="K52" s="152"/>
      <c r="L52" s="152"/>
      <c r="M52" s="152"/>
      <c r="N52" s="152"/>
      <c r="O52" s="152"/>
      <c r="P52" s="152"/>
      <c r="Q52" s="152"/>
      <c r="R52" s="152"/>
      <c r="S52" s="152"/>
      <c r="T52" s="152"/>
      <c r="U52" s="152"/>
      <c r="V52" s="152"/>
      <c r="W52" s="152"/>
      <c r="X52" s="152"/>
      <c r="Y52" s="152"/>
    </row>
    <row r="53" ht="15.75" customHeight="1">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row>
    <row r="54" ht="15.75" customHeight="1">
      <c r="A54" s="15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row>
    <row r="55" ht="15.75" customHeight="1">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row>
    <row r="56" ht="15.75" customHeight="1">
      <c r="A56" s="15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row>
    <row r="57" ht="15.75" customHeight="1">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row>
    <row r="58" ht="15.75" customHeight="1">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row>
    <row r="59" ht="15.75" customHeight="1">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row>
    <row r="60" ht="15.75" customHeight="1">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row>
    <row r="61" ht="15.75" customHeight="1">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row>
    <row r="62" ht="15.75" customHeight="1">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row>
    <row r="63" ht="15.75" customHeight="1">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row>
    <row r="64" ht="15.75" customHeight="1">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row>
    <row r="65" ht="15.75" customHeight="1">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row>
    <row r="66" ht="15.75" customHeight="1">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row>
    <row r="67" ht="15.75" customHeight="1">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row>
    <row r="68" ht="15.75" customHeight="1">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row>
    <row r="69" ht="15.75" customHeight="1">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row>
    <row r="70" ht="15.75" customHeight="1">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row>
    <row r="71" ht="15.75" customHeight="1">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row>
    <row r="72" ht="15.75" customHeight="1">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row>
    <row r="73" ht="15.75" customHeight="1">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row>
    <row r="74" ht="15.75" customHeight="1">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row>
    <row r="75" ht="15.75" customHeight="1">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row>
    <row r="76" ht="15.75" customHeight="1">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row>
    <row r="77" ht="15.75" customHeight="1">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row>
    <row r="78" ht="15.75" customHeight="1">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row>
    <row r="79" ht="15.75" customHeight="1">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row>
    <row r="80" ht="15.75" customHeight="1">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row>
    <row r="81" ht="15.75" customHeight="1">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row>
    <row r="82" ht="15.75" customHeight="1">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row>
    <row r="83" ht="15.75" customHeight="1">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row>
    <row r="84" ht="15.75" customHeight="1">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row>
    <row r="85" ht="15.75" customHeight="1">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row>
    <row r="86" ht="15.75" customHeight="1">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row>
    <row r="87" ht="15.75" customHeight="1">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row>
    <row r="88" ht="15.75" customHeight="1">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row>
    <row r="89" ht="15.75" customHeight="1">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row>
    <row r="90" ht="15.75" customHeight="1">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row>
    <row r="91" ht="15.75" customHeight="1">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row>
    <row r="92" ht="15.75" customHeight="1">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row>
    <row r="93" ht="15.75" customHeight="1">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row>
    <row r="94" ht="15.75" customHeight="1">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row>
    <row r="95" ht="15.75" customHeight="1">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row>
    <row r="96" ht="15.75" customHeight="1">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row>
    <row r="97" ht="15.75" customHeight="1">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row>
    <row r="98" ht="15.75" customHeight="1">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row>
    <row r="99" ht="15.75" customHeight="1">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row>
    <row r="100" ht="15.75" customHeight="1">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row>
    <row r="101" ht="15.75" customHeight="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row>
    <row r="102" ht="15.75" customHeight="1">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row>
    <row r="103" ht="15.75" customHeight="1">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row>
    <row r="104" ht="15.75" customHeight="1">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row>
    <row r="105" ht="15.75" customHeight="1">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row>
    <row r="106" ht="15.75" customHeight="1">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row>
    <row r="107" ht="15.75" customHeight="1">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row>
    <row r="108" ht="15.75" customHeight="1">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row>
    <row r="109" ht="15.75" customHeight="1">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row>
    <row r="110" ht="15.75" customHeight="1">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row>
    <row r="111" ht="15.75" customHeight="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row>
    <row r="112" ht="15.75" customHeight="1">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row>
    <row r="113" ht="15.75" customHeight="1">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row>
    <row r="114" ht="15.75" customHeight="1">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row>
    <row r="115" ht="15.75" customHeight="1">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row>
    <row r="116" ht="15.75" customHeight="1">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row>
    <row r="117" ht="15.75" customHeight="1">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row>
    <row r="118" ht="15.75" customHeight="1">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row>
    <row r="119" ht="15.75" customHeight="1">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row>
    <row r="120" ht="15.75" customHeight="1">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row>
    <row r="121" ht="15.75" customHeight="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row>
    <row r="122" ht="15.75" customHeight="1">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row>
    <row r="123" ht="15.75" customHeight="1">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row>
    <row r="124" ht="15.75" customHeight="1">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row>
    <row r="125" ht="15.75" customHeight="1">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row>
    <row r="126" ht="15.75" customHeight="1">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row>
    <row r="127" ht="15.75" customHeight="1">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row>
    <row r="128" ht="15.75" customHeight="1">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row>
    <row r="129" ht="15.75" customHeight="1">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row>
    <row r="130" ht="15.75" customHeight="1">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row>
    <row r="131" ht="15.75" customHeight="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row>
    <row r="132" ht="15.75" customHeight="1">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row>
    <row r="133" ht="15.75" customHeight="1">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row>
    <row r="134" ht="15.75" customHeight="1">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row>
    <row r="135" ht="15.75" customHeight="1">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row>
    <row r="136" ht="15.75" customHeight="1">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row>
    <row r="137" ht="15.75" customHeight="1">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row>
    <row r="138" ht="15.75"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row>
    <row r="139" ht="15.75"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row>
    <row r="140" ht="15.75" customHeight="1">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row>
    <row r="141" ht="15.75" customHeight="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row>
    <row r="142" ht="15.75" customHeight="1">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row>
    <row r="143" ht="15.75" customHeight="1">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row>
    <row r="144" ht="15.75" customHeight="1">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row>
    <row r="145" ht="15.75" customHeight="1">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row>
    <row r="146" ht="15.75" customHeight="1">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row>
    <row r="147" ht="15.75" customHeight="1">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row>
    <row r="148" ht="15.75" customHeight="1">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row>
    <row r="149" ht="15.75" customHeight="1">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row>
    <row r="150" ht="15.75" customHeight="1">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row>
    <row r="151" ht="15.75" customHeight="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row>
    <row r="152" ht="15.75" customHeight="1">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row>
    <row r="153" ht="15.75" customHeight="1">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row>
    <row r="154" ht="15.75" customHeight="1">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row>
    <row r="155" ht="15.75" customHeight="1">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row>
    <row r="156" ht="15.75" customHeight="1">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row>
    <row r="157" ht="15.75" customHeight="1">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row>
    <row r="158" ht="15.75" customHeight="1">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row>
    <row r="159" ht="15.75" customHeight="1">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row>
    <row r="160" ht="15.75" customHeight="1">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row>
    <row r="161" ht="15.75" customHeight="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row>
    <row r="162" ht="15.75" customHeight="1">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row>
    <row r="163" ht="15.75" customHeight="1">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row>
    <row r="164" ht="15.75" customHeight="1">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row>
    <row r="165" ht="15.75" customHeight="1">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row>
    <row r="166" ht="15.75" customHeight="1">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row>
    <row r="167" ht="15.75" customHeight="1">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row>
    <row r="168" ht="15.75" customHeight="1">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row>
    <row r="169" ht="15.75" customHeight="1">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row>
    <row r="170" ht="15.75" customHeight="1">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row>
    <row r="171" ht="15.75" customHeight="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row>
    <row r="172" ht="15.75" customHeight="1">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row>
    <row r="173" ht="15.75" customHeight="1">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row>
    <row r="174" ht="15.75" customHeight="1">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row>
    <row r="175" ht="15.75" customHeight="1">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row>
    <row r="176" ht="15.75" customHeight="1">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row>
    <row r="177" ht="15.75" customHeight="1">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row>
    <row r="178" ht="15.75" customHeight="1">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row>
    <row r="179" ht="15.75" customHeight="1">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row>
    <row r="180" ht="15.75" customHeight="1">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row>
    <row r="181" ht="15.75" customHeight="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row>
    <row r="182" ht="15.75" customHeight="1">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row>
    <row r="183" ht="15.75" customHeight="1">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row>
    <row r="184" ht="15.75" customHeight="1">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row>
    <row r="185" ht="15.75" customHeight="1">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row>
    <row r="186" ht="15.75" customHeight="1">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row>
    <row r="187" ht="15.75" customHeight="1">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row>
    <row r="188" ht="15.75" customHeight="1">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row>
    <row r="189" ht="15.75" customHeight="1">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row>
    <row r="190" ht="15.75" customHeight="1">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row>
    <row r="191" ht="15.75" customHeight="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row>
    <row r="192" ht="15.75" customHeight="1">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row>
    <row r="193" ht="15.75" customHeight="1">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row>
    <row r="194" ht="15.75" customHeight="1">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row>
    <row r="195" ht="15.75" customHeight="1">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row>
    <row r="196" ht="15.75" customHeight="1">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row>
    <row r="197" ht="15.75" customHeight="1">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row>
    <row r="198" ht="15.75" customHeight="1">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row>
    <row r="199" ht="15.75" customHeight="1">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row>
    <row r="200" ht="15.75" customHeight="1">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row>
    <row r="201" ht="15.75" customHeight="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row>
    <row r="202" ht="15.75" customHeight="1">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row>
    <row r="203" ht="15.75" customHeight="1">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row>
    <row r="204" ht="15.75" customHeight="1">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row>
    <row r="205" ht="15.75" customHeight="1">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row>
    <row r="206" ht="15.75" customHeight="1">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row>
    <row r="207" ht="15.75" customHeight="1">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row>
    <row r="208" ht="15.75" customHeight="1">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row>
    <row r="209" ht="15.75" customHeight="1">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row>
    <row r="210" ht="15.75" customHeight="1">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row>
    <row r="211" ht="15.75" customHeight="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row>
    <row r="212" ht="15.75" customHeight="1">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row>
    <row r="213" ht="15.75" customHeight="1">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row>
    <row r="214" ht="15.75"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row>
    <row r="215" ht="15.75" customHeight="1">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row>
    <row r="216" ht="15.75" customHeight="1">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row>
    <row r="217" ht="15.75"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row>
    <row r="218" ht="15.75"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row>
    <row r="219" ht="15.75"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row>
    <row r="220" ht="15.75"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row>
    <row r="221" ht="15.75"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row>
    <row r="222" ht="15.75"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row>
    <row r="223" ht="15.75"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row>
    <row r="224" ht="15.75"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row>
    <row r="225" ht="15.75"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row>
    <row r="226" ht="15.75"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row>
    <row r="227" ht="15.75"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row>
    <row r="228" ht="15.75"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row>
    <row r="229" ht="15.75"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row>
    <row r="230" ht="15.75"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row>
    <row r="231" ht="15.75"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row>
    <row r="232" ht="15.75"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row>
    <row r="233" ht="15.75"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row>
    <row r="234" ht="15.75"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row>
    <row r="235" ht="15.75"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row>
    <row r="236" ht="15.75"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row>
    <row r="237" ht="15.75"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row>
    <row r="238" ht="15.75"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row>
    <row r="239" ht="15.75"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row>
    <row r="240" ht="15.75"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row>
    <row r="241" ht="15.75"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row>
    <row r="242" ht="15.75"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row>
    <row r="243" ht="15.75"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row>
    <row r="244" ht="15.75"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row>
    <row r="245" ht="15.75"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row>
    <row r="246" ht="15.75"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row>
    <row r="247" ht="15.75"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row>
    <row r="248" ht="15.75"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row>
    <row r="249" ht="15.75"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row>
    <row r="250" ht="15.75"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row>
    <row r="251" ht="15.75"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row>
    <row r="252" ht="15.75"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row>
    <row r="253" ht="15.75"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row>
    <row r="254"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row>
    <row r="255"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row>
    <row r="256"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row>
    <row r="257"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row>
    <row r="258"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row>
    <row r="259"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row>
    <row r="260"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row>
    <row r="261"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row>
    <row r="262"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row>
    <row r="263"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row>
    <row r="264"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row>
    <row r="265"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row>
    <row r="266"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row>
    <row r="267"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row>
    <row r="268"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row>
    <row r="269"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row>
    <row r="270"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row>
    <row r="271"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row>
    <row r="272"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row>
    <row r="273"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row>
    <row r="274"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row>
    <row r="275"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row>
    <row r="276"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row>
    <row r="277"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row>
    <row r="278"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row>
    <row r="279"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row>
    <row r="280"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row>
    <row r="281"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row>
    <row r="282"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row>
    <row r="283"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row>
    <row r="284"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row>
    <row r="285"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row>
    <row r="286"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row>
    <row r="287"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row>
    <row r="288"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row>
    <row r="289"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row>
    <row r="290"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row>
    <row r="291"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row>
    <row r="292"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row>
    <row r="293"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row>
    <row r="294"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row>
    <row r="295"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row>
    <row r="296"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row>
    <row r="297"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row>
    <row r="298"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row>
    <row r="299"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row>
    <row r="300"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row>
    <row r="301"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row>
    <row r="302"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row>
    <row r="303"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row>
    <row r="304"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row>
    <row r="305"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row>
    <row r="306"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row>
    <row r="307"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row>
    <row r="308"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row>
    <row r="309"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row>
    <row r="310"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row>
    <row r="311"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row>
    <row r="312"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row>
    <row r="313"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row>
    <row r="314"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row>
    <row r="315"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row>
    <row r="316"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row>
    <row r="317"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row>
    <row r="318"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row>
    <row r="319"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row>
    <row r="320"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row>
    <row r="321"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row>
    <row r="322"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row>
    <row r="323"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row>
    <row r="324"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row>
    <row r="325"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row>
    <row r="3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row>
    <row r="327"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row>
    <row r="328"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row>
    <row r="329"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row>
    <row r="330"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row>
    <row r="331"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row>
    <row r="332"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row>
    <row r="333"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row>
    <row r="334"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row>
    <row r="335"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row>
    <row r="336"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row>
    <row r="337"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row>
    <row r="338"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row>
    <row r="339"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row>
    <row r="340"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row>
    <row r="341"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row>
    <row r="342"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row>
    <row r="343"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row>
    <row r="344"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row>
    <row r="345"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row>
    <row r="346"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row>
    <row r="347"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row>
    <row r="348"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row>
    <row r="349"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row>
    <row r="350"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row>
    <row r="351"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row>
    <row r="352"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row>
    <row r="353"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row>
    <row r="354"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row>
    <row r="355"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row>
    <row r="356"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row>
    <row r="357"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row>
    <row r="358"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row>
    <row r="359"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row>
    <row r="360"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row>
    <row r="361"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row>
    <row r="362"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row>
    <row r="363"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row>
    <row r="364"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row>
    <row r="365"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row>
    <row r="366"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row>
    <row r="367"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row>
    <row r="368"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row>
    <row r="369"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row>
    <row r="370"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row>
    <row r="371"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row>
    <row r="372"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row>
    <row r="373"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row>
    <row r="374"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row>
    <row r="375"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row>
    <row r="376"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row>
    <row r="377"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row>
    <row r="378"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row>
    <row r="379"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row>
    <row r="380"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row>
    <row r="381"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row>
    <row r="382"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row>
    <row r="383"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row>
    <row r="384"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row>
    <row r="385"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row>
    <row r="386"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row>
    <row r="387"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row>
    <row r="388"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row>
    <row r="389"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row>
    <row r="390"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row>
    <row r="391"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row>
    <row r="392"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row>
    <row r="393"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row>
    <row r="394"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row>
    <row r="395"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row>
    <row r="396"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row>
    <row r="397"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row>
    <row r="398"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row>
    <row r="399"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row>
    <row r="400"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row>
    <row r="401"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row>
    <row r="402"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row>
    <row r="403"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row>
    <row r="404"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row>
    <row r="405"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row>
    <row r="406"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row>
    <row r="407"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row>
    <row r="408"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row>
    <row r="409"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row>
    <row r="410"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row>
    <row r="411"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row>
    <row r="412"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row>
    <row r="413"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row>
    <row r="414"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row>
    <row r="415"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row>
    <row r="416"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row>
    <row r="417"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row>
    <row r="418"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row>
    <row r="419"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row>
    <row r="420"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row>
    <row r="421"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row>
    <row r="422"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row>
    <row r="423"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row>
    <row r="424"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row>
    <row r="425"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row>
    <row r="4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row>
    <row r="427"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row>
    <row r="428"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row>
    <row r="429"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row>
    <row r="430"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row>
    <row r="431"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row>
    <row r="432"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row>
    <row r="433"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row>
    <row r="434"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row>
    <row r="435"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row>
    <row r="436"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row>
    <row r="437"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row>
    <row r="438"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row>
    <row r="439"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row>
    <row r="440"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row>
    <row r="441"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row>
    <row r="442"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row>
    <row r="443"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row>
    <row r="444"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row>
    <row r="445"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row>
    <row r="446"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row>
    <row r="447"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row>
    <row r="448"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row>
    <row r="449"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row>
    <row r="450"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row>
    <row r="451"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row>
    <row r="452"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row>
    <row r="453"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row>
    <row r="454"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row>
    <row r="455"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row>
    <row r="456"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row>
    <row r="457"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row>
    <row r="458"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row>
    <row r="459"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row>
    <row r="460"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row>
    <row r="461"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row>
    <row r="462"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row>
    <row r="463"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row>
    <row r="464"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row>
    <row r="465"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row>
    <row r="466"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row>
    <row r="467"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row>
    <row r="468"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row>
    <row r="469"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row>
    <row r="470"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row>
    <row r="471"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row>
    <row r="472"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row>
    <row r="473"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row>
    <row r="474"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row>
    <row r="475"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row>
    <row r="476"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row>
    <row r="477"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row>
    <row r="478"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row>
    <row r="479"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row>
    <row r="480"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row>
    <row r="481"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row>
    <row r="482"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row>
    <row r="483"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row>
    <row r="484"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row>
    <row r="485"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row>
    <row r="486"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row>
    <row r="487"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row>
    <row r="488"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row>
    <row r="489"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row>
    <row r="490"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row>
    <row r="491"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row>
    <row r="492"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row>
    <row r="493"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row>
    <row r="494"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row>
    <row r="495"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row>
    <row r="496"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row>
    <row r="497"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row>
    <row r="498"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row>
    <row r="499"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row>
    <row r="500"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row>
    <row r="501"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row>
    <row r="502"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row>
    <row r="503"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row>
    <row r="504"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row>
    <row r="505"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row>
    <row r="506"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row>
    <row r="507"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row>
    <row r="508"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row>
    <row r="509"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row>
    <row r="510"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row>
    <row r="511"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row>
    <row r="512"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row>
    <row r="513"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row>
    <row r="514"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row>
    <row r="515"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row>
    <row r="516"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row>
    <row r="517"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row>
    <row r="518"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row>
    <row r="519"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row>
    <row r="520"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row>
    <row r="521"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row>
    <row r="522"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row>
    <row r="523"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row>
    <row r="524"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row>
    <row r="525"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row>
    <row r="5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row>
    <row r="527"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row>
    <row r="528"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row>
    <row r="529"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row>
    <row r="530"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row>
    <row r="531"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row>
    <row r="532"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row>
    <row r="533"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row>
    <row r="534"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row>
    <row r="535"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row>
    <row r="536"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row>
    <row r="537"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row>
    <row r="538"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row>
    <row r="539"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row>
    <row r="540"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row>
    <row r="541"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row>
    <row r="542"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row>
    <row r="543"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row>
    <row r="544"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row>
    <row r="545"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row>
    <row r="546"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row>
    <row r="547"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row>
    <row r="548"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row>
    <row r="549"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row>
    <row r="550"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row>
    <row r="551"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row>
    <row r="552"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row>
    <row r="553"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row>
    <row r="554"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row>
    <row r="555"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row>
    <row r="556"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row>
    <row r="557"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row>
    <row r="558"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row>
    <row r="559"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row>
    <row r="560"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row>
    <row r="561"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row>
    <row r="562"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row>
    <row r="563"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row>
    <row r="564"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row>
    <row r="565"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row>
    <row r="566"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row>
    <row r="567"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row>
    <row r="568"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row>
    <row r="569"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row>
    <row r="570"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row>
    <row r="571"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row>
    <row r="572"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row>
    <row r="573"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row>
    <row r="574"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row>
    <row r="575"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row>
    <row r="576"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row>
    <row r="577"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row>
    <row r="578"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row>
    <row r="579"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row>
    <row r="580"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row>
    <row r="581"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row>
    <row r="582"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row>
    <row r="583"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row>
    <row r="584"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row>
    <row r="585"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row>
    <row r="586"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row>
    <row r="587"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row>
    <row r="588"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row>
    <row r="589"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row>
    <row r="590"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row>
    <row r="591"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row>
    <row r="592"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row>
    <row r="593"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row>
    <row r="594"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row>
    <row r="595"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row>
    <row r="596"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row>
    <row r="597"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row>
    <row r="598"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row>
    <row r="599"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row>
    <row r="600"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row>
    <row r="601"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row>
    <row r="602"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row>
    <row r="603"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row>
    <row r="604"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row>
    <row r="605"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row>
    <row r="606"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row>
    <row r="607"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row>
    <row r="608"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row>
    <row r="609"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row>
    <row r="610"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row>
    <row r="611"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row>
    <row r="612"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row>
    <row r="613"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row>
    <row r="614"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row>
    <row r="615"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row>
    <row r="616"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row>
    <row r="617"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row>
    <row r="618"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row>
    <row r="619"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row>
    <row r="620"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row>
    <row r="621"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row>
    <row r="622"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row>
    <row r="623"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row>
    <row r="624"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row>
    <row r="625"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row>
    <row r="6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row>
    <row r="627"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row>
    <row r="628"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row>
    <row r="629"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row>
    <row r="630"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row>
    <row r="631"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row>
    <row r="632"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row>
    <row r="633"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row>
    <row r="634"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row>
    <row r="635"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row>
    <row r="636"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row>
    <row r="637"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row>
    <row r="638"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row>
    <row r="639"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row>
    <row r="640"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row>
    <row r="641"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row>
    <row r="642"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row>
    <row r="643"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row>
    <row r="644"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row>
    <row r="645"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row>
    <row r="646"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row>
    <row r="647"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row>
    <row r="648"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row>
    <row r="649"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row>
    <row r="650"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row>
    <row r="651"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row>
    <row r="652"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row>
    <row r="653"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row>
    <row r="654"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row>
    <row r="655"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row>
    <row r="656"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row>
    <row r="657"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row>
    <row r="658"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row>
    <row r="659"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row>
    <row r="660"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row>
    <row r="661"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row>
    <row r="662"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row>
    <row r="663"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row>
    <row r="664"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row>
    <row r="665"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row>
    <row r="666"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row>
    <row r="667"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row>
    <row r="668"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row>
    <row r="669"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row>
    <row r="670"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row>
    <row r="671"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row>
    <row r="672"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row>
    <row r="673"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row>
    <row r="674"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row>
    <row r="675"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row>
    <row r="676"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row>
    <row r="677"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row>
    <row r="678"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row>
    <row r="679"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row>
    <row r="680"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row>
    <row r="681"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row>
    <row r="682"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row>
    <row r="683"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row>
    <row r="684"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row>
    <row r="685"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row>
    <row r="686"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row>
    <row r="687"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row>
    <row r="688"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row>
    <row r="689"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row>
    <row r="690"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row>
    <row r="691"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row>
    <row r="692"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row>
    <row r="693"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row>
    <row r="694"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row>
    <row r="695"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row>
    <row r="696"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row>
    <row r="697"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row>
    <row r="698"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row>
    <row r="699"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row>
    <row r="700"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row>
    <row r="701"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row>
    <row r="702"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row>
    <row r="703"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row>
    <row r="704"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row>
    <row r="705"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row>
    <row r="706"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row>
    <row r="707"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row>
    <row r="708"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row>
    <row r="709"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row>
    <row r="710"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row>
    <row r="711"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row>
    <row r="712"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row>
    <row r="713"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row>
    <row r="714"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row>
    <row r="715"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row>
    <row r="716"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row>
    <row r="717"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row>
    <row r="718"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row>
    <row r="719"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row>
    <row r="720"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row>
    <row r="721"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row>
    <row r="722"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row>
    <row r="723"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row>
    <row r="724"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row>
    <row r="725"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row>
    <row r="7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row>
    <row r="727"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row>
    <row r="728"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row>
    <row r="729"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row>
    <row r="730"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row>
    <row r="731"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row>
    <row r="732"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row>
    <row r="733"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row>
    <row r="734"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row>
    <row r="735"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row>
    <row r="736"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row>
    <row r="737"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row>
    <row r="738"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row>
    <row r="739"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row>
    <row r="740"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row>
    <row r="741"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row>
    <row r="742"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row>
    <row r="743"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row>
    <row r="744"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row>
    <row r="745"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row>
    <row r="746"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row>
    <row r="747"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row>
    <row r="748"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row>
    <row r="749"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row>
    <row r="750"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row>
    <row r="751"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row>
    <row r="752"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row>
    <row r="753"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row>
    <row r="754"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row>
    <row r="755"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row>
    <row r="756"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row>
    <row r="757"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row>
    <row r="758"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row>
    <row r="759"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row>
    <row r="760"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row>
    <row r="761"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row>
    <row r="762"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row>
    <row r="763"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row>
    <row r="764"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row>
    <row r="765"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row>
    <row r="766"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row>
    <row r="767"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row>
    <row r="768"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row>
    <row r="769"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row>
    <row r="770"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row>
    <row r="771"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row>
    <row r="772"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row>
    <row r="773"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row>
    <row r="774"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row>
    <row r="775"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row>
    <row r="776"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row>
    <row r="777"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row>
    <row r="778"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row>
    <row r="779"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row>
    <row r="780"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row>
    <row r="781"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row>
    <row r="782"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row>
    <row r="783"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row>
    <row r="784"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row>
    <row r="785"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row>
    <row r="786"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row>
    <row r="787"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row>
    <row r="788"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row>
    <row r="789"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row>
    <row r="790"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row>
    <row r="791"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row>
    <row r="792"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row>
    <row r="793"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row>
    <row r="794"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row>
    <row r="795"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row>
    <row r="796"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row>
    <row r="797"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row>
    <row r="798"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row>
    <row r="799"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row>
    <row r="800"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row>
    <row r="801"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row>
    <row r="802"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row>
    <row r="803"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row>
    <row r="804"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row>
    <row r="805"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row>
    <row r="806"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row>
    <row r="807"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row>
    <row r="808"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row>
    <row r="809"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row>
    <row r="810"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row>
    <row r="811"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row>
    <row r="812"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row>
    <row r="813"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row>
    <row r="814"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row>
    <row r="815"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row>
    <row r="816"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row>
    <row r="817"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row>
    <row r="818"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row>
    <row r="819"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row>
    <row r="820"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row>
    <row r="821"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row>
    <row r="822"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row>
    <row r="823"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row>
    <row r="824"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row>
    <row r="825"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row>
    <row r="8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row>
    <row r="827"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row>
    <row r="828"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row>
    <row r="829"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row>
    <row r="830"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row>
    <row r="831"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row>
    <row r="832"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row>
    <row r="833"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row>
    <row r="834"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row>
    <row r="835"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row>
    <row r="836"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row>
    <row r="837"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row>
    <row r="838"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row>
    <row r="839"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row>
    <row r="840"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row>
    <row r="841"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row>
    <row r="842"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row>
    <row r="843"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row>
    <row r="844"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row>
    <row r="845"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row>
    <row r="846"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row>
    <row r="847"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row>
    <row r="848"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row>
    <row r="849"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row>
    <row r="850"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row>
    <row r="851"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row>
    <row r="852"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row>
    <row r="853"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row>
    <row r="854"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row>
    <row r="855"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row>
    <row r="856"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row>
    <row r="857"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row>
    <row r="858"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row>
    <row r="859"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row>
    <row r="860"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row>
    <row r="861"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row>
    <row r="862"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row>
    <row r="863"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row>
    <row r="864"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row>
    <row r="865"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row>
    <row r="866"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row>
    <row r="867"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row>
    <row r="868"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row>
    <row r="869"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row>
    <row r="870"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row>
    <row r="871"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row>
    <row r="872"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row>
    <row r="873"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row>
    <row r="874"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row>
    <row r="875"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row>
    <row r="876"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row>
    <row r="877"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row>
    <row r="878"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row>
    <row r="879"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row>
    <row r="880"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row>
    <row r="881"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row>
    <row r="882"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row>
    <row r="883"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row>
    <row r="884"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row>
    <row r="885"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row>
    <row r="886"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row>
    <row r="887"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row>
    <row r="888"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row>
    <row r="889"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row>
    <row r="890"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row>
    <row r="891"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row>
    <row r="892"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row>
    <row r="893"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row>
    <row r="894"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row>
    <row r="895"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row>
    <row r="896"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row>
    <row r="897"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row>
    <row r="898"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row>
    <row r="899"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row>
    <row r="900"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row>
    <row r="901"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row>
    <row r="902"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row>
    <row r="903"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row>
    <row r="904"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row>
    <row r="905"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row>
    <row r="906"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row>
    <row r="907"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row>
    <row r="908"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row>
    <row r="909"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row>
    <row r="910"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row>
    <row r="911"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row>
    <row r="912"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row>
    <row r="913"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row>
    <row r="914"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row>
    <row r="915"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row>
    <row r="916"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row>
    <row r="917"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row>
    <row r="918"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row>
    <row r="919"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row>
    <row r="920"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row>
    <row r="921"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row>
    <row r="922"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row>
    <row r="923"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row>
    <row r="924"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row>
    <row r="925"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row>
    <row r="9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row>
    <row r="927"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row>
    <row r="928"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row>
    <row r="929"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row>
    <row r="930"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row>
    <row r="931"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row>
    <row r="932"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row>
    <row r="933"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row>
    <row r="934"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row>
    <row r="935"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row>
    <row r="936"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row>
    <row r="937"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row>
    <row r="938"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row>
    <row r="939"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row>
    <row r="940"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row>
    <row r="941"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row>
    <row r="942"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row>
    <row r="943"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row>
    <row r="944"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row>
    <row r="945"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row>
    <row r="946"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row>
    <row r="947"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row>
    <row r="948"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row>
    <row r="949"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row>
    <row r="950"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row>
    <row r="951"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row>
    <row r="952"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row>
    <row r="953"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row>
    <row r="954"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row>
    <row r="955"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row>
    <row r="956"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row>
    <row r="957"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row>
    <row r="958"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row>
    <row r="959"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row>
    <row r="960"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row>
    <row r="961"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row>
    <row r="962"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row>
    <row r="963"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row>
    <row r="964"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row>
    <row r="965"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row>
    <row r="966"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row>
    <row r="967"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row>
    <row r="968"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row>
    <row r="969"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row>
    <row r="970"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row>
    <row r="971"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row>
    <row r="972"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row>
    <row r="973"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row>
    <row r="974"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row>
    <row r="975"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row>
    <row r="976"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row>
    <row r="977"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row>
    <row r="978"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row>
    <row r="979"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row>
    <row r="980"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row>
    <row r="981"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row>
    <row r="982"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row>
    <row r="983"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row>
    <row r="984"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row>
    <row r="985"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row>
    <row r="986"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row>
    <row r="987"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row>
    <row r="988" ht="15.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row>
    <row r="989" ht="15.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row>
    <row r="990" ht="15.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row>
    <row r="991" ht="15.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row>
    <row r="992" ht="15.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row>
    <row r="993" ht="15.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row>
    <row r="994" ht="15.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row>
    <row r="995" ht="15.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row>
    <row r="996" ht="15.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row>
    <row r="997" ht="15.75" customHeight="1">
      <c r="A997" s="152"/>
      <c r="B997" s="152"/>
      <c r="C997" s="152"/>
      <c r="D997" s="152"/>
      <c r="E997" s="152"/>
      <c r="F997" s="152"/>
      <c r="G997" s="152"/>
      <c r="H997" s="152"/>
      <c r="I997" s="152"/>
      <c r="J997" s="152"/>
      <c r="K997" s="152"/>
      <c r="L997" s="152"/>
      <c r="M997" s="152"/>
      <c r="N997" s="152"/>
      <c r="O997" s="152"/>
      <c r="P997" s="152"/>
      <c r="Q997" s="152"/>
      <c r="R997" s="152"/>
      <c r="S997" s="152"/>
      <c r="T997" s="152"/>
      <c r="U997" s="152"/>
      <c r="V997" s="152"/>
      <c r="W997" s="152"/>
      <c r="X997" s="152"/>
      <c r="Y997" s="152"/>
    </row>
    <row r="998" ht="15.75" customHeight="1">
      <c r="A998" s="152"/>
      <c r="B998" s="152"/>
      <c r="C998" s="152"/>
      <c r="D998" s="152"/>
      <c r="E998" s="152"/>
      <c r="F998" s="152"/>
      <c r="G998" s="152"/>
      <c r="H998" s="152"/>
      <c r="I998" s="152"/>
      <c r="J998" s="152"/>
      <c r="K998" s="152"/>
      <c r="L998" s="152"/>
      <c r="M998" s="152"/>
      <c r="N998" s="152"/>
      <c r="O998" s="152"/>
      <c r="P998" s="152"/>
      <c r="Q998" s="152"/>
      <c r="R998" s="152"/>
      <c r="S998" s="152"/>
      <c r="T998" s="152"/>
      <c r="U998" s="152"/>
      <c r="V998" s="152"/>
      <c r="W998" s="152"/>
      <c r="X998" s="152"/>
      <c r="Y998" s="152"/>
    </row>
    <row r="999" ht="15.75" customHeight="1">
      <c r="A999" s="152"/>
      <c r="B999" s="152"/>
      <c r="C999" s="152"/>
      <c r="D999" s="152"/>
      <c r="E999" s="152"/>
      <c r="F999" s="152"/>
      <c r="G999" s="152"/>
      <c r="H999" s="152"/>
      <c r="I999" s="152"/>
      <c r="J999" s="152"/>
      <c r="K999" s="152"/>
      <c r="L999" s="152"/>
      <c r="M999" s="152"/>
      <c r="N999" s="152"/>
      <c r="O999" s="152"/>
      <c r="P999" s="152"/>
      <c r="Q999" s="152"/>
      <c r="R999" s="152"/>
      <c r="S999" s="152"/>
      <c r="T999" s="152"/>
      <c r="U999" s="152"/>
      <c r="V999" s="152"/>
      <c r="W999" s="152"/>
      <c r="X999" s="152"/>
      <c r="Y999" s="152"/>
    </row>
    <row r="1000" ht="15.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152"/>
      <c r="U1000" s="152"/>
      <c r="V1000" s="152"/>
      <c r="W1000" s="152"/>
      <c r="X1000" s="152"/>
      <c r="Y1000" s="152"/>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0"/>
    <col customWidth="1" min="2" max="2" width="14.86"/>
    <col customWidth="1" min="3" max="3" width="15.57"/>
    <col customWidth="1" min="4" max="4" width="16.86"/>
    <col customWidth="1" min="5" max="5" width="15.57"/>
    <col customWidth="1" min="6" max="6" width="33.43"/>
    <col customWidth="1" min="7" max="7" width="16.14"/>
    <col customWidth="1" min="8" max="8" width="22.43"/>
    <col customWidth="1" min="9" max="9" width="17.14"/>
    <col customWidth="1" min="10" max="10" width="28.57"/>
    <col customWidth="1" min="11" max="26" width="8.71"/>
  </cols>
  <sheetData>
    <row r="1">
      <c r="A1" s="168" t="s">
        <v>2632</v>
      </c>
      <c r="B1" s="169" t="s">
        <v>2723</v>
      </c>
      <c r="C1" s="170" t="s">
        <v>2585</v>
      </c>
      <c r="D1" s="170" t="s">
        <v>2</v>
      </c>
      <c r="E1" s="170" t="s">
        <v>6</v>
      </c>
      <c r="F1" s="170" t="s">
        <v>2724</v>
      </c>
      <c r="G1" s="170" t="s">
        <v>2725</v>
      </c>
      <c r="H1" s="170" t="s">
        <v>2726</v>
      </c>
      <c r="I1" s="170" t="s">
        <v>2727</v>
      </c>
      <c r="J1" s="170" t="s">
        <v>2633</v>
      </c>
    </row>
    <row r="2">
      <c r="A2" s="171" t="s">
        <v>2728</v>
      </c>
      <c r="B2" s="171"/>
      <c r="C2" s="171"/>
      <c r="D2" s="171"/>
      <c r="E2" s="171"/>
      <c r="F2" s="171"/>
      <c r="G2" s="171"/>
      <c r="H2" s="171"/>
      <c r="I2" s="171"/>
    </row>
    <row r="3">
      <c r="A3" s="172" t="s">
        <v>2729</v>
      </c>
      <c r="B3" s="172"/>
      <c r="C3" s="171"/>
      <c r="D3" s="171"/>
      <c r="E3" s="171"/>
      <c r="F3" s="171"/>
      <c r="G3" s="171"/>
      <c r="H3" s="172"/>
      <c r="I3" s="172"/>
    </row>
    <row r="4" ht="58.5" customHeight="1">
      <c r="A4" s="173">
        <v>1.0</v>
      </c>
      <c r="B4" s="174">
        <v>2012.0</v>
      </c>
      <c r="C4" t="s">
        <v>51</v>
      </c>
      <c r="D4" s="175" t="s">
        <v>2730</v>
      </c>
      <c r="E4" s="175" t="s">
        <v>42</v>
      </c>
      <c r="F4" s="175" t="s">
        <v>2731</v>
      </c>
      <c r="G4" s="171"/>
      <c r="H4" s="172"/>
      <c r="I4" s="176" t="s">
        <v>2732</v>
      </c>
    </row>
    <row r="5">
      <c r="A5" s="173">
        <v>2.0</v>
      </c>
      <c r="B5" s="174">
        <v>2013.0</v>
      </c>
      <c r="C5" t="s">
        <v>2733</v>
      </c>
      <c r="D5" t="s">
        <v>39</v>
      </c>
      <c r="E5" s="175" t="s">
        <v>42</v>
      </c>
      <c r="F5" s="175" t="s">
        <v>2734</v>
      </c>
      <c r="I5" s="175" t="s">
        <v>2735</v>
      </c>
    </row>
    <row r="6">
      <c r="A6" s="173">
        <v>3.0</v>
      </c>
      <c r="B6" s="174">
        <v>2013.0</v>
      </c>
      <c r="C6" t="s">
        <v>135</v>
      </c>
      <c r="D6" t="s">
        <v>2736</v>
      </c>
      <c r="E6" s="175" t="s">
        <v>42</v>
      </c>
      <c r="F6" s="175" t="s">
        <v>2737</v>
      </c>
      <c r="G6" t="s">
        <v>2738</v>
      </c>
      <c r="H6" s="175" t="s">
        <v>2739</v>
      </c>
      <c r="I6" s="175"/>
    </row>
    <row r="7">
      <c r="A7" s="173">
        <v>4.0</v>
      </c>
      <c r="B7" s="174">
        <v>2013.0</v>
      </c>
      <c r="C7" t="s">
        <v>406</v>
      </c>
      <c r="D7" t="s">
        <v>407</v>
      </c>
      <c r="E7" s="175" t="s">
        <v>320</v>
      </c>
      <c r="F7" s="175" t="s">
        <v>2740</v>
      </c>
      <c r="I7" s="175" t="s">
        <v>2741</v>
      </c>
    </row>
    <row r="8">
      <c r="A8" s="173">
        <v>5.0</v>
      </c>
      <c r="B8" s="174">
        <v>2014.0</v>
      </c>
      <c r="C8" t="s">
        <v>928</v>
      </c>
      <c r="D8" t="s">
        <v>929</v>
      </c>
      <c r="E8" s="175" t="s">
        <v>845</v>
      </c>
      <c r="F8" s="175" t="s">
        <v>2742</v>
      </c>
      <c r="I8" s="175" t="s">
        <v>2743</v>
      </c>
      <c r="J8" s="175" t="s">
        <v>2744</v>
      </c>
    </row>
    <row r="9">
      <c r="A9" s="173">
        <v>6.0</v>
      </c>
      <c r="B9" s="174">
        <v>2015.0</v>
      </c>
      <c r="C9" t="s">
        <v>51</v>
      </c>
      <c r="D9" s="175" t="s">
        <v>2730</v>
      </c>
      <c r="E9" s="175" t="s">
        <v>42</v>
      </c>
      <c r="F9" s="175" t="s">
        <v>2745</v>
      </c>
      <c r="I9" s="175" t="s">
        <v>2746</v>
      </c>
      <c r="J9" s="175"/>
    </row>
    <row r="10">
      <c r="A10" s="173">
        <v>7.0</v>
      </c>
      <c r="B10" s="174">
        <v>2017.0</v>
      </c>
      <c r="C10" t="s">
        <v>2733</v>
      </c>
      <c r="D10" t="s">
        <v>39</v>
      </c>
      <c r="E10" s="175" t="s">
        <v>42</v>
      </c>
      <c r="F10" s="175" t="s">
        <v>2747</v>
      </c>
      <c r="I10" s="175" t="s">
        <v>2748</v>
      </c>
    </row>
    <row r="11">
      <c r="A11" s="173">
        <v>8.0</v>
      </c>
      <c r="B11" s="174">
        <v>2017.0</v>
      </c>
      <c r="C11" t="s">
        <v>2733</v>
      </c>
      <c r="D11" t="s">
        <v>39</v>
      </c>
      <c r="E11" s="175" t="s">
        <v>42</v>
      </c>
      <c r="F11" s="175" t="s">
        <v>2749</v>
      </c>
      <c r="I11" s="175" t="s">
        <v>2750</v>
      </c>
    </row>
    <row r="12">
      <c r="A12" s="173">
        <v>9.0</v>
      </c>
      <c r="B12" s="174">
        <v>2017.0</v>
      </c>
      <c r="C12" t="s">
        <v>2733</v>
      </c>
      <c r="D12" t="s">
        <v>39</v>
      </c>
      <c r="E12" s="175" t="s">
        <v>42</v>
      </c>
      <c r="F12" s="175" t="s">
        <v>2751</v>
      </c>
      <c r="I12" s="175" t="s">
        <v>2748</v>
      </c>
    </row>
    <row r="13">
      <c r="A13" s="173">
        <v>10.0</v>
      </c>
      <c r="B13" s="174">
        <v>2018.0</v>
      </c>
      <c r="C13" t="s">
        <v>943</v>
      </c>
      <c r="D13" t="s">
        <v>944</v>
      </c>
      <c r="E13" s="175" t="s">
        <v>845</v>
      </c>
      <c r="F13" s="175" t="s">
        <v>2752</v>
      </c>
      <c r="I13" t="s">
        <v>2753</v>
      </c>
    </row>
    <row r="14">
      <c r="A14" s="173">
        <v>11.0</v>
      </c>
      <c r="B14" t="s">
        <v>2754</v>
      </c>
      <c r="C14" t="s">
        <v>203</v>
      </c>
      <c r="D14" t="s">
        <v>2755</v>
      </c>
      <c r="E14" s="175" t="s">
        <v>160</v>
      </c>
      <c r="F14" s="175" t="s">
        <v>2756</v>
      </c>
      <c r="H14" s="175" t="s">
        <v>2757</v>
      </c>
      <c r="I14" s="175" t="s">
        <v>2758</v>
      </c>
      <c r="J14" s="175" t="s">
        <v>2759</v>
      </c>
    </row>
    <row r="15">
      <c r="A15" s="173">
        <v>12.0</v>
      </c>
      <c r="B15" s="174">
        <v>2018.0</v>
      </c>
      <c r="C15" t="s">
        <v>2760</v>
      </c>
      <c r="D15" t="s">
        <v>1266</v>
      </c>
      <c r="E15" s="175" t="s">
        <v>1197</v>
      </c>
      <c r="F15" s="175" t="s">
        <v>2761</v>
      </c>
      <c r="G15" t="s">
        <v>2762</v>
      </c>
      <c r="I15" s="175" t="s">
        <v>2763</v>
      </c>
    </row>
    <row r="16">
      <c r="A16" s="173">
        <v>13.0</v>
      </c>
      <c r="B16" s="174">
        <v>2019.0</v>
      </c>
      <c r="C16" t="s">
        <v>1510</v>
      </c>
      <c r="D16" t="s">
        <v>342</v>
      </c>
      <c r="E16" s="175" t="s">
        <v>1489</v>
      </c>
      <c r="F16" s="175" t="s">
        <v>2764</v>
      </c>
      <c r="G16" t="s">
        <v>2738</v>
      </c>
      <c r="H16" t="s">
        <v>2765</v>
      </c>
      <c r="I16" s="175" t="s">
        <v>2766</v>
      </c>
    </row>
    <row r="17">
      <c r="A17" s="177">
        <v>14.0</v>
      </c>
      <c r="B17" s="178">
        <v>2020.0</v>
      </c>
      <c r="C17" s="81" t="s">
        <v>782</v>
      </c>
      <c r="D17" s="81" t="s">
        <v>2767</v>
      </c>
      <c r="E17" s="179" t="s">
        <v>717</v>
      </c>
      <c r="F17" s="179" t="s">
        <v>2768</v>
      </c>
      <c r="H17" s="179" t="s">
        <v>2769</v>
      </c>
      <c r="I17" s="179" t="s">
        <v>2770</v>
      </c>
    </row>
    <row r="18">
      <c r="A18" s="180">
        <v>15.0</v>
      </c>
      <c r="B18" s="81">
        <v>2021.0</v>
      </c>
      <c r="C18" s="81" t="s">
        <v>1541</v>
      </c>
      <c r="D18" s="81" t="s">
        <v>2771</v>
      </c>
      <c r="J18" s="181" t="s">
        <v>2772</v>
      </c>
    </row>
    <row r="19">
      <c r="A19" s="173"/>
      <c r="J19" s="182" t="s">
        <v>2773</v>
      </c>
    </row>
    <row r="20">
      <c r="A20" s="173"/>
    </row>
    <row r="21" ht="15.75" customHeight="1">
      <c r="A21" s="173"/>
    </row>
    <row r="22" ht="15.75" customHeight="1">
      <c r="A22" s="173"/>
    </row>
    <row r="23" ht="15.75" customHeight="1">
      <c r="A23" s="173"/>
    </row>
    <row r="24" ht="15.75" customHeight="1">
      <c r="A24" s="173"/>
    </row>
    <row r="25" ht="15.75" customHeight="1">
      <c r="A25" s="173"/>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75" customHeight="1">
      <c r="A1" s="143" t="s">
        <v>2774</v>
      </c>
      <c r="B1" s="144"/>
      <c r="C1" s="144"/>
      <c r="D1" s="144"/>
      <c r="E1" s="145"/>
      <c r="F1" s="145"/>
      <c r="G1" s="146"/>
      <c r="H1" s="147"/>
      <c r="I1" s="147"/>
      <c r="J1" s="147"/>
      <c r="K1" s="147"/>
      <c r="L1" s="147"/>
      <c r="M1" s="147"/>
      <c r="N1" s="147"/>
      <c r="O1" s="147"/>
      <c r="P1" s="147"/>
      <c r="Q1" s="147"/>
      <c r="R1" s="147"/>
      <c r="S1" s="147"/>
      <c r="T1" s="147"/>
      <c r="U1" s="147"/>
      <c r="V1" s="147"/>
      <c r="W1" s="147"/>
      <c r="X1" s="147"/>
      <c r="Y1" s="147"/>
    </row>
    <row r="2" ht="15.75" customHeight="1">
      <c r="A2" s="183" t="s">
        <v>2775</v>
      </c>
      <c r="B2" s="144"/>
      <c r="C2" s="144"/>
      <c r="D2" s="144"/>
      <c r="E2" s="144"/>
      <c r="F2" s="145"/>
      <c r="G2" s="146"/>
      <c r="H2" s="147"/>
      <c r="I2" s="147"/>
      <c r="J2" s="147"/>
      <c r="K2" s="147"/>
      <c r="L2" s="147"/>
      <c r="M2" s="147"/>
      <c r="N2" s="147"/>
      <c r="O2" s="147"/>
      <c r="P2" s="147"/>
      <c r="Q2" s="147"/>
      <c r="R2" s="147"/>
      <c r="S2" s="147"/>
      <c r="T2" s="147"/>
      <c r="U2" s="147"/>
      <c r="V2" s="147"/>
      <c r="W2" s="147"/>
      <c r="X2" s="147"/>
      <c r="Y2" s="147"/>
    </row>
    <row r="3" ht="15.75" customHeight="1">
      <c r="A3" s="149" t="s">
        <v>2632</v>
      </c>
      <c r="B3" s="150" t="s">
        <v>2585</v>
      </c>
      <c r="C3" s="150" t="s">
        <v>2</v>
      </c>
      <c r="D3" s="150" t="s">
        <v>6</v>
      </c>
      <c r="E3" s="184" t="s">
        <v>2776</v>
      </c>
      <c r="F3" s="184" t="s">
        <v>2777</v>
      </c>
      <c r="G3" s="185" t="s">
        <v>2778</v>
      </c>
      <c r="H3" s="152"/>
      <c r="I3" s="152"/>
      <c r="J3" s="152"/>
      <c r="K3" s="152"/>
      <c r="L3" s="152"/>
      <c r="M3" s="152"/>
      <c r="N3" s="152"/>
      <c r="O3" s="152"/>
      <c r="P3" s="152"/>
      <c r="Q3" s="152"/>
      <c r="R3" s="152"/>
      <c r="S3" s="152"/>
      <c r="T3" s="152"/>
      <c r="U3" s="152"/>
      <c r="V3" s="152"/>
      <c r="W3" s="152"/>
      <c r="X3" s="152"/>
      <c r="Y3" s="152"/>
    </row>
    <row r="4" ht="15.75" customHeight="1">
      <c r="A4" s="153">
        <v>1.0</v>
      </c>
      <c r="B4" s="154"/>
      <c r="C4" s="154"/>
      <c r="D4" s="154"/>
      <c r="E4" s="154"/>
      <c r="F4" s="155"/>
      <c r="G4" s="155"/>
      <c r="H4" s="152"/>
      <c r="I4" s="152"/>
      <c r="J4" s="152"/>
      <c r="K4" s="152"/>
      <c r="L4" s="152"/>
      <c r="M4" s="152"/>
      <c r="N4" s="152"/>
      <c r="O4" s="152"/>
      <c r="P4" s="152"/>
      <c r="Q4" s="152"/>
      <c r="R4" s="152"/>
      <c r="S4" s="152"/>
      <c r="T4" s="152"/>
      <c r="U4" s="152"/>
      <c r="V4" s="152"/>
      <c r="W4" s="152"/>
      <c r="X4" s="152"/>
      <c r="Y4" s="152"/>
    </row>
    <row r="5" ht="15.75" customHeight="1">
      <c r="A5" s="163" t="s">
        <v>2779</v>
      </c>
      <c r="B5" s="155"/>
      <c r="C5" s="155"/>
      <c r="D5" s="155"/>
      <c r="E5" s="155"/>
      <c r="F5" s="155"/>
      <c r="G5" s="155"/>
      <c r="H5" s="152"/>
      <c r="I5" s="152"/>
      <c r="J5" s="152"/>
      <c r="K5" s="152"/>
      <c r="L5" s="152"/>
      <c r="M5" s="152"/>
      <c r="N5" s="152"/>
      <c r="O5" s="152"/>
      <c r="P5" s="152"/>
      <c r="Q5" s="152"/>
      <c r="R5" s="152"/>
      <c r="S5" s="152"/>
      <c r="T5" s="152"/>
      <c r="U5" s="152"/>
      <c r="V5" s="152"/>
      <c r="W5" s="152"/>
      <c r="X5" s="152"/>
      <c r="Y5" s="152"/>
    </row>
    <row r="6">
      <c r="A6" s="186">
        <v>24.0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9.0"/>
    <col customWidth="1" min="7" max="7" width="46.86"/>
  </cols>
  <sheetData>
    <row r="1">
      <c r="A1" s="143" t="s">
        <v>2780</v>
      </c>
      <c r="B1" s="144"/>
      <c r="C1" s="144"/>
      <c r="D1" s="144"/>
      <c r="E1" s="145"/>
      <c r="F1" s="145"/>
      <c r="G1" s="146"/>
    </row>
    <row r="2">
      <c r="A2" s="183" t="s">
        <v>2775</v>
      </c>
      <c r="B2" s="144"/>
      <c r="C2" s="144"/>
      <c r="D2" s="144"/>
      <c r="E2" s="144"/>
      <c r="F2" s="145"/>
      <c r="G2" s="146"/>
    </row>
    <row r="3">
      <c r="A3" s="149" t="s">
        <v>2632</v>
      </c>
      <c r="B3" s="150" t="s">
        <v>2585</v>
      </c>
      <c r="C3" s="150" t="s">
        <v>2</v>
      </c>
      <c r="D3" s="150" t="s">
        <v>6</v>
      </c>
      <c r="E3" s="184" t="s">
        <v>2776</v>
      </c>
      <c r="F3" s="184" t="s">
        <v>2777</v>
      </c>
      <c r="G3" s="185" t="s">
        <v>2778</v>
      </c>
    </row>
    <row r="4">
      <c r="A4" s="153">
        <v>1.0</v>
      </c>
      <c r="B4" s="154"/>
      <c r="C4" s="154"/>
      <c r="D4" s="154"/>
      <c r="E4" s="154"/>
      <c r="F4" s="155"/>
      <c r="G4" s="155"/>
    </row>
    <row r="5">
      <c r="A5" s="163" t="s">
        <v>2781</v>
      </c>
      <c r="B5" s="155"/>
      <c r="C5" s="155"/>
      <c r="D5" s="155"/>
      <c r="E5" s="155"/>
      <c r="F5" s="155"/>
      <c r="G5" s="155"/>
    </row>
    <row r="6">
      <c r="A6" s="186">
        <v>72.0</v>
      </c>
      <c r="B6" s="187" t="s">
        <v>685</v>
      </c>
      <c r="C6" s="188" t="s">
        <v>686</v>
      </c>
      <c r="E6" s="179" t="s">
        <v>2782</v>
      </c>
      <c r="G6" s="179" t="s">
        <v>2783</v>
      </c>
    </row>
    <row r="7">
      <c r="A7" s="186">
        <v>73.0</v>
      </c>
      <c r="B7" s="81" t="s">
        <v>1285</v>
      </c>
      <c r="C7" s="81" t="s">
        <v>2784</v>
      </c>
      <c r="E7" s="179" t="s">
        <v>2782</v>
      </c>
    </row>
    <row r="8">
      <c r="A8" s="189">
        <v>74.0</v>
      </c>
      <c r="B8" s="190" t="s">
        <v>981</v>
      </c>
      <c r="C8" s="81" t="s">
        <v>982</v>
      </c>
      <c r="E8" s="191" t="s">
        <v>2785</v>
      </c>
    </row>
    <row r="9">
      <c r="A9" s="189">
        <v>75.0</v>
      </c>
      <c r="B9" s="81" t="s">
        <v>705</v>
      </c>
      <c r="C9" s="81" t="s">
        <v>706</v>
      </c>
      <c r="E9" s="191" t="s">
        <v>2786</v>
      </c>
    </row>
    <row r="10">
      <c r="A10" s="189">
        <v>76.0</v>
      </c>
      <c r="B10" s="81" t="s">
        <v>2787</v>
      </c>
      <c r="C10" s="81" t="s">
        <v>2788</v>
      </c>
      <c r="E10" s="192" t="s">
        <v>2789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9" max="9" width="19.86"/>
    <col customWidth="1" min="10" max="10" width="27.0"/>
  </cols>
  <sheetData>
    <row r="1">
      <c r="A1" s="193"/>
      <c r="B1" s="194" t="s">
        <v>2790</v>
      </c>
      <c r="C1" s="195"/>
      <c r="D1" s="196"/>
      <c r="E1" s="196"/>
      <c r="F1" s="196"/>
      <c r="G1" s="197"/>
      <c r="H1" s="197"/>
      <c r="I1" s="197"/>
      <c r="J1" s="198"/>
    </row>
    <row r="2">
      <c r="A2" s="199" t="s">
        <v>0</v>
      </c>
      <c r="B2" s="200" t="s">
        <v>2585</v>
      </c>
      <c r="C2" s="200" t="s">
        <v>2</v>
      </c>
      <c r="D2" s="200" t="s">
        <v>3</v>
      </c>
      <c r="E2" s="200" t="s">
        <v>4</v>
      </c>
      <c r="F2" s="200" t="s">
        <v>5</v>
      </c>
      <c r="G2" s="200" t="s">
        <v>6</v>
      </c>
      <c r="H2" s="200" t="s">
        <v>7</v>
      </c>
      <c r="I2" s="200" t="s">
        <v>2586</v>
      </c>
      <c r="J2" s="200" t="s">
        <v>12</v>
      </c>
    </row>
    <row r="3">
      <c r="A3" s="201">
        <v>1.0</v>
      </c>
      <c r="B3" s="202" t="s">
        <v>2660</v>
      </c>
      <c r="C3" s="202" t="s">
        <v>308</v>
      </c>
      <c r="D3" s="202" t="s">
        <v>309</v>
      </c>
      <c r="E3" s="202" t="s">
        <v>27</v>
      </c>
      <c r="F3" s="202" t="s">
        <v>1018</v>
      </c>
      <c r="G3" s="202" t="s">
        <v>466</v>
      </c>
      <c r="H3" s="202" t="s">
        <v>311</v>
      </c>
      <c r="I3" s="202" t="s">
        <v>312</v>
      </c>
      <c r="J3" s="203"/>
    </row>
    <row r="4">
      <c r="A4" s="201">
        <v>2.0</v>
      </c>
      <c r="B4" s="202" t="s">
        <v>525</v>
      </c>
      <c r="C4" s="202" t="s">
        <v>526</v>
      </c>
      <c r="D4" s="202" t="s">
        <v>527</v>
      </c>
      <c r="E4" s="202" t="s">
        <v>27</v>
      </c>
      <c r="F4" s="202" t="s">
        <v>1027</v>
      </c>
      <c r="G4" s="202" t="s">
        <v>466</v>
      </c>
      <c r="H4" s="202" t="s">
        <v>528</v>
      </c>
      <c r="I4" s="202" t="s">
        <v>529</v>
      </c>
      <c r="J4" s="202" t="s">
        <v>532</v>
      </c>
    </row>
    <row r="5">
      <c r="A5" s="201">
        <v>3.0</v>
      </c>
      <c r="B5" s="202" t="s">
        <v>554</v>
      </c>
      <c r="C5" s="202" t="s">
        <v>555</v>
      </c>
      <c r="D5" s="202" t="s">
        <v>527</v>
      </c>
      <c r="E5" s="202" t="s">
        <v>27</v>
      </c>
      <c r="F5" s="202" t="s">
        <v>1018</v>
      </c>
      <c r="G5" s="202" t="s">
        <v>466</v>
      </c>
      <c r="H5" s="202" t="s">
        <v>556</v>
      </c>
      <c r="I5" s="202" t="s">
        <v>557</v>
      </c>
      <c r="J5" s="202" t="s">
        <v>2791</v>
      </c>
    </row>
    <row r="6">
      <c r="A6" s="204">
        <v>4.0</v>
      </c>
      <c r="B6" s="205" t="s">
        <v>661</v>
      </c>
      <c r="C6" s="205" t="s">
        <v>662</v>
      </c>
      <c r="D6" s="205" t="s">
        <v>309</v>
      </c>
      <c r="E6" s="205" t="s">
        <v>27</v>
      </c>
      <c r="F6" s="205" t="s">
        <v>1018</v>
      </c>
      <c r="G6" s="205" t="s">
        <v>599</v>
      </c>
      <c r="H6" s="205" t="s">
        <v>663</v>
      </c>
      <c r="I6" s="205" t="s">
        <v>64</v>
      </c>
      <c r="J6" s="205" t="s">
        <v>667</v>
      </c>
    </row>
    <row r="7">
      <c r="A7" s="204">
        <v>5.0</v>
      </c>
      <c r="B7" s="205" t="s">
        <v>675</v>
      </c>
      <c r="C7" s="205" t="s">
        <v>676</v>
      </c>
      <c r="D7" s="205" t="s">
        <v>527</v>
      </c>
      <c r="E7" s="205" t="s">
        <v>27</v>
      </c>
      <c r="F7" s="205" t="s">
        <v>1027</v>
      </c>
      <c r="G7" s="205" t="s">
        <v>599</v>
      </c>
      <c r="H7" s="205" t="s">
        <v>677</v>
      </c>
      <c r="I7" s="205"/>
      <c r="J7" s="205" t="s">
        <v>680</v>
      </c>
    </row>
    <row r="8">
      <c r="A8" s="204">
        <v>6.0</v>
      </c>
      <c r="B8" s="205" t="s">
        <v>695</v>
      </c>
      <c r="C8" s="205" t="s">
        <v>696</v>
      </c>
      <c r="D8" s="205" t="s">
        <v>294</v>
      </c>
      <c r="E8" s="205" t="s">
        <v>27</v>
      </c>
      <c r="F8" s="205" t="s">
        <v>1018</v>
      </c>
      <c r="G8" s="205" t="s">
        <v>599</v>
      </c>
      <c r="H8" s="205" t="s">
        <v>697</v>
      </c>
      <c r="I8" s="205" t="s">
        <v>698</v>
      </c>
      <c r="J8" s="205" t="s">
        <v>701</v>
      </c>
    </row>
    <row r="9">
      <c r="A9" s="206">
        <v>7.0</v>
      </c>
      <c r="B9" s="207" t="s">
        <v>782</v>
      </c>
      <c r="C9" s="207" t="s">
        <v>783</v>
      </c>
      <c r="D9" s="207" t="s">
        <v>309</v>
      </c>
      <c r="E9" s="207" t="s">
        <v>27</v>
      </c>
      <c r="F9" s="207" t="s">
        <v>1027</v>
      </c>
      <c r="G9" s="207" t="s">
        <v>717</v>
      </c>
      <c r="H9" s="207" t="s">
        <v>784</v>
      </c>
      <c r="I9" s="207" t="s">
        <v>785</v>
      </c>
      <c r="J9" s="207" t="s">
        <v>789</v>
      </c>
    </row>
    <row r="10">
      <c r="A10" s="206">
        <v>8.0</v>
      </c>
      <c r="B10" s="207" t="s">
        <v>812</v>
      </c>
      <c r="C10" s="207" t="s">
        <v>813</v>
      </c>
      <c r="D10" s="207" t="s">
        <v>527</v>
      </c>
      <c r="E10" s="207" t="s">
        <v>27</v>
      </c>
      <c r="F10" s="207" t="s">
        <v>1018</v>
      </c>
      <c r="G10" s="207" t="s">
        <v>717</v>
      </c>
      <c r="H10" s="207" t="s">
        <v>814</v>
      </c>
      <c r="I10" s="207" t="s">
        <v>815</v>
      </c>
      <c r="J10" s="207" t="s">
        <v>818</v>
      </c>
    </row>
    <row r="11">
      <c r="A11" s="208">
        <v>9.0</v>
      </c>
      <c r="B11" s="209" t="s">
        <v>878</v>
      </c>
      <c r="C11" s="209" t="s">
        <v>879</v>
      </c>
      <c r="D11" s="210" t="s">
        <v>309</v>
      </c>
      <c r="E11" s="210" t="s">
        <v>27</v>
      </c>
      <c r="F11" s="210" t="s">
        <v>1018</v>
      </c>
      <c r="G11" s="210" t="s">
        <v>845</v>
      </c>
      <c r="H11" s="210" t="s">
        <v>880</v>
      </c>
      <c r="I11" s="210" t="s">
        <v>881</v>
      </c>
      <c r="J11" s="210" t="s">
        <v>883</v>
      </c>
    </row>
    <row r="12">
      <c r="A12" s="208">
        <v>10.0</v>
      </c>
      <c r="B12" s="209" t="s">
        <v>909</v>
      </c>
      <c r="C12" s="209" t="s">
        <v>868</v>
      </c>
      <c r="D12" s="210" t="s">
        <v>76</v>
      </c>
      <c r="E12" s="210" t="s">
        <v>27</v>
      </c>
      <c r="F12" s="210" t="s">
        <v>1027</v>
      </c>
      <c r="G12" s="210" t="s">
        <v>845</v>
      </c>
      <c r="H12" s="210" t="s">
        <v>910</v>
      </c>
      <c r="I12" s="210" t="s">
        <v>911</v>
      </c>
      <c r="J12" s="210" t="s">
        <v>914</v>
      </c>
    </row>
    <row r="13">
      <c r="A13" s="208">
        <v>11.0</v>
      </c>
      <c r="B13" s="210" t="s">
        <v>928</v>
      </c>
      <c r="C13" s="210" t="s">
        <v>929</v>
      </c>
      <c r="D13" s="210" t="s">
        <v>309</v>
      </c>
      <c r="E13" s="210" t="s">
        <v>27</v>
      </c>
      <c r="F13" s="210" t="s">
        <v>1027</v>
      </c>
      <c r="G13" s="210" t="s">
        <v>845</v>
      </c>
      <c r="H13" s="210" t="s">
        <v>931</v>
      </c>
      <c r="I13" s="210" t="s">
        <v>932</v>
      </c>
      <c r="J13" s="210" t="s">
        <v>936</v>
      </c>
    </row>
    <row r="14">
      <c r="A14" s="208">
        <v>12.0</v>
      </c>
      <c r="B14" s="210" t="s">
        <v>943</v>
      </c>
      <c r="C14" s="210" t="s">
        <v>944</v>
      </c>
      <c r="D14" s="210" t="s">
        <v>309</v>
      </c>
      <c r="E14" s="210" t="s">
        <v>27</v>
      </c>
      <c r="F14" s="210" t="s">
        <v>1018</v>
      </c>
      <c r="G14" s="210" t="s">
        <v>845</v>
      </c>
      <c r="H14" s="210" t="s">
        <v>946</v>
      </c>
      <c r="I14" s="210" t="s">
        <v>947</v>
      </c>
      <c r="J14" s="210" t="s">
        <v>950</v>
      </c>
    </row>
    <row r="15">
      <c r="A15" s="208">
        <v>13.0</v>
      </c>
      <c r="B15" s="210" t="s">
        <v>969</v>
      </c>
      <c r="C15" s="210" t="s">
        <v>970</v>
      </c>
      <c r="D15" s="210" t="s">
        <v>971</v>
      </c>
      <c r="E15" s="210" t="s">
        <v>27</v>
      </c>
      <c r="F15" s="210" t="s">
        <v>1018</v>
      </c>
      <c r="G15" s="210" t="s">
        <v>845</v>
      </c>
      <c r="H15" s="210" t="s">
        <v>972</v>
      </c>
      <c r="I15" s="210" t="s">
        <v>973</v>
      </c>
      <c r="J15" s="210" t="s">
        <v>975</v>
      </c>
    </row>
    <row r="16">
      <c r="A16" s="208">
        <v>14.0</v>
      </c>
      <c r="B16" s="210" t="s">
        <v>994</v>
      </c>
      <c r="C16" s="210" t="s">
        <v>995</v>
      </c>
      <c r="D16" s="210" t="s">
        <v>996</v>
      </c>
      <c r="E16" s="210" t="s">
        <v>27</v>
      </c>
      <c r="F16" s="210" t="s">
        <v>1027</v>
      </c>
      <c r="G16" s="210" t="s">
        <v>845</v>
      </c>
      <c r="H16" s="210" t="s">
        <v>997</v>
      </c>
      <c r="I16" s="210" t="s">
        <v>998</v>
      </c>
      <c r="J16" s="210" t="s">
        <v>1000</v>
      </c>
    </row>
    <row r="17">
      <c r="A17" s="208">
        <v>15.0</v>
      </c>
      <c r="B17" s="210" t="s">
        <v>1005</v>
      </c>
      <c r="C17" s="210" t="s">
        <v>1006</v>
      </c>
      <c r="D17" s="210" t="s">
        <v>1007</v>
      </c>
      <c r="E17" s="210" t="s">
        <v>27</v>
      </c>
      <c r="F17" s="210" t="s">
        <v>1027</v>
      </c>
      <c r="G17" s="210" t="s">
        <v>845</v>
      </c>
      <c r="H17" s="210" t="s">
        <v>1008</v>
      </c>
      <c r="I17" s="210" t="s">
        <v>1009</v>
      </c>
      <c r="J17" s="210" t="s">
        <v>1011</v>
      </c>
    </row>
    <row r="18">
      <c r="A18" s="211">
        <v>16.0</v>
      </c>
      <c r="B18" s="212" t="s">
        <v>1015</v>
      </c>
      <c r="C18" s="212" t="s">
        <v>1016</v>
      </c>
      <c r="D18" s="212" t="s">
        <v>124</v>
      </c>
      <c r="E18" s="212" t="s">
        <v>27</v>
      </c>
      <c r="F18" s="212" t="s">
        <v>1018</v>
      </c>
      <c r="G18" s="212" t="s">
        <v>1019</v>
      </c>
      <c r="H18" s="212" t="s">
        <v>1055</v>
      </c>
      <c r="I18" s="212" t="s">
        <v>881</v>
      </c>
      <c r="J18" s="212" t="s">
        <v>1021</v>
      </c>
    </row>
    <row r="19">
      <c r="A19" s="211">
        <v>17.0</v>
      </c>
      <c r="B19" s="212" t="s">
        <v>1024</v>
      </c>
      <c r="C19" s="212" t="s">
        <v>1025</v>
      </c>
      <c r="D19" s="212" t="s">
        <v>527</v>
      </c>
      <c r="E19" s="212" t="s">
        <v>27</v>
      </c>
      <c r="F19" s="212" t="s">
        <v>1027</v>
      </c>
      <c r="G19" s="212" t="s">
        <v>1019</v>
      </c>
      <c r="H19" s="212" t="s">
        <v>1080</v>
      </c>
      <c r="I19" s="212" t="s">
        <v>1081</v>
      </c>
      <c r="J19" s="212" t="s">
        <v>1029</v>
      </c>
    </row>
    <row r="20">
      <c r="A20" s="211">
        <v>19.0</v>
      </c>
      <c r="B20" s="212" t="s">
        <v>1031</v>
      </c>
      <c r="C20" s="212" t="s">
        <v>1032</v>
      </c>
      <c r="D20" s="212" t="s">
        <v>527</v>
      </c>
      <c r="E20" s="212" t="s">
        <v>27</v>
      </c>
      <c r="F20" s="212" t="s">
        <v>1018</v>
      </c>
      <c r="G20" s="212" t="s">
        <v>1019</v>
      </c>
      <c r="H20" s="212" t="s">
        <v>1158</v>
      </c>
      <c r="I20" s="212" t="s">
        <v>1159</v>
      </c>
      <c r="J20" s="212" t="s">
        <v>1034</v>
      </c>
    </row>
    <row r="21">
      <c r="A21" s="211">
        <v>22.0</v>
      </c>
      <c r="B21" s="212" t="s">
        <v>1186</v>
      </c>
      <c r="C21" s="212" t="s">
        <v>856</v>
      </c>
      <c r="D21" s="212" t="s">
        <v>1187</v>
      </c>
      <c r="E21" s="212" t="s">
        <v>1188</v>
      </c>
      <c r="F21" s="212" t="s">
        <v>1027</v>
      </c>
      <c r="G21" s="212" t="s">
        <v>1019</v>
      </c>
      <c r="H21" s="212" t="s">
        <v>1189</v>
      </c>
      <c r="I21" s="212" t="s">
        <v>1190</v>
      </c>
      <c r="J21" s="212" t="s">
        <v>1192</v>
      </c>
    </row>
    <row r="22">
      <c r="A22" s="213">
        <v>23.0</v>
      </c>
      <c r="B22" s="214" t="s">
        <v>1207</v>
      </c>
      <c r="C22" s="214" t="s">
        <v>1208</v>
      </c>
      <c r="D22" s="214" t="s">
        <v>1209</v>
      </c>
      <c r="E22" s="214" t="s">
        <v>27</v>
      </c>
      <c r="F22" s="214" t="s">
        <v>1027</v>
      </c>
      <c r="G22" s="214" t="s">
        <v>1197</v>
      </c>
      <c r="H22" s="214" t="s">
        <v>1210</v>
      </c>
      <c r="I22" s="214" t="s">
        <v>1211</v>
      </c>
      <c r="J22" s="214" t="s">
        <v>1214</v>
      </c>
    </row>
    <row r="23">
      <c r="A23" s="213">
        <v>24.0</v>
      </c>
      <c r="B23" s="214" t="s">
        <v>1244</v>
      </c>
      <c r="C23" s="214" t="s">
        <v>1245</v>
      </c>
      <c r="D23" s="214" t="s">
        <v>1187</v>
      </c>
      <c r="E23" s="214" t="s">
        <v>1188</v>
      </c>
      <c r="F23" s="214" t="s">
        <v>1027</v>
      </c>
      <c r="G23" s="214" t="s">
        <v>1197</v>
      </c>
      <c r="H23" s="214" t="s">
        <v>1246</v>
      </c>
      <c r="I23" s="214" t="s">
        <v>1247</v>
      </c>
      <c r="J23" s="214" t="s">
        <v>1250</v>
      </c>
    </row>
    <row r="24">
      <c r="A24" s="215">
        <v>25.0</v>
      </c>
      <c r="B24" s="216" t="s">
        <v>1370</v>
      </c>
      <c r="C24" s="216" t="s">
        <v>1371</v>
      </c>
      <c r="D24" s="216" t="s">
        <v>527</v>
      </c>
      <c r="E24" s="216" t="s">
        <v>27</v>
      </c>
      <c r="F24" s="216" t="s">
        <v>1018</v>
      </c>
      <c r="G24" s="217" t="s">
        <v>1318</v>
      </c>
      <c r="H24" s="216" t="s">
        <v>1372</v>
      </c>
      <c r="I24" s="216" t="s">
        <v>1373</v>
      </c>
      <c r="J24" s="216" t="s">
        <v>1377</v>
      </c>
    </row>
    <row r="25">
      <c r="A25" s="215">
        <v>26.0</v>
      </c>
      <c r="B25" s="216" t="s">
        <v>1380</v>
      </c>
      <c r="C25" s="216" t="s">
        <v>1381</v>
      </c>
      <c r="D25" s="216" t="s">
        <v>1382</v>
      </c>
      <c r="E25" s="216" t="s">
        <v>1383</v>
      </c>
      <c r="F25" s="216" t="s">
        <v>1018</v>
      </c>
      <c r="G25" s="217" t="s">
        <v>1318</v>
      </c>
      <c r="H25" s="216" t="s">
        <v>1384</v>
      </c>
      <c r="I25" s="216" t="s">
        <v>1385</v>
      </c>
      <c r="J25" s="216" t="s">
        <v>1388</v>
      </c>
    </row>
    <row r="26">
      <c r="A26" s="215">
        <v>27.0</v>
      </c>
      <c r="B26" s="216" t="s">
        <v>1419</v>
      </c>
      <c r="C26" s="216" t="s">
        <v>1420</v>
      </c>
      <c r="D26" s="216" t="s">
        <v>527</v>
      </c>
      <c r="E26" s="216" t="s">
        <v>27</v>
      </c>
      <c r="F26" s="216" t="s">
        <v>1018</v>
      </c>
      <c r="G26" s="217" t="s">
        <v>1318</v>
      </c>
      <c r="H26" s="216" t="s">
        <v>1421</v>
      </c>
      <c r="I26" s="216" t="s">
        <v>1422</v>
      </c>
      <c r="J26" s="216" t="s">
        <v>1424</v>
      </c>
    </row>
    <row r="27">
      <c r="A27" s="215">
        <v>28.0</v>
      </c>
      <c r="B27" s="216" t="s">
        <v>1451</v>
      </c>
      <c r="C27" s="216" t="s">
        <v>1452</v>
      </c>
      <c r="D27" s="216" t="s">
        <v>1453</v>
      </c>
      <c r="E27" s="216" t="s">
        <v>27</v>
      </c>
      <c r="F27" s="216" t="s">
        <v>1027</v>
      </c>
      <c r="G27" s="217" t="s">
        <v>1318</v>
      </c>
      <c r="H27" s="216" t="s">
        <v>2792</v>
      </c>
      <c r="I27" s="216" t="s">
        <v>1455</v>
      </c>
      <c r="J27" s="216" t="s">
        <v>1458</v>
      </c>
    </row>
    <row r="28">
      <c r="A28" s="218">
        <v>29.0</v>
      </c>
      <c r="B28" s="219" t="s">
        <v>1518</v>
      </c>
      <c r="C28" s="219" t="s">
        <v>1519</v>
      </c>
      <c r="D28" s="219" t="s">
        <v>1520</v>
      </c>
      <c r="E28" s="219" t="s">
        <v>27</v>
      </c>
      <c r="F28" s="219" t="s">
        <v>41</v>
      </c>
      <c r="G28" s="219" t="s">
        <v>1489</v>
      </c>
      <c r="H28" s="219" t="s">
        <v>1522</v>
      </c>
      <c r="I28" s="219" t="s">
        <v>1523</v>
      </c>
      <c r="J28" s="219" t="s">
        <v>1526</v>
      </c>
    </row>
    <row r="29">
      <c r="A29" s="218">
        <v>30.0</v>
      </c>
      <c r="B29" s="219" t="s">
        <v>1572</v>
      </c>
      <c r="C29" s="219" t="s">
        <v>1573</v>
      </c>
      <c r="D29" s="219" t="s">
        <v>1520</v>
      </c>
      <c r="E29" s="219" t="s">
        <v>27</v>
      </c>
      <c r="F29" s="219" t="s">
        <v>89</v>
      </c>
      <c r="G29" s="219" t="s">
        <v>1489</v>
      </c>
      <c r="H29" s="219" t="s">
        <v>1574</v>
      </c>
      <c r="I29" s="219" t="s">
        <v>1575</v>
      </c>
      <c r="J29" s="219" t="s">
        <v>1578</v>
      </c>
    </row>
    <row r="30">
      <c r="A30" s="218">
        <v>32.0</v>
      </c>
      <c r="B30" s="219" t="s">
        <v>1621</v>
      </c>
      <c r="C30" s="219" t="s">
        <v>1622</v>
      </c>
      <c r="D30" s="219" t="s">
        <v>1623</v>
      </c>
      <c r="E30" s="219" t="s">
        <v>1188</v>
      </c>
      <c r="F30" s="219" t="s">
        <v>89</v>
      </c>
      <c r="G30" s="219" t="s">
        <v>1489</v>
      </c>
      <c r="H30" s="219" t="s">
        <v>1624</v>
      </c>
      <c r="I30" s="219" t="s">
        <v>2793</v>
      </c>
      <c r="J30" s="219" t="s">
        <v>1628</v>
      </c>
    </row>
    <row r="31">
      <c r="A31" s="220">
        <v>33.0</v>
      </c>
      <c r="B31" s="221" t="s">
        <v>2794</v>
      </c>
      <c r="C31" s="221" t="s">
        <v>1681</v>
      </c>
      <c r="D31" s="221" t="s">
        <v>527</v>
      </c>
      <c r="E31" s="221" t="s">
        <v>27</v>
      </c>
      <c r="F31" s="221" t="s">
        <v>89</v>
      </c>
      <c r="G31" s="222" t="s">
        <v>1633</v>
      </c>
      <c r="H31" s="222" t="s">
        <v>2795</v>
      </c>
      <c r="I31" s="222" t="s">
        <v>1683</v>
      </c>
      <c r="J31" s="223" t="s">
        <v>1685</v>
      </c>
      <c r="K31" s="224"/>
      <c r="L31" s="174"/>
    </row>
    <row r="32">
      <c r="A32" s="220">
        <v>34.0</v>
      </c>
      <c r="B32" s="221" t="s">
        <v>1696</v>
      </c>
      <c r="C32" s="221" t="s">
        <v>1697</v>
      </c>
      <c r="D32" s="221" t="s">
        <v>294</v>
      </c>
      <c r="E32" s="221" t="s">
        <v>27</v>
      </c>
      <c r="F32" s="221" t="s">
        <v>89</v>
      </c>
      <c r="G32" s="222" t="s">
        <v>1633</v>
      </c>
      <c r="H32" s="222" t="s">
        <v>2796</v>
      </c>
      <c r="I32" s="222" t="s">
        <v>1699</v>
      </c>
      <c r="J32" s="223" t="s">
        <v>1701</v>
      </c>
      <c r="K32" s="224"/>
      <c r="L32" s="174"/>
    </row>
    <row r="33">
      <c r="A33" s="220">
        <v>35.0</v>
      </c>
      <c r="B33" s="221" t="s">
        <v>1704</v>
      </c>
      <c r="C33" s="221" t="s">
        <v>1705</v>
      </c>
      <c r="D33" s="225" t="s">
        <v>1520</v>
      </c>
      <c r="E33" s="221" t="s">
        <v>27</v>
      </c>
      <c r="F33" s="221" t="s">
        <v>89</v>
      </c>
      <c r="G33" s="222" t="s">
        <v>1633</v>
      </c>
      <c r="H33" s="222" t="s">
        <v>1706</v>
      </c>
      <c r="I33" s="222" t="s">
        <v>2797</v>
      </c>
      <c r="J33" s="223" t="s">
        <v>1709</v>
      </c>
      <c r="K33" s="224"/>
      <c r="L33" s="174"/>
    </row>
    <row r="34">
      <c r="A34" s="226">
        <v>36.0</v>
      </c>
      <c r="B34" s="227" t="s">
        <v>1799</v>
      </c>
      <c r="C34" s="228" t="s">
        <v>1800</v>
      </c>
      <c r="D34" s="227" t="s">
        <v>1801</v>
      </c>
      <c r="E34" s="227" t="s">
        <v>27</v>
      </c>
      <c r="F34" s="227" t="s">
        <v>41</v>
      </c>
      <c r="G34" s="227" t="s">
        <v>2798</v>
      </c>
      <c r="H34" s="229"/>
      <c r="I34" s="227" t="s">
        <v>1802</v>
      </c>
      <c r="J34" s="227" t="s">
        <v>1804</v>
      </c>
      <c r="K34" s="230"/>
      <c r="L34" s="230"/>
      <c r="M34" s="230"/>
      <c r="N34" s="230"/>
      <c r="O34" s="230"/>
      <c r="P34" s="230"/>
      <c r="Q34" s="230"/>
      <c r="R34" s="230"/>
      <c r="S34" s="230"/>
      <c r="T34" s="230"/>
      <c r="U34" s="230"/>
      <c r="V34" s="230"/>
      <c r="W34" s="230"/>
      <c r="X34" s="230"/>
      <c r="Y34" s="230"/>
      <c r="Z34" s="230"/>
    </row>
    <row r="35">
      <c r="A35" s="231">
        <v>37.0</v>
      </c>
      <c r="B35" s="227" t="s">
        <v>1792</v>
      </c>
      <c r="C35" s="228" t="s">
        <v>1793</v>
      </c>
      <c r="D35" s="227" t="s">
        <v>76</v>
      </c>
      <c r="E35" s="227" t="s">
        <v>27</v>
      </c>
      <c r="F35" s="227" t="s">
        <v>89</v>
      </c>
      <c r="G35" s="227" t="s">
        <v>2799</v>
      </c>
      <c r="H35" s="229"/>
      <c r="I35" s="227" t="s">
        <v>1795</v>
      </c>
      <c r="J35" s="227" t="s">
        <v>1797</v>
      </c>
      <c r="K35" s="230"/>
      <c r="L35" s="230"/>
      <c r="M35" s="230"/>
      <c r="N35" s="230"/>
      <c r="O35" s="230"/>
      <c r="P35" s="230"/>
      <c r="Q35" s="230"/>
      <c r="R35" s="230"/>
      <c r="S35" s="230"/>
      <c r="T35" s="230"/>
      <c r="U35" s="230"/>
      <c r="V35" s="230"/>
      <c r="W35" s="230"/>
      <c r="X35" s="230"/>
      <c r="Y35" s="230"/>
      <c r="Z35" s="230"/>
    </row>
    <row r="36">
      <c r="A36" s="232">
        <v>38.0</v>
      </c>
      <c r="B36" s="227" t="s">
        <v>856</v>
      </c>
      <c r="C36" s="228" t="s">
        <v>1813</v>
      </c>
      <c r="D36" s="227" t="s">
        <v>1814</v>
      </c>
      <c r="E36" s="227" t="s">
        <v>27</v>
      </c>
      <c r="F36" s="227" t="s">
        <v>41</v>
      </c>
      <c r="G36" s="227" t="s">
        <v>2799</v>
      </c>
      <c r="H36" s="229"/>
      <c r="I36" s="227" t="s">
        <v>1816</v>
      </c>
      <c r="J36" s="227" t="s">
        <v>1818</v>
      </c>
      <c r="K36" s="230"/>
      <c r="L36" s="230"/>
      <c r="M36" s="230"/>
      <c r="N36" s="230"/>
      <c r="O36" s="230"/>
      <c r="P36" s="230"/>
      <c r="Q36" s="230"/>
      <c r="R36" s="230"/>
      <c r="S36" s="230"/>
      <c r="T36" s="230"/>
      <c r="U36" s="230"/>
      <c r="V36" s="230"/>
      <c r="W36" s="230"/>
      <c r="X36" s="230"/>
      <c r="Y36" s="230"/>
      <c r="Z36" s="230"/>
    </row>
    <row r="37">
      <c r="A37" s="232">
        <v>39.0</v>
      </c>
      <c r="B37" s="227" t="s">
        <v>2800</v>
      </c>
      <c r="C37" s="228" t="s">
        <v>2801</v>
      </c>
      <c r="D37" s="227" t="s">
        <v>2802</v>
      </c>
      <c r="E37" s="227" t="s">
        <v>27</v>
      </c>
      <c r="F37" s="227" t="s">
        <v>41</v>
      </c>
      <c r="G37" s="227" t="s">
        <v>2799</v>
      </c>
      <c r="H37" s="229"/>
      <c r="I37" s="227" t="s">
        <v>2803</v>
      </c>
      <c r="J37" s="227" t="s">
        <v>2804</v>
      </c>
      <c r="K37" s="230"/>
      <c r="L37" s="230"/>
      <c r="M37" s="230"/>
      <c r="N37" s="230"/>
      <c r="O37" s="230"/>
      <c r="P37" s="230"/>
      <c r="Q37" s="230"/>
      <c r="R37" s="230"/>
      <c r="S37" s="230"/>
      <c r="T37" s="230"/>
      <c r="U37" s="230"/>
      <c r="V37" s="230"/>
      <c r="W37" s="230"/>
      <c r="X37" s="230"/>
      <c r="Y37" s="230"/>
      <c r="Z37" s="23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17.14"/>
    <col customWidth="1" min="3" max="3" width="19.43"/>
    <col customWidth="1" min="4" max="4" width="12.29"/>
    <col customWidth="1" min="5" max="5" width="12.0"/>
    <col customWidth="1" min="6" max="6" width="10.29"/>
    <col customWidth="1" min="7" max="7" width="15.86"/>
    <col customWidth="1" min="8" max="8" width="32.71"/>
    <col customWidth="1" min="9" max="9" width="16.71"/>
    <col customWidth="1" min="10" max="10" width="40.29"/>
    <col customWidth="1" min="11" max="11" width="18.29"/>
    <col customWidth="1" min="12" max="12" width="21.71"/>
    <col customWidth="1" min="13" max="13" width="8.86"/>
    <col customWidth="1" min="14" max="14" width="30.0"/>
    <col customWidth="1" min="15" max="26" width="8.86"/>
  </cols>
  <sheetData>
    <row r="1" ht="44.25" customHeight="1">
      <c r="A1" s="233" t="s">
        <v>2805</v>
      </c>
      <c r="B1" s="234" t="s">
        <v>2806</v>
      </c>
      <c r="C1" s="235"/>
      <c r="D1" s="235"/>
      <c r="E1" s="235"/>
      <c r="F1" s="235"/>
      <c r="G1" s="235"/>
      <c r="H1" s="235"/>
      <c r="I1" s="235"/>
      <c r="J1" s="235"/>
      <c r="K1" s="235"/>
      <c r="L1" s="235"/>
      <c r="M1" s="235"/>
      <c r="N1" s="235"/>
    </row>
    <row r="2" ht="44.25" customHeight="1">
      <c r="A2" s="236" t="s">
        <v>0</v>
      </c>
      <c r="B2" s="235" t="s">
        <v>2585</v>
      </c>
      <c r="C2" s="235" t="s">
        <v>2</v>
      </c>
      <c r="D2" s="235" t="s">
        <v>2807</v>
      </c>
      <c r="E2" s="235" t="s">
        <v>2808</v>
      </c>
      <c r="F2" s="235" t="s">
        <v>5</v>
      </c>
      <c r="G2" s="235" t="s">
        <v>6</v>
      </c>
      <c r="H2" s="235" t="s">
        <v>7</v>
      </c>
      <c r="I2" s="235" t="s">
        <v>2586</v>
      </c>
      <c r="J2" s="235" t="s">
        <v>10</v>
      </c>
      <c r="K2" s="235" t="s">
        <v>11</v>
      </c>
      <c r="L2" s="235" t="s">
        <v>12</v>
      </c>
      <c r="M2" s="235" t="s">
        <v>2587</v>
      </c>
      <c r="N2" s="235" t="s">
        <v>14</v>
      </c>
    </row>
    <row r="3" ht="44.25" customHeight="1">
      <c r="A3" s="237">
        <v>1.0</v>
      </c>
      <c r="B3" s="238" t="s">
        <v>1551</v>
      </c>
      <c r="C3" s="238" t="s">
        <v>1552</v>
      </c>
      <c r="D3" s="238" t="s">
        <v>1553</v>
      </c>
      <c r="E3" s="238"/>
      <c r="F3" s="239" t="s">
        <v>1018</v>
      </c>
      <c r="G3" s="238" t="s">
        <v>1489</v>
      </c>
      <c r="H3" s="238" t="s">
        <v>1554</v>
      </c>
      <c r="I3" s="238" t="s">
        <v>1555</v>
      </c>
      <c r="J3" s="238" t="s">
        <v>1556</v>
      </c>
      <c r="K3" s="240" t="s">
        <v>1557</v>
      </c>
      <c r="L3" s="238" t="s">
        <v>1558</v>
      </c>
      <c r="M3" s="238"/>
      <c r="N3" s="238" t="s">
        <v>1559</v>
      </c>
    </row>
    <row r="4" ht="28.5" customHeight="1">
      <c r="A4" s="236">
        <v>2.0</v>
      </c>
      <c r="B4" s="238" t="s">
        <v>51</v>
      </c>
      <c r="C4" s="238" t="s">
        <v>52</v>
      </c>
      <c r="D4" s="238" t="s">
        <v>53</v>
      </c>
      <c r="E4" s="238"/>
      <c r="F4" s="238" t="s">
        <v>1027</v>
      </c>
      <c r="G4" s="238" t="s">
        <v>42</v>
      </c>
      <c r="H4" s="238" t="s">
        <v>55</v>
      </c>
      <c r="I4" s="238" t="s">
        <v>56</v>
      </c>
      <c r="J4" s="241" t="s">
        <v>57</v>
      </c>
      <c r="K4" s="240"/>
      <c r="L4" s="238" t="s">
        <v>2809</v>
      </c>
      <c r="M4" s="238"/>
      <c r="N4" s="238"/>
    </row>
    <row r="5" ht="28.5" customHeight="1">
      <c r="A5" s="237">
        <v>3.0</v>
      </c>
      <c r="B5" s="238" t="s">
        <v>61</v>
      </c>
      <c r="C5" s="238" t="s">
        <v>62</v>
      </c>
      <c r="D5" s="238" t="s">
        <v>53</v>
      </c>
      <c r="E5" s="238"/>
      <c r="F5" s="238" t="s">
        <v>1027</v>
      </c>
      <c r="G5" s="238" t="s">
        <v>42</v>
      </c>
      <c r="H5" s="238" t="s">
        <v>63</v>
      </c>
      <c r="I5" s="238" t="s">
        <v>64</v>
      </c>
      <c r="J5" s="241" t="s">
        <v>65</v>
      </c>
      <c r="K5" s="240" t="s">
        <v>66</v>
      </c>
      <c r="L5" s="238" t="s">
        <v>2810</v>
      </c>
      <c r="M5" s="238" t="s">
        <v>2642</v>
      </c>
      <c r="N5" s="242" t="s">
        <v>69</v>
      </c>
    </row>
    <row r="6" ht="28.5" customHeight="1">
      <c r="A6" s="237">
        <v>4.0</v>
      </c>
      <c r="B6" s="238" t="s">
        <v>87</v>
      </c>
      <c r="C6" s="238" t="s">
        <v>88</v>
      </c>
      <c r="D6" s="238" t="s">
        <v>53</v>
      </c>
      <c r="E6" s="238"/>
      <c r="F6" s="238" t="s">
        <v>1018</v>
      </c>
      <c r="G6" s="238" t="s">
        <v>42</v>
      </c>
      <c r="H6" s="238" t="s">
        <v>90</v>
      </c>
      <c r="I6" s="238" t="s">
        <v>91</v>
      </c>
      <c r="J6" s="241" t="s">
        <v>2811</v>
      </c>
      <c r="K6" s="240" t="s">
        <v>93</v>
      </c>
      <c r="L6" s="238" t="s">
        <v>2812</v>
      </c>
      <c r="M6" s="238" t="s">
        <v>2643</v>
      </c>
      <c r="N6" s="238"/>
    </row>
    <row r="7" ht="28.5" customHeight="1">
      <c r="A7" s="236">
        <v>5.0</v>
      </c>
      <c r="B7" s="238" t="s">
        <v>111</v>
      </c>
      <c r="C7" s="238" t="s">
        <v>112</v>
      </c>
      <c r="D7" s="238" t="s">
        <v>53</v>
      </c>
      <c r="E7" s="238"/>
      <c r="F7" s="238" t="s">
        <v>1018</v>
      </c>
      <c r="G7" s="238" t="s">
        <v>42</v>
      </c>
      <c r="H7" s="238" t="s">
        <v>113</v>
      </c>
      <c r="I7" s="238" t="s">
        <v>114</v>
      </c>
      <c r="J7" s="243" t="s">
        <v>2813</v>
      </c>
      <c r="K7" s="240"/>
      <c r="L7" s="238" t="s">
        <v>2814</v>
      </c>
      <c r="M7" s="238" t="s">
        <v>2646</v>
      </c>
      <c r="N7" s="238" t="s">
        <v>118</v>
      </c>
    </row>
    <row r="8" ht="28.5" customHeight="1">
      <c r="A8" s="237">
        <v>6.0</v>
      </c>
      <c r="B8" s="238" t="s">
        <v>203</v>
      </c>
      <c r="C8" s="238" t="s">
        <v>204</v>
      </c>
      <c r="D8" s="238" t="s">
        <v>53</v>
      </c>
      <c r="E8" s="238"/>
      <c r="F8" s="238" t="s">
        <v>1027</v>
      </c>
      <c r="G8" s="238" t="s">
        <v>160</v>
      </c>
      <c r="H8" s="238" t="s">
        <v>205</v>
      </c>
      <c r="I8" s="238" t="s">
        <v>149</v>
      </c>
      <c r="J8" s="239" t="s">
        <v>2815</v>
      </c>
      <c r="K8" s="240" t="s">
        <v>208</v>
      </c>
      <c r="L8" s="238" t="s">
        <v>209</v>
      </c>
      <c r="M8" s="238" t="s">
        <v>2816</v>
      </c>
      <c r="N8" s="238" t="s">
        <v>2817</v>
      </c>
    </row>
    <row r="9" ht="28.5" customHeight="1">
      <c r="A9" s="237">
        <v>7.0</v>
      </c>
      <c r="B9" s="238" t="s">
        <v>223</v>
      </c>
      <c r="C9" s="238" t="s">
        <v>224</v>
      </c>
      <c r="D9" s="238" t="s">
        <v>53</v>
      </c>
      <c r="E9" s="238"/>
      <c r="F9" s="238" t="s">
        <v>1027</v>
      </c>
      <c r="G9" s="238" t="s">
        <v>160</v>
      </c>
      <c r="H9" s="238" t="s">
        <v>225</v>
      </c>
      <c r="I9" s="238" t="s">
        <v>226</v>
      </c>
      <c r="J9" s="238" t="s">
        <v>2818</v>
      </c>
      <c r="K9" s="240" t="s">
        <v>228</v>
      </c>
      <c r="L9" s="238" t="s">
        <v>229</v>
      </c>
      <c r="M9" s="238" t="s">
        <v>2819</v>
      </c>
      <c r="N9" s="238" t="s">
        <v>2820</v>
      </c>
    </row>
    <row r="10" ht="28.5" customHeight="1">
      <c r="A10" s="237">
        <v>8.0</v>
      </c>
      <c r="B10" s="238" t="s">
        <v>260</v>
      </c>
      <c r="C10" s="238" t="s">
        <v>261</v>
      </c>
      <c r="D10" s="238" t="s">
        <v>53</v>
      </c>
      <c r="E10" s="238"/>
      <c r="F10" s="238" t="s">
        <v>1018</v>
      </c>
      <c r="G10" s="238" t="s">
        <v>160</v>
      </c>
      <c r="H10" s="238" t="s">
        <v>262</v>
      </c>
      <c r="I10" s="238" t="s">
        <v>263</v>
      </c>
      <c r="J10" s="241" t="s">
        <v>264</v>
      </c>
      <c r="K10" s="240" t="s">
        <v>265</v>
      </c>
      <c r="L10" s="238" t="s">
        <v>266</v>
      </c>
      <c r="M10" s="238" t="s">
        <v>2821</v>
      </c>
      <c r="N10" s="238"/>
    </row>
    <row r="11" ht="28.5" customHeight="1">
      <c r="A11" s="236">
        <v>9.0</v>
      </c>
      <c r="B11" s="238" t="s">
        <v>416</v>
      </c>
      <c r="C11" s="238" t="s">
        <v>417</v>
      </c>
      <c r="D11" s="238" t="s">
        <v>53</v>
      </c>
      <c r="E11" s="239" t="s">
        <v>2822</v>
      </c>
      <c r="F11" s="238" t="s">
        <v>1027</v>
      </c>
      <c r="G11" s="238" t="s">
        <v>320</v>
      </c>
      <c r="H11" s="238" t="s">
        <v>419</v>
      </c>
      <c r="I11" s="238" t="s">
        <v>420</v>
      </c>
      <c r="J11" s="239" t="s">
        <v>421</v>
      </c>
      <c r="K11" s="240" t="s">
        <v>422</v>
      </c>
      <c r="L11" s="238" t="s">
        <v>423</v>
      </c>
      <c r="M11" s="238" t="s">
        <v>2823</v>
      </c>
      <c r="N11" s="238" t="s">
        <v>2824</v>
      </c>
    </row>
    <row r="12" ht="28.5" customHeight="1">
      <c r="A12" s="237">
        <v>10.0</v>
      </c>
      <c r="B12" s="238" t="s">
        <v>705</v>
      </c>
      <c r="C12" s="238" t="s">
        <v>706</v>
      </c>
      <c r="D12" s="238" t="s">
        <v>53</v>
      </c>
      <c r="E12" s="238"/>
      <c r="F12" s="238" t="s">
        <v>1018</v>
      </c>
      <c r="G12" s="238" t="s">
        <v>599</v>
      </c>
      <c r="H12" s="238" t="s">
        <v>90</v>
      </c>
      <c r="I12" s="238" t="s">
        <v>244</v>
      </c>
      <c r="J12" s="241" t="s">
        <v>2825</v>
      </c>
      <c r="K12" s="240" t="s">
        <v>2826</v>
      </c>
      <c r="L12" s="238" t="s">
        <v>709</v>
      </c>
      <c r="M12" s="238" t="s">
        <v>2827</v>
      </c>
      <c r="N12" s="238"/>
    </row>
    <row r="13" ht="28.5" customHeight="1">
      <c r="A13" s="236">
        <v>11.0</v>
      </c>
      <c r="B13" s="238" t="s">
        <v>715</v>
      </c>
      <c r="C13" s="238" t="s">
        <v>716</v>
      </c>
      <c r="D13" s="238" t="s">
        <v>53</v>
      </c>
      <c r="E13" s="238"/>
      <c r="F13" s="238" t="s">
        <v>1018</v>
      </c>
      <c r="G13" s="238" t="s">
        <v>717</v>
      </c>
      <c r="H13" s="238" t="s">
        <v>718</v>
      </c>
      <c r="I13" s="238" t="s">
        <v>719</v>
      </c>
      <c r="J13" s="238" t="s">
        <v>720</v>
      </c>
      <c r="K13" s="244">
        <v>2.33208402413E11</v>
      </c>
      <c r="L13" s="238" t="s">
        <v>721</v>
      </c>
      <c r="M13" s="245" t="s">
        <v>2828</v>
      </c>
      <c r="N13" s="238" t="s">
        <v>723</v>
      </c>
    </row>
    <row r="14" ht="28.5" customHeight="1">
      <c r="A14" s="237">
        <v>12.0</v>
      </c>
      <c r="B14" s="238" t="s">
        <v>725</v>
      </c>
      <c r="C14" s="238" t="s">
        <v>726</v>
      </c>
      <c r="D14" s="238" t="s">
        <v>53</v>
      </c>
      <c r="E14" s="238"/>
      <c r="F14" s="238" t="s">
        <v>1027</v>
      </c>
      <c r="G14" s="238" t="s">
        <v>717</v>
      </c>
      <c r="H14" s="238" t="s">
        <v>727</v>
      </c>
      <c r="I14" s="238" t="s">
        <v>728</v>
      </c>
      <c r="J14" s="238" t="s">
        <v>729</v>
      </c>
      <c r="K14" s="244" t="s">
        <v>730</v>
      </c>
      <c r="L14" s="238" t="s">
        <v>731</v>
      </c>
      <c r="M14" s="238"/>
      <c r="N14" s="238"/>
    </row>
    <row r="15" ht="28.5" customHeight="1">
      <c r="A15" s="237">
        <v>13.0</v>
      </c>
      <c r="B15" s="246" t="s">
        <v>748</v>
      </c>
      <c r="C15" s="246" t="s">
        <v>856</v>
      </c>
      <c r="D15" s="238" t="s">
        <v>53</v>
      </c>
      <c r="E15" s="238"/>
      <c r="F15" s="238" t="s">
        <v>1027</v>
      </c>
      <c r="G15" s="238" t="s">
        <v>845</v>
      </c>
      <c r="H15" s="238" t="s">
        <v>857</v>
      </c>
      <c r="I15" s="238" t="s">
        <v>858</v>
      </c>
      <c r="J15" s="241" t="s">
        <v>859</v>
      </c>
      <c r="K15" s="240"/>
      <c r="L15" s="238" t="s">
        <v>860</v>
      </c>
      <c r="M15" s="238"/>
      <c r="N15" s="238" t="s">
        <v>861</v>
      </c>
    </row>
    <row r="16" ht="28.5" customHeight="1">
      <c r="A16" s="237">
        <v>14.0</v>
      </c>
      <c r="B16" s="238" t="s">
        <v>957</v>
      </c>
      <c r="C16" s="238" t="s">
        <v>158</v>
      </c>
      <c r="D16" s="238" t="s">
        <v>53</v>
      </c>
      <c r="E16" s="238"/>
      <c r="F16" s="238" t="s">
        <v>1027</v>
      </c>
      <c r="G16" s="238" t="s">
        <v>845</v>
      </c>
      <c r="H16" s="238" t="s">
        <v>958</v>
      </c>
      <c r="I16" s="238" t="s">
        <v>959</v>
      </c>
      <c r="J16" s="247" t="s">
        <v>2829</v>
      </c>
      <c r="K16" s="240"/>
      <c r="L16" s="238" t="s">
        <v>962</v>
      </c>
      <c r="M16" s="238" t="s">
        <v>2830</v>
      </c>
      <c r="N16" s="238"/>
    </row>
    <row r="17" ht="28.5" customHeight="1">
      <c r="A17" s="237">
        <v>15.0</v>
      </c>
      <c r="B17" s="238" t="s">
        <v>1069</v>
      </c>
      <c r="C17" s="238" t="s">
        <v>1070</v>
      </c>
      <c r="D17" s="238" t="s">
        <v>53</v>
      </c>
      <c r="E17" s="238"/>
      <c r="F17" s="238" t="s">
        <v>1027</v>
      </c>
      <c r="G17" s="238" t="s">
        <v>1019</v>
      </c>
      <c r="H17" s="238" t="s">
        <v>2831</v>
      </c>
      <c r="I17" s="238" t="s">
        <v>2832</v>
      </c>
      <c r="J17" s="241" t="s">
        <v>1074</v>
      </c>
      <c r="K17" s="238"/>
      <c r="L17" s="238" t="s">
        <v>1075</v>
      </c>
      <c r="M17" s="238"/>
      <c r="N17" s="238" t="s">
        <v>1076</v>
      </c>
    </row>
    <row r="18" ht="28.5" customHeight="1">
      <c r="A18" s="237">
        <v>16.0</v>
      </c>
      <c r="B18" s="239" t="s">
        <v>1772</v>
      </c>
      <c r="C18" s="239" t="s">
        <v>2833</v>
      </c>
      <c r="D18" s="238" t="s">
        <v>53</v>
      </c>
      <c r="E18" s="238"/>
      <c r="F18" s="239" t="s">
        <v>1018</v>
      </c>
      <c r="G18" s="239" t="s">
        <v>1737</v>
      </c>
      <c r="H18" s="239" t="s">
        <v>1775</v>
      </c>
      <c r="I18" s="239" t="s">
        <v>1776</v>
      </c>
      <c r="J18" s="245"/>
      <c r="K18" s="240"/>
      <c r="L18" s="238"/>
      <c r="M18" s="238"/>
      <c r="N18" s="238"/>
    </row>
    <row r="19" ht="28.5" customHeight="1">
      <c r="A19" s="236">
        <v>17.0</v>
      </c>
      <c r="B19" s="238" t="s">
        <v>157</v>
      </c>
      <c r="C19" s="238" t="s">
        <v>158</v>
      </c>
      <c r="D19" s="238" t="s">
        <v>159</v>
      </c>
      <c r="E19" s="238"/>
      <c r="F19" s="238" t="s">
        <v>1027</v>
      </c>
      <c r="G19" s="238" t="s">
        <v>160</v>
      </c>
      <c r="H19" s="238" t="s">
        <v>161</v>
      </c>
      <c r="I19" s="238" t="s">
        <v>162</v>
      </c>
      <c r="J19" s="241" t="s">
        <v>163</v>
      </c>
      <c r="K19" s="240" t="s">
        <v>164</v>
      </c>
      <c r="L19" s="238" t="s">
        <v>165</v>
      </c>
      <c r="M19" s="238" t="s">
        <v>2648</v>
      </c>
      <c r="N19" s="238" t="s">
        <v>2834</v>
      </c>
    </row>
    <row r="20" ht="28.5" customHeight="1">
      <c r="A20" s="236">
        <v>18.0</v>
      </c>
      <c r="B20" s="238" t="s">
        <v>191</v>
      </c>
      <c r="C20" s="238" t="s">
        <v>192</v>
      </c>
      <c r="D20" s="238" t="s">
        <v>159</v>
      </c>
      <c r="E20" s="238"/>
      <c r="F20" s="238" t="s">
        <v>1027</v>
      </c>
      <c r="G20" s="238" t="s">
        <v>160</v>
      </c>
      <c r="H20" s="238" t="s">
        <v>193</v>
      </c>
      <c r="I20" s="238" t="s">
        <v>194</v>
      </c>
      <c r="J20" s="241" t="s">
        <v>195</v>
      </c>
      <c r="K20" s="240" t="s">
        <v>196</v>
      </c>
      <c r="L20" s="238" t="s">
        <v>197</v>
      </c>
      <c r="M20" s="238" t="s">
        <v>2649</v>
      </c>
      <c r="N20" s="238" t="s">
        <v>199</v>
      </c>
    </row>
    <row r="21" ht="28.5" customHeight="1">
      <c r="A21" s="236">
        <v>19.0</v>
      </c>
      <c r="B21" s="238" t="s">
        <v>241</v>
      </c>
      <c r="C21" s="238" t="s">
        <v>242</v>
      </c>
      <c r="D21" s="238" t="s">
        <v>159</v>
      </c>
      <c r="E21" s="238"/>
      <c r="F21" s="238" t="s">
        <v>1027</v>
      </c>
      <c r="G21" s="238" t="s">
        <v>160</v>
      </c>
      <c r="H21" s="238" t="s">
        <v>243</v>
      </c>
      <c r="I21" s="238" t="s">
        <v>244</v>
      </c>
      <c r="J21" s="241" t="s">
        <v>245</v>
      </c>
      <c r="K21" s="240" t="s">
        <v>246</v>
      </c>
      <c r="L21" s="238" t="s">
        <v>247</v>
      </c>
      <c r="M21" s="238" t="s">
        <v>2654</v>
      </c>
      <c r="N21" s="238"/>
    </row>
    <row r="22" ht="28.5" customHeight="1">
      <c r="A22" s="236">
        <v>20.0</v>
      </c>
      <c r="B22" s="238" t="s">
        <v>271</v>
      </c>
      <c r="C22" s="238" t="s">
        <v>272</v>
      </c>
      <c r="D22" s="238" t="s">
        <v>159</v>
      </c>
      <c r="E22" s="238"/>
      <c r="F22" s="238" t="s">
        <v>1027</v>
      </c>
      <c r="G22" s="238" t="s">
        <v>160</v>
      </c>
      <c r="H22" s="238" t="s">
        <v>217</v>
      </c>
      <c r="I22" s="238" t="s">
        <v>273</v>
      </c>
      <c r="J22" s="241" t="s">
        <v>2835</v>
      </c>
      <c r="K22" s="240" t="s">
        <v>275</v>
      </c>
      <c r="L22" s="238" t="s">
        <v>276</v>
      </c>
      <c r="M22" s="238" t="s">
        <v>2657</v>
      </c>
      <c r="N22" s="238"/>
    </row>
    <row r="23" ht="28.5" customHeight="1">
      <c r="A23" s="237">
        <v>21.0</v>
      </c>
      <c r="B23" s="238" t="s">
        <v>282</v>
      </c>
      <c r="C23" s="238" t="s">
        <v>192</v>
      </c>
      <c r="D23" s="238" t="s">
        <v>159</v>
      </c>
      <c r="E23" s="238"/>
      <c r="F23" s="238" t="s">
        <v>1027</v>
      </c>
      <c r="G23" s="238" t="s">
        <v>160</v>
      </c>
      <c r="H23" s="238" t="s">
        <v>184</v>
      </c>
      <c r="I23" s="238" t="s">
        <v>283</v>
      </c>
      <c r="J23" s="241" t="s">
        <v>284</v>
      </c>
      <c r="K23" s="240" t="s">
        <v>285</v>
      </c>
      <c r="L23" s="238" t="s">
        <v>286</v>
      </c>
      <c r="M23" s="238" t="s">
        <v>2658</v>
      </c>
      <c r="N23" s="238"/>
    </row>
    <row r="24" ht="28.5" customHeight="1">
      <c r="A24" s="237">
        <v>22.0</v>
      </c>
      <c r="B24" s="238" t="s">
        <v>318</v>
      </c>
      <c r="C24" s="238" t="s">
        <v>319</v>
      </c>
      <c r="D24" s="238" t="s">
        <v>159</v>
      </c>
      <c r="E24" s="238"/>
      <c r="F24" s="238" t="s">
        <v>1027</v>
      </c>
      <c r="G24" s="238" t="s">
        <v>320</v>
      </c>
      <c r="H24" s="240" t="s">
        <v>321</v>
      </c>
      <c r="I24" s="238" t="s">
        <v>322</v>
      </c>
      <c r="J24" s="241" t="s">
        <v>323</v>
      </c>
      <c r="K24" s="248" t="s">
        <v>324</v>
      </c>
      <c r="L24" s="248" t="s">
        <v>325</v>
      </c>
      <c r="M24" s="238"/>
      <c r="N24" s="238"/>
    </row>
    <row r="25" ht="28.5" customHeight="1">
      <c r="A25" s="237">
        <v>23.0</v>
      </c>
      <c r="B25" s="238" t="s">
        <v>341</v>
      </c>
      <c r="C25" s="238" t="s">
        <v>342</v>
      </c>
      <c r="D25" s="238" t="s">
        <v>159</v>
      </c>
      <c r="E25" s="238"/>
      <c r="F25" s="238" t="s">
        <v>1027</v>
      </c>
      <c r="G25" s="238" t="s">
        <v>320</v>
      </c>
      <c r="H25" s="238" t="s">
        <v>343</v>
      </c>
      <c r="I25" s="238" t="s">
        <v>344</v>
      </c>
      <c r="J25" s="241" t="s">
        <v>345</v>
      </c>
      <c r="K25" s="240" t="s">
        <v>346</v>
      </c>
      <c r="L25" s="238" t="s">
        <v>347</v>
      </c>
      <c r="M25" s="238" t="s">
        <v>2657</v>
      </c>
      <c r="N25" s="238" t="s">
        <v>2836</v>
      </c>
    </row>
    <row r="26" ht="28.5" customHeight="1">
      <c r="A26" s="237">
        <v>24.0</v>
      </c>
      <c r="B26" s="238" t="s">
        <v>439</v>
      </c>
      <c r="C26" s="238" t="s">
        <v>440</v>
      </c>
      <c r="D26" s="238" t="s">
        <v>159</v>
      </c>
      <c r="E26" s="238"/>
      <c r="F26" s="238" t="s">
        <v>1027</v>
      </c>
      <c r="G26" s="238" t="s">
        <v>320</v>
      </c>
      <c r="H26" s="238" t="s">
        <v>441</v>
      </c>
      <c r="I26" s="238" t="s">
        <v>442</v>
      </c>
      <c r="J26" s="241" t="s">
        <v>443</v>
      </c>
      <c r="K26" s="240" t="s">
        <v>444</v>
      </c>
      <c r="L26" s="239" t="s">
        <v>2837</v>
      </c>
      <c r="M26" s="238" t="s">
        <v>2838</v>
      </c>
      <c r="N26" s="238" t="s">
        <v>457</v>
      </c>
    </row>
    <row r="27" ht="28.5" customHeight="1">
      <c r="A27" s="237">
        <v>25.0</v>
      </c>
      <c r="B27" s="238" t="s">
        <v>482</v>
      </c>
      <c r="C27" s="238" t="s">
        <v>483</v>
      </c>
      <c r="D27" s="238" t="s">
        <v>159</v>
      </c>
      <c r="E27" s="238"/>
      <c r="F27" s="238" t="s">
        <v>1027</v>
      </c>
      <c r="G27" s="238" t="s">
        <v>466</v>
      </c>
      <c r="H27" s="238" t="s">
        <v>484</v>
      </c>
      <c r="I27" s="238" t="s">
        <v>485</v>
      </c>
      <c r="J27" s="241" t="s">
        <v>487</v>
      </c>
      <c r="K27" s="240" t="s">
        <v>488</v>
      </c>
      <c r="L27" s="238" t="s">
        <v>489</v>
      </c>
      <c r="M27" s="238"/>
      <c r="N27" s="238"/>
    </row>
    <row r="28" ht="28.5" customHeight="1">
      <c r="A28" s="237">
        <v>26.0</v>
      </c>
      <c r="B28" s="238" t="s">
        <v>501</v>
      </c>
      <c r="C28" s="238" t="s">
        <v>502</v>
      </c>
      <c r="D28" s="240" t="s">
        <v>159</v>
      </c>
      <c r="E28" s="240"/>
      <c r="F28" s="240" t="s">
        <v>1027</v>
      </c>
      <c r="G28" s="238" t="s">
        <v>466</v>
      </c>
      <c r="H28" s="240" t="s">
        <v>503</v>
      </c>
      <c r="I28" s="238" t="s">
        <v>504</v>
      </c>
      <c r="J28" s="249" t="s">
        <v>505</v>
      </c>
      <c r="K28" s="240" t="s">
        <v>506</v>
      </c>
      <c r="L28" s="240" t="s">
        <v>507</v>
      </c>
      <c r="M28" s="240" t="s">
        <v>2654</v>
      </c>
      <c r="N28" s="238" t="s">
        <v>2839</v>
      </c>
    </row>
    <row r="29" ht="28.5" customHeight="1">
      <c r="A29" s="237">
        <v>27.0</v>
      </c>
      <c r="B29" s="238" t="s">
        <v>512</v>
      </c>
      <c r="C29" s="238" t="s">
        <v>513</v>
      </c>
      <c r="D29" s="238" t="s">
        <v>159</v>
      </c>
      <c r="E29" s="238"/>
      <c r="F29" s="238" t="s">
        <v>1027</v>
      </c>
      <c r="G29" s="238" t="s">
        <v>466</v>
      </c>
      <c r="H29" s="238" t="s">
        <v>514</v>
      </c>
      <c r="I29" s="238" t="s">
        <v>515</v>
      </c>
      <c r="J29" s="241" t="s">
        <v>517</v>
      </c>
      <c r="K29" s="240" t="s">
        <v>518</v>
      </c>
      <c r="L29" s="238" t="s">
        <v>519</v>
      </c>
      <c r="M29" s="238"/>
      <c r="N29" s="238" t="s">
        <v>2840</v>
      </c>
    </row>
    <row r="30" ht="28.5" customHeight="1">
      <c r="A30" s="237">
        <v>28.0</v>
      </c>
      <c r="B30" s="238" t="s">
        <v>597</v>
      </c>
      <c r="C30" s="238" t="s">
        <v>598</v>
      </c>
      <c r="D30" s="238" t="s">
        <v>159</v>
      </c>
      <c r="E30" s="238"/>
      <c r="F30" s="238" t="s">
        <v>1027</v>
      </c>
      <c r="G30" s="238" t="s">
        <v>599</v>
      </c>
      <c r="H30" s="238" t="s">
        <v>600</v>
      </c>
      <c r="I30" s="238" t="s">
        <v>601</v>
      </c>
      <c r="J30" s="241" t="s">
        <v>602</v>
      </c>
      <c r="K30" s="240" t="s">
        <v>603</v>
      </c>
      <c r="L30" s="238" t="s">
        <v>604</v>
      </c>
      <c r="M30" s="238"/>
      <c r="N30" s="238"/>
    </row>
    <row r="31" ht="28.5" customHeight="1">
      <c r="A31" s="237">
        <v>29.0</v>
      </c>
      <c r="B31" s="238" t="s">
        <v>2675</v>
      </c>
      <c r="C31" s="238" t="s">
        <v>609</v>
      </c>
      <c r="D31" s="238" t="s">
        <v>159</v>
      </c>
      <c r="E31" s="238"/>
      <c r="F31" s="238" t="s">
        <v>1018</v>
      </c>
      <c r="G31" s="238" t="s">
        <v>599</v>
      </c>
      <c r="H31" s="238" t="s">
        <v>610</v>
      </c>
      <c r="I31" s="238" t="s">
        <v>611</v>
      </c>
      <c r="J31" s="241" t="s">
        <v>612</v>
      </c>
      <c r="K31" s="240" t="s">
        <v>613</v>
      </c>
      <c r="L31" s="238" t="s">
        <v>614</v>
      </c>
      <c r="M31" s="238" t="s">
        <v>2841</v>
      </c>
      <c r="N31" s="238" t="s">
        <v>616</v>
      </c>
    </row>
    <row r="32" ht="28.5" customHeight="1">
      <c r="A32" s="237">
        <v>30.0</v>
      </c>
      <c r="B32" s="238" t="s">
        <v>621</v>
      </c>
      <c r="C32" s="238" t="s">
        <v>622</v>
      </c>
      <c r="D32" s="238" t="s">
        <v>159</v>
      </c>
      <c r="E32" s="238"/>
      <c r="F32" s="238" t="s">
        <v>1018</v>
      </c>
      <c r="G32" s="238" t="s">
        <v>599</v>
      </c>
      <c r="H32" s="238" t="s">
        <v>243</v>
      </c>
      <c r="I32" s="238" t="s">
        <v>623</v>
      </c>
      <c r="J32" s="241" t="s">
        <v>624</v>
      </c>
      <c r="K32" s="240" t="s">
        <v>625</v>
      </c>
      <c r="L32" s="239" t="s">
        <v>2842</v>
      </c>
      <c r="M32" s="238" t="s">
        <v>2843</v>
      </c>
      <c r="N32" s="238" t="s">
        <v>628</v>
      </c>
    </row>
    <row r="33" ht="28.5" customHeight="1">
      <c r="A33" s="237">
        <v>31.0</v>
      </c>
      <c r="B33" s="238" t="s">
        <v>2844</v>
      </c>
      <c r="C33" s="238" t="s">
        <v>762</v>
      </c>
      <c r="D33" s="238" t="s">
        <v>159</v>
      </c>
      <c r="E33" s="238"/>
      <c r="F33" s="238" t="s">
        <v>1018</v>
      </c>
      <c r="G33" s="238" t="s">
        <v>717</v>
      </c>
      <c r="H33" s="238" t="s">
        <v>763</v>
      </c>
      <c r="I33" s="238" t="s">
        <v>764</v>
      </c>
      <c r="J33" s="241" t="s">
        <v>765</v>
      </c>
      <c r="K33" s="244">
        <v>2.33200315879E11</v>
      </c>
      <c r="L33" s="238" t="s">
        <v>766</v>
      </c>
      <c r="M33" s="238" t="s">
        <v>767</v>
      </c>
      <c r="N33" s="238" t="s">
        <v>2845</v>
      </c>
    </row>
    <row r="34" ht="28.5" customHeight="1">
      <c r="A34" s="237">
        <v>32.0</v>
      </c>
      <c r="B34" s="238" t="s">
        <v>770</v>
      </c>
      <c r="C34" s="238" t="s">
        <v>598</v>
      </c>
      <c r="D34" s="238" t="s">
        <v>159</v>
      </c>
      <c r="E34" s="238"/>
      <c r="F34" s="238" t="s">
        <v>1027</v>
      </c>
      <c r="G34" s="238" t="s">
        <v>717</v>
      </c>
      <c r="H34" s="238" t="s">
        <v>771</v>
      </c>
      <c r="I34" s="238" t="s">
        <v>772</v>
      </c>
      <c r="J34" s="238" t="s">
        <v>774</v>
      </c>
      <c r="K34" s="244">
        <v>2.33207457532E11</v>
      </c>
      <c r="L34" s="238" t="s">
        <v>775</v>
      </c>
      <c r="M34" s="238" t="s">
        <v>2846</v>
      </c>
      <c r="N34" s="238"/>
    </row>
    <row r="35" ht="28.5" customHeight="1">
      <c r="A35" s="237">
        <v>33.0</v>
      </c>
      <c r="B35" s="240" t="s">
        <v>843</v>
      </c>
      <c r="C35" s="240" t="s">
        <v>844</v>
      </c>
      <c r="D35" s="238" t="s">
        <v>159</v>
      </c>
      <c r="E35" s="238"/>
      <c r="F35" s="238" t="s">
        <v>1018</v>
      </c>
      <c r="G35" s="238" t="s">
        <v>845</v>
      </c>
      <c r="H35" s="238" t="s">
        <v>846</v>
      </c>
      <c r="I35" s="238" t="s">
        <v>847</v>
      </c>
      <c r="J35" s="241" t="s">
        <v>848</v>
      </c>
      <c r="K35" s="240"/>
      <c r="L35" s="238" t="s">
        <v>2847</v>
      </c>
      <c r="M35" s="238" t="s">
        <v>2848</v>
      </c>
      <c r="N35" s="238" t="s">
        <v>851</v>
      </c>
    </row>
    <row r="36" ht="28.5" customHeight="1">
      <c r="A36" s="237">
        <v>34.0</v>
      </c>
      <c r="B36" s="246" t="s">
        <v>890</v>
      </c>
      <c r="C36" s="246" t="s">
        <v>891</v>
      </c>
      <c r="D36" s="238" t="s">
        <v>159</v>
      </c>
      <c r="E36" s="238"/>
      <c r="F36" s="238" t="s">
        <v>1018</v>
      </c>
      <c r="G36" s="238" t="s">
        <v>845</v>
      </c>
      <c r="H36" s="238" t="s">
        <v>892</v>
      </c>
      <c r="I36" s="238" t="s">
        <v>893</v>
      </c>
      <c r="J36" s="241" t="s">
        <v>894</v>
      </c>
      <c r="K36" s="240"/>
      <c r="L36" s="238" t="s">
        <v>895</v>
      </c>
      <c r="M36" s="238"/>
      <c r="N36" s="238" t="s">
        <v>896</v>
      </c>
    </row>
    <row r="37" ht="28.5" customHeight="1">
      <c r="A37" s="237">
        <v>35.0</v>
      </c>
      <c r="B37" s="238" t="s">
        <v>1136</v>
      </c>
      <c r="C37" s="238" t="s">
        <v>1137</v>
      </c>
      <c r="D37" s="238" t="s">
        <v>159</v>
      </c>
      <c r="E37" s="238"/>
      <c r="F37" s="238" t="s">
        <v>1027</v>
      </c>
      <c r="G37" s="238" t="s">
        <v>1019</v>
      </c>
      <c r="H37" s="238" t="s">
        <v>1138</v>
      </c>
      <c r="I37" s="238" t="s">
        <v>1139</v>
      </c>
      <c r="J37" s="241" t="s">
        <v>2849</v>
      </c>
      <c r="K37" s="238"/>
      <c r="L37" s="238" t="s">
        <v>1142</v>
      </c>
      <c r="M37" s="238"/>
      <c r="N37" s="238"/>
    </row>
    <row r="38" ht="28.5" customHeight="1">
      <c r="A38" s="237">
        <v>36.0</v>
      </c>
      <c r="B38" s="240" t="s">
        <v>1256</v>
      </c>
      <c r="C38" s="240" t="s">
        <v>1257</v>
      </c>
      <c r="D38" s="240" t="s">
        <v>159</v>
      </c>
      <c r="E38" s="240"/>
      <c r="F38" s="240" t="s">
        <v>1018</v>
      </c>
      <c r="G38" s="238" t="s">
        <v>1197</v>
      </c>
      <c r="H38" s="240" t="s">
        <v>1258</v>
      </c>
      <c r="I38" s="240" t="s">
        <v>1259</v>
      </c>
      <c r="J38" s="249" t="s">
        <v>1260</v>
      </c>
      <c r="K38" s="250" t="s">
        <v>1261</v>
      </c>
      <c r="L38" s="240" t="s">
        <v>1262</v>
      </c>
      <c r="M38" s="238"/>
      <c r="N38" s="238"/>
    </row>
    <row r="39" ht="28.5" customHeight="1">
      <c r="A39" s="237">
        <v>37.0</v>
      </c>
      <c r="B39" s="251" t="s">
        <v>1358</v>
      </c>
      <c r="C39" s="251" t="s">
        <v>2850</v>
      </c>
      <c r="D39" s="252" t="s">
        <v>159</v>
      </c>
      <c r="E39" s="252"/>
      <c r="F39" s="252" t="s">
        <v>1018</v>
      </c>
      <c r="G39" s="238" t="s">
        <v>1318</v>
      </c>
      <c r="H39" s="238" t="s">
        <v>1360</v>
      </c>
      <c r="I39" s="238" t="s">
        <v>1361</v>
      </c>
      <c r="J39" s="241" t="s">
        <v>2851</v>
      </c>
      <c r="K39" s="252"/>
      <c r="L39" s="238" t="s">
        <v>1365</v>
      </c>
      <c r="M39" s="238"/>
      <c r="N39" s="238" t="s">
        <v>1399</v>
      </c>
    </row>
    <row r="40" ht="28.5" customHeight="1">
      <c r="A40" s="237">
        <v>38.0</v>
      </c>
      <c r="B40" s="238" t="s">
        <v>1510</v>
      </c>
      <c r="C40" s="238" t="s">
        <v>342</v>
      </c>
      <c r="D40" s="238" t="s">
        <v>159</v>
      </c>
      <c r="E40" s="238"/>
      <c r="F40" s="239" t="s">
        <v>1027</v>
      </c>
      <c r="G40" s="238" t="s">
        <v>1489</v>
      </c>
      <c r="H40" s="238" t="s">
        <v>1511</v>
      </c>
      <c r="I40" s="238" t="s">
        <v>1220</v>
      </c>
      <c r="J40" s="241" t="s">
        <v>2852</v>
      </c>
      <c r="K40" s="240" t="s">
        <v>1513</v>
      </c>
      <c r="L40" s="238" t="s">
        <v>1514</v>
      </c>
      <c r="M40" s="253"/>
      <c r="N40" s="238"/>
    </row>
    <row r="41" ht="28.5" customHeight="1">
      <c r="A41" s="237">
        <v>39.0</v>
      </c>
      <c r="B41" s="254" t="s">
        <v>1631</v>
      </c>
      <c r="C41" s="254" t="s">
        <v>1632</v>
      </c>
      <c r="D41" s="254" t="s">
        <v>159</v>
      </c>
      <c r="E41" s="254"/>
      <c r="F41" s="254" t="s">
        <v>1018</v>
      </c>
      <c r="G41" s="239" t="s">
        <v>1633</v>
      </c>
      <c r="H41" s="239" t="s">
        <v>1634</v>
      </c>
      <c r="I41" s="239" t="s">
        <v>1635</v>
      </c>
      <c r="J41" s="255" t="s">
        <v>1636</v>
      </c>
      <c r="K41" s="240"/>
      <c r="L41" s="243" t="s">
        <v>1637</v>
      </c>
      <c r="M41" s="238"/>
      <c r="N41" s="238"/>
    </row>
    <row r="42" ht="28.5" customHeight="1">
      <c r="A42" s="237">
        <v>40.0</v>
      </c>
      <c r="B42" s="254" t="s">
        <v>1655</v>
      </c>
      <c r="C42" s="254" t="s">
        <v>1656</v>
      </c>
      <c r="D42" s="254" t="s">
        <v>159</v>
      </c>
      <c r="E42" s="254"/>
      <c r="F42" s="254" t="s">
        <v>1027</v>
      </c>
      <c r="G42" s="239" t="s">
        <v>1633</v>
      </c>
      <c r="H42" s="239" t="s">
        <v>1657</v>
      </c>
      <c r="I42" s="239" t="s">
        <v>1658</v>
      </c>
      <c r="J42" s="255" t="s">
        <v>2853</v>
      </c>
      <c r="K42" s="240"/>
      <c r="L42" s="243" t="s">
        <v>1661</v>
      </c>
      <c r="M42" s="238"/>
      <c r="N42" s="238"/>
    </row>
    <row r="43" ht="28.5" customHeight="1">
      <c r="A43" s="237">
        <v>41.0</v>
      </c>
      <c r="B43" s="238" t="s">
        <v>583</v>
      </c>
      <c r="C43" s="238" t="s">
        <v>192</v>
      </c>
      <c r="D43" s="238" t="s">
        <v>584</v>
      </c>
      <c r="E43" s="238"/>
      <c r="F43" s="238" t="s">
        <v>1027</v>
      </c>
      <c r="G43" s="238" t="s">
        <v>466</v>
      </c>
      <c r="H43" s="238" t="s">
        <v>585</v>
      </c>
      <c r="I43" s="238" t="s">
        <v>586</v>
      </c>
      <c r="J43" s="241" t="s">
        <v>587</v>
      </c>
      <c r="K43" s="240" t="s">
        <v>588</v>
      </c>
      <c r="L43" s="238" t="s">
        <v>589</v>
      </c>
      <c r="M43" s="238" t="s">
        <v>2854</v>
      </c>
      <c r="N43" s="238" t="s">
        <v>2855</v>
      </c>
    </row>
    <row r="44" ht="28.5" customHeight="1">
      <c r="A44" s="237">
        <v>42.0</v>
      </c>
      <c r="B44" s="238" t="s">
        <v>748</v>
      </c>
      <c r="C44" s="238" t="s">
        <v>331</v>
      </c>
      <c r="D44" s="238" t="s">
        <v>584</v>
      </c>
      <c r="E44" s="238"/>
      <c r="F44" s="238" t="s">
        <v>1018</v>
      </c>
      <c r="G44" s="238" t="s">
        <v>717</v>
      </c>
      <c r="H44" s="238" t="s">
        <v>749</v>
      </c>
      <c r="I44" s="238" t="s">
        <v>750</v>
      </c>
      <c r="J44" s="238" t="s">
        <v>751</v>
      </c>
      <c r="K44" s="244" t="s">
        <v>752</v>
      </c>
      <c r="L44" s="238" t="s">
        <v>753</v>
      </c>
      <c r="M44" s="238" t="s">
        <v>2856</v>
      </c>
      <c r="N44" s="238" t="s">
        <v>2857</v>
      </c>
    </row>
    <row r="45" ht="28.5" customHeight="1">
      <c r="A45" s="237">
        <v>43.0</v>
      </c>
      <c r="B45" s="251" t="s">
        <v>1316</v>
      </c>
      <c r="C45" s="251" t="s">
        <v>1317</v>
      </c>
      <c r="D45" s="252" t="s">
        <v>584</v>
      </c>
      <c r="E45" s="252"/>
      <c r="F45" s="252" t="s">
        <v>1027</v>
      </c>
      <c r="G45" s="238" t="s">
        <v>1318</v>
      </c>
      <c r="H45" s="252" t="s">
        <v>1319</v>
      </c>
      <c r="I45" s="238" t="s">
        <v>1320</v>
      </c>
      <c r="J45" s="241" t="s">
        <v>2858</v>
      </c>
      <c r="K45" s="252"/>
      <c r="L45" s="238" t="s">
        <v>1323</v>
      </c>
      <c r="M45" s="238"/>
      <c r="N45" s="238" t="s">
        <v>2859</v>
      </c>
    </row>
    <row r="46" ht="28.5" customHeight="1">
      <c r="A46" s="256">
        <v>44.0</v>
      </c>
      <c r="B46" s="257" t="s">
        <v>1784</v>
      </c>
      <c r="C46" s="257" t="s">
        <v>1785</v>
      </c>
      <c r="D46" s="239" t="s">
        <v>584</v>
      </c>
      <c r="E46" s="238"/>
      <c r="F46" s="239" t="s">
        <v>1027</v>
      </c>
      <c r="G46" s="239" t="s">
        <v>1737</v>
      </c>
      <c r="H46" s="239" t="s">
        <v>1787</v>
      </c>
      <c r="I46" s="239" t="s">
        <v>728</v>
      </c>
      <c r="J46" s="238"/>
      <c r="K46" s="244"/>
      <c r="L46" s="238"/>
      <c r="M46" s="238"/>
      <c r="N46" s="238"/>
    </row>
    <row r="47" ht="28.5" customHeight="1">
      <c r="A47" s="256">
        <v>45.0</v>
      </c>
      <c r="B47" s="238" t="s">
        <v>735</v>
      </c>
      <c r="C47" s="238" t="s">
        <v>736</v>
      </c>
      <c r="D47" s="238" t="s">
        <v>737</v>
      </c>
      <c r="E47" s="238"/>
      <c r="F47" s="238" t="s">
        <v>1027</v>
      </c>
      <c r="G47" s="238" t="s">
        <v>717</v>
      </c>
      <c r="H47" s="238" t="s">
        <v>738</v>
      </c>
      <c r="I47" s="238" t="s">
        <v>739</v>
      </c>
      <c r="J47" s="238" t="s">
        <v>740</v>
      </c>
      <c r="K47" s="244">
        <v>2.7798021532E10</v>
      </c>
      <c r="L47" s="238" t="s">
        <v>741</v>
      </c>
      <c r="M47" s="238" t="s">
        <v>2860</v>
      </c>
      <c r="N47" s="238" t="s">
        <v>2861</v>
      </c>
    </row>
    <row r="48" ht="28.5" customHeight="1">
      <c r="A48" s="256">
        <v>46.0</v>
      </c>
      <c r="B48" s="258" t="s">
        <v>867</v>
      </c>
      <c r="C48" s="258" t="s">
        <v>868</v>
      </c>
      <c r="D48" s="238" t="s">
        <v>737</v>
      </c>
      <c r="E48" s="238"/>
      <c r="F48" s="238" t="s">
        <v>1027</v>
      </c>
      <c r="G48" s="238" t="s">
        <v>845</v>
      </c>
      <c r="H48" s="238" t="s">
        <v>869</v>
      </c>
      <c r="I48" s="238" t="s">
        <v>870</v>
      </c>
      <c r="J48" s="247" t="s">
        <v>871</v>
      </c>
      <c r="K48" s="240"/>
      <c r="L48" s="238" t="s">
        <v>872</v>
      </c>
      <c r="M48" s="238" t="s">
        <v>2862</v>
      </c>
      <c r="N48" s="238" t="s">
        <v>874</v>
      </c>
    </row>
    <row r="49" ht="28.5" customHeight="1">
      <c r="A49" s="256">
        <v>47.0</v>
      </c>
      <c r="B49" s="238" t="s">
        <v>981</v>
      </c>
      <c r="C49" s="238" t="s">
        <v>982</v>
      </c>
      <c r="D49" s="238" t="s">
        <v>983</v>
      </c>
      <c r="E49" s="238"/>
      <c r="F49" s="238" t="s">
        <v>1027</v>
      </c>
      <c r="G49" s="238" t="s">
        <v>845</v>
      </c>
      <c r="H49" s="238" t="s">
        <v>984</v>
      </c>
      <c r="I49" s="238" t="s">
        <v>985</v>
      </c>
      <c r="J49" s="247" t="s">
        <v>986</v>
      </c>
      <c r="K49" s="240"/>
      <c r="L49" s="238" t="s">
        <v>988</v>
      </c>
      <c r="M49" s="238" t="s">
        <v>395</v>
      </c>
      <c r="N49" s="238" t="s">
        <v>2863</v>
      </c>
    </row>
    <row r="50" ht="28.5" customHeight="1">
      <c r="J50" s="175"/>
    </row>
    <row r="51" ht="28.5" customHeight="1">
      <c r="J51" s="175"/>
    </row>
    <row r="52" ht="28.5" customHeight="1">
      <c r="A52" s="259"/>
      <c r="J52" s="175"/>
    </row>
    <row r="53" ht="28.5" customHeight="1">
      <c r="A53" s="259"/>
      <c r="J53" s="175"/>
    </row>
    <row r="54" ht="28.5" customHeight="1">
      <c r="A54" s="259"/>
      <c r="J54" s="175"/>
    </row>
    <row r="55" ht="28.5" customHeight="1">
      <c r="A55" s="259"/>
      <c r="J55" s="175"/>
    </row>
    <row r="56" ht="28.5" customHeight="1">
      <c r="A56" s="259"/>
      <c r="J56" s="175"/>
    </row>
    <row r="57" ht="28.5" customHeight="1">
      <c r="A57" s="259"/>
      <c r="J57" s="175"/>
    </row>
    <row r="58" ht="28.5" customHeight="1">
      <c r="A58" s="259"/>
      <c r="J58" s="175"/>
    </row>
    <row r="59" ht="28.5" customHeight="1">
      <c r="A59" s="259"/>
      <c r="J59" s="175"/>
    </row>
    <row r="60" ht="28.5" customHeight="1">
      <c r="A60" s="259"/>
      <c r="J60" s="175"/>
    </row>
    <row r="61" ht="28.5" customHeight="1">
      <c r="A61" s="259"/>
      <c r="J61" s="175"/>
    </row>
    <row r="62" ht="28.5" customHeight="1">
      <c r="A62" s="259"/>
      <c r="J62" s="175"/>
    </row>
    <row r="63" ht="28.5" customHeight="1">
      <c r="A63" s="259"/>
      <c r="J63" s="175"/>
    </row>
    <row r="64" ht="28.5" customHeight="1">
      <c r="A64" s="259"/>
      <c r="J64" s="175"/>
    </row>
    <row r="65" ht="28.5" customHeight="1">
      <c r="A65" s="259"/>
      <c r="J65" s="175"/>
    </row>
    <row r="66" ht="28.5" customHeight="1">
      <c r="A66" s="259"/>
      <c r="J66" s="175"/>
    </row>
    <row r="67" ht="28.5" customHeight="1">
      <c r="A67" s="259"/>
      <c r="J67" s="175"/>
    </row>
    <row r="68" ht="28.5" customHeight="1">
      <c r="A68" s="259"/>
      <c r="J68" s="175"/>
    </row>
    <row r="69" ht="28.5" customHeight="1">
      <c r="A69" s="259"/>
      <c r="J69" s="175"/>
    </row>
    <row r="70" ht="28.5" customHeight="1">
      <c r="A70" s="259"/>
      <c r="J70" s="175"/>
    </row>
    <row r="71" ht="28.5" customHeight="1">
      <c r="A71" s="259"/>
      <c r="J71" s="175"/>
    </row>
    <row r="72" ht="28.5" customHeight="1">
      <c r="A72" s="259"/>
      <c r="J72" s="175"/>
    </row>
    <row r="73" ht="28.5" customHeight="1">
      <c r="A73" s="259"/>
      <c r="J73" s="175"/>
    </row>
    <row r="74" ht="28.5" customHeight="1">
      <c r="A74" s="259"/>
      <c r="J74" s="175"/>
    </row>
    <row r="75" ht="28.5" customHeight="1">
      <c r="A75" s="259"/>
      <c r="J75" s="175"/>
    </row>
    <row r="76" ht="28.5" customHeight="1">
      <c r="A76" s="259"/>
      <c r="J76" s="175"/>
    </row>
    <row r="77" ht="28.5" customHeight="1">
      <c r="A77" s="259"/>
      <c r="J77" s="175"/>
    </row>
    <row r="78" ht="28.5" customHeight="1">
      <c r="A78" s="259"/>
      <c r="J78" s="175"/>
    </row>
    <row r="79" ht="28.5" customHeight="1">
      <c r="A79" s="259"/>
      <c r="J79" s="175"/>
    </row>
    <row r="80" ht="28.5" customHeight="1">
      <c r="A80" s="259"/>
      <c r="J80" s="175"/>
    </row>
    <row r="81" ht="28.5" customHeight="1">
      <c r="A81" s="259"/>
      <c r="J81" s="175"/>
    </row>
    <row r="82" ht="28.5" customHeight="1">
      <c r="A82" s="259"/>
      <c r="J82" s="175"/>
    </row>
    <row r="83" ht="28.5" customHeight="1">
      <c r="A83" s="259"/>
      <c r="J83" s="175"/>
    </row>
    <row r="84" ht="28.5" customHeight="1">
      <c r="A84" s="259"/>
      <c r="J84" s="175"/>
    </row>
    <row r="85" ht="28.5" customHeight="1">
      <c r="A85" s="259"/>
      <c r="J85" s="175"/>
    </row>
    <row r="86" ht="28.5" customHeight="1">
      <c r="A86" s="259"/>
      <c r="J86" s="175"/>
    </row>
    <row r="87" ht="28.5" customHeight="1">
      <c r="A87" s="259"/>
      <c r="J87" s="175"/>
    </row>
    <row r="88" ht="28.5" customHeight="1">
      <c r="A88" s="259"/>
      <c r="J88" s="175"/>
    </row>
    <row r="89" ht="28.5" customHeight="1">
      <c r="A89" s="259"/>
      <c r="J89" s="175"/>
    </row>
    <row r="90" ht="28.5" customHeight="1">
      <c r="A90" s="259"/>
      <c r="J90" s="175"/>
    </row>
    <row r="91" ht="28.5" customHeight="1">
      <c r="A91" s="259"/>
      <c r="J91" s="175"/>
    </row>
    <row r="92" ht="28.5" customHeight="1">
      <c r="A92" s="259"/>
      <c r="J92" s="175"/>
    </row>
    <row r="93" ht="28.5" customHeight="1">
      <c r="A93" s="259"/>
      <c r="J93" s="175"/>
    </row>
    <row r="94" ht="28.5" customHeight="1">
      <c r="A94" s="259"/>
      <c r="J94" s="175"/>
    </row>
    <row r="95" ht="28.5" customHeight="1">
      <c r="A95" s="259"/>
      <c r="J95" s="175"/>
    </row>
    <row r="96" ht="28.5" customHeight="1">
      <c r="A96" s="259"/>
      <c r="J96" s="175"/>
    </row>
    <row r="97" ht="28.5" customHeight="1">
      <c r="A97" s="259"/>
      <c r="J97" s="175"/>
    </row>
    <row r="98" ht="28.5" customHeight="1">
      <c r="A98" s="259"/>
      <c r="J98" s="175"/>
    </row>
    <row r="99" ht="28.5" customHeight="1">
      <c r="A99" s="259"/>
      <c r="J99" s="175"/>
    </row>
    <row r="100" ht="28.5" customHeight="1">
      <c r="A100" s="259"/>
      <c r="J100" s="175"/>
    </row>
    <row r="101" ht="28.5" customHeight="1">
      <c r="A101" s="259"/>
      <c r="J101" s="175"/>
    </row>
    <row r="102" ht="28.5" customHeight="1">
      <c r="A102" s="259"/>
      <c r="J102" s="175"/>
    </row>
    <row r="103" ht="28.5" customHeight="1">
      <c r="A103" s="259"/>
      <c r="J103" s="175"/>
    </row>
    <row r="104" ht="28.5" customHeight="1">
      <c r="A104" s="259"/>
      <c r="J104" s="175"/>
    </row>
    <row r="105" ht="28.5" customHeight="1">
      <c r="A105" s="259"/>
      <c r="J105" s="175"/>
    </row>
    <row r="106" ht="28.5" customHeight="1">
      <c r="A106" s="259"/>
      <c r="J106" s="175"/>
    </row>
    <row r="107" ht="28.5" customHeight="1">
      <c r="A107" s="259"/>
      <c r="J107" s="175"/>
    </row>
    <row r="108" ht="28.5" customHeight="1">
      <c r="A108" s="259"/>
      <c r="J108" s="175"/>
    </row>
    <row r="109" ht="28.5" customHeight="1">
      <c r="A109" s="259"/>
      <c r="J109" s="175"/>
    </row>
    <row r="110" ht="28.5" customHeight="1">
      <c r="A110" s="259"/>
      <c r="J110" s="175"/>
    </row>
    <row r="111" ht="28.5" customHeight="1">
      <c r="A111" s="259"/>
      <c r="J111" s="175"/>
    </row>
    <row r="112" ht="28.5" customHeight="1">
      <c r="A112" s="259"/>
      <c r="J112" s="175"/>
    </row>
    <row r="113" ht="28.5" customHeight="1">
      <c r="A113" s="259"/>
      <c r="J113" s="175"/>
    </row>
    <row r="114" ht="28.5" customHeight="1">
      <c r="A114" s="259"/>
      <c r="J114" s="175"/>
    </row>
    <row r="115" ht="28.5" customHeight="1">
      <c r="A115" s="259"/>
      <c r="J115" s="175"/>
    </row>
    <row r="116" ht="28.5" customHeight="1">
      <c r="A116" s="259"/>
      <c r="J116" s="175"/>
    </row>
    <row r="117" ht="28.5" customHeight="1">
      <c r="A117" s="259"/>
      <c r="J117" s="175"/>
    </row>
    <row r="118" ht="28.5" customHeight="1">
      <c r="A118" s="259"/>
      <c r="J118" s="175"/>
    </row>
    <row r="119" ht="28.5" customHeight="1">
      <c r="A119" s="259"/>
      <c r="J119" s="175"/>
    </row>
    <row r="120" ht="28.5" customHeight="1">
      <c r="A120" s="259"/>
      <c r="J120" s="175"/>
    </row>
    <row r="121" ht="28.5" customHeight="1">
      <c r="A121" s="259"/>
      <c r="J121" s="175"/>
    </row>
    <row r="122" ht="28.5" customHeight="1">
      <c r="A122" s="259"/>
      <c r="J122" s="175"/>
    </row>
    <row r="123" ht="28.5" customHeight="1">
      <c r="A123" s="259"/>
      <c r="J123" s="175"/>
    </row>
    <row r="124" ht="28.5" customHeight="1">
      <c r="A124" s="259"/>
      <c r="J124" s="175"/>
    </row>
    <row r="125" ht="28.5" customHeight="1">
      <c r="A125" s="259"/>
      <c r="J125" s="175"/>
    </row>
    <row r="126" ht="28.5" customHeight="1">
      <c r="A126" s="259"/>
      <c r="J126" s="175"/>
    </row>
    <row r="127" ht="28.5" customHeight="1">
      <c r="A127" s="259"/>
      <c r="J127" s="175"/>
    </row>
    <row r="128" ht="28.5" customHeight="1">
      <c r="A128" s="259"/>
      <c r="J128" s="175"/>
    </row>
    <row r="129" ht="28.5" customHeight="1">
      <c r="A129" s="259"/>
      <c r="J129" s="175"/>
    </row>
    <row r="130" ht="28.5" customHeight="1">
      <c r="A130" s="259"/>
      <c r="J130" s="175"/>
    </row>
    <row r="131" ht="28.5" customHeight="1">
      <c r="A131" s="259"/>
      <c r="J131" s="175"/>
    </row>
    <row r="132" ht="28.5" customHeight="1">
      <c r="A132" s="259"/>
      <c r="J132" s="175"/>
    </row>
    <row r="133" ht="28.5" customHeight="1">
      <c r="A133" s="259"/>
      <c r="J133" s="175"/>
    </row>
    <row r="134" ht="28.5" customHeight="1">
      <c r="A134" s="259"/>
      <c r="J134" s="175"/>
    </row>
    <row r="135" ht="28.5" customHeight="1">
      <c r="A135" s="259"/>
      <c r="J135" s="175"/>
    </row>
    <row r="136" ht="28.5" customHeight="1">
      <c r="A136" s="259"/>
      <c r="J136" s="175"/>
    </row>
    <row r="137" ht="28.5" customHeight="1">
      <c r="A137" s="259"/>
      <c r="J137" s="175"/>
    </row>
    <row r="138" ht="28.5" customHeight="1">
      <c r="A138" s="259"/>
      <c r="J138" s="175"/>
    </row>
    <row r="139" ht="28.5" customHeight="1">
      <c r="A139" s="259"/>
      <c r="J139" s="175"/>
    </row>
    <row r="140" ht="28.5" customHeight="1">
      <c r="A140" s="259"/>
      <c r="J140" s="175"/>
    </row>
    <row r="141" ht="28.5" customHeight="1">
      <c r="A141" s="259"/>
      <c r="J141" s="175"/>
    </row>
    <row r="142" ht="28.5" customHeight="1">
      <c r="A142" s="259"/>
      <c r="J142" s="175"/>
    </row>
    <row r="143" ht="28.5" customHeight="1">
      <c r="A143" s="259"/>
      <c r="J143" s="175"/>
    </row>
    <row r="144" ht="28.5" customHeight="1">
      <c r="A144" s="259"/>
      <c r="J144" s="175"/>
    </row>
    <row r="145" ht="28.5" customHeight="1">
      <c r="A145" s="259"/>
      <c r="J145" s="175"/>
    </row>
    <row r="146" ht="28.5" customHeight="1">
      <c r="A146" s="259"/>
      <c r="J146" s="175"/>
    </row>
    <row r="147" ht="28.5" customHeight="1">
      <c r="A147" s="259"/>
      <c r="J147" s="175"/>
    </row>
    <row r="148" ht="28.5" customHeight="1">
      <c r="A148" s="259"/>
      <c r="J148" s="175"/>
    </row>
    <row r="149" ht="28.5" customHeight="1">
      <c r="A149" s="259"/>
      <c r="J149" s="175"/>
    </row>
    <row r="150" ht="28.5" customHeight="1">
      <c r="A150" s="259"/>
      <c r="J150" s="175"/>
    </row>
    <row r="151" ht="28.5" customHeight="1">
      <c r="A151" s="259"/>
      <c r="J151" s="175"/>
    </row>
    <row r="152" ht="28.5" customHeight="1">
      <c r="A152" s="259"/>
      <c r="J152" s="175"/>
    </row>
    <row r="153" ht="28.5" customHeight="1">
      <c r="A153" s="259"/>
      <c r="J153" s="175"/>
    </row>
    <row r="154" ht="28.5" customHeight="1">
      <c r="A154" s="259"/>
      <c r="J154" s="175"/>
    </row>
    <row r="155" ht="28.5" customHeight="1">
      <c r="A155" s="259"/>
      <c r="J155" s="175"/>
    </row>
    <row r="156" ht="28.5" customHeight="1">
      <c r="A156" s="259"/>
      <c r="J156" s="175"/>
    </row>
    <row r="157" ht="28.5" customHeight="1">
      <c r="A157" s="259"/>
      <c r="J157" s="175"/>
    </row>
    <row r="158" ht="28.5" customHeight="1">
      <c r="A158" s="259"/>
      <c r="J158" s="175"/>
    </row>
    <row r="159" ht="28.5" customHeight="1">
      <c r="A159" s="259"/>
      <c r="J159" s="175"/>
    </row>
    <row r="160" ht="28.5" customHeight="1">
      <c r="A160" s="259"/>
      <c r="J160" s="175"/>
    </row>
    <row r="161" ht="28.5" customHeight="1">
      <c r="A161" s="259"/>
      <c r="J161" s="175"/>
    </row>
    <row r="162" ht="28.5" customHeight="1">
      <c r="A162" s="259"/>
      <c r="J162" s="175"/>
    </row>
    <row r="163" ht="28.5" customHeight="1">
      <c r="A163" s="259"/>
      <c r="J163" s="175"/>
    </row>
    <row r="164" ht="28.5" customHeight="1">
      <c r="A164" s="259"/>
      <c r="J164" s="175"/>
    </row>
    <row r="165" ht="28.5" customHeight="1">
      <c r="A165" s="259"/>
      <c r="J165" s="175"/>
    </row>
    <row r="166" ht="28.5" customHeight="1">
      <c r="A166" s="259"/>
      <c r="J166" s="175"/>
    </row>
    <row r="167" ht="28.5" customHeight="1">
      <c r="A167" s="259"/>
      <c r="J167" s="175"/>
    </row>
    <row r="168" ht="28.5" customHeight="1">
      <c r="A168" s="259"/>
      <c r="J168" s="175"/>
    </row>
    <row r="169" ht="28.5" customHeight="1">
      <c r="A169" s="259"/>
      <c r="J169" s="175"/>
    </row>
    <row r="170" ht="28.5" customHeight="1">
      <c r="A170" s="259"/>
      <c r="J170" s="175"/>
    </row>
    <row r="171" ht="28.5" customHeight="1">
      <c r="A171" s="259"/>
      <c r="J171" s="175"/>
    </row>
    <row r="172" ht="28.5" customHeight="1">
      <c r="A172" s="259"/>
      <c r="J172" s="175"/>
    </row>
    <row r="173" ht="28.5" customHeight="1">
      <c r="A173" s="259"/>
      <c r="J173" s="175"/>
    </row>
    <row r="174" ht="28.5" customHeight="1">
      <c r="A174" s="259"/>
      <c r="J174" s="175"/>
    </row>
    <row r="175" ht="28.5" customHeight="1">
      <c r="A175" s="259"/>
      <c r="J175" s="175"/>
    </row>
    <row r="176" ht="28.5" customHeight="1">
      <c r="A176" s="259"/>
      <c r="J176" s="175"/>
    </row>
    <row r="177" ht="28.5" customHeight="1">
      <c r="A177" s="259"/>
      <c r="J177" s="175"/>
    </row>
    <row r="178" ht="28.5" customHeight="1">
      <c r="A178" s="259"/>
      <c r="J178" s="175"/>
    </row>
    <row r="179" ht="28.5" customHeight="1">
      <c r="A179" s="259"/>
      <c r="J179" s="175"/>
    </row>
    <row r="180" ht="28.5" customHeight="1">
      <c r="A180" s="259"/>
      <c r="J180" s="175"/>
    </row>
    <row r="181" ht="28.5" customHeight="1">
      <c r="A181" s="259"/>
      <c r="J181" s="175"/>
    </row>
    <row r="182" ht="28.5" customHeight="1">
      <c r="A182" s="259"/>
      <c r="J182" s="175"/>
    </row>
    <row r="183" ht="28.5" customHeight="1">
      <c r="A183" s="259"/>
      <c r="J183" s="175"/>
    </row>
    <row r="184" ht="28.5" customHeight="1">
      <c r="A184" s="259"/>
      <c r="J184" s="175"/>
    </row>
    <row r="185" ht="28.5" customHeight="1">
      <c r="A185" s="259"/>
      <c r="J185" s="175"/>
    </row>
    <row r="186" ht="28.5" customHeight="1">
      <c r="A186" s="259"/>
      <c r="J186" s="175"/>
    </row>
    <row r="187" ht="28.5" customHeight="1">
      <c r="A187" s="259"/>
      <c r="J187" s="175"/>
    </row>
    <row r="188" ht="28.5" customHeight="1">
      <c r="A188" s="259"/>
      <c r="J188" s="175"/>
    </row>
    <row r="189" ht="28.5" customHeight="1">
      <c r="A189" s="259"/>
      <c r="J189" s="175"/>
    </row>
    <row r="190" ht="28.5" customHeight="1">
      <c r="A190" s="259"/>
      <c r="J190" s="175"/>
    </row>
    <row r="191" ht="28.5" customHeight="1">
      <c r="A191" s="259"/>
      <c r="J191" s="175"/>
    </row>
    <row r="192" ht="28.5" customHeight="1">
      <c r="A192" s="259"/>
      <c r="J192" s="175"/>
    </row>
    <row r="193" ht="28.5" customHeight="1">
      <c r="A193" s="259"/>
      <c r="J193" s="175"/>
    </row>
    <row r="194" ht="28.5" customHeight="1">
      <c r="A194" s="259"/>
      <c r="J194" s="175"/>
    </row>
    <row r="195" ht="28.5" customHeight="1">
      <c r="A195" s="259"/>
      <c r="J195" s="175"/>
    </row>
    <row r="196" ht="28.5" customHeight="1">
      <c r="A196" s="259"/>
      <c r="J196" s="175"/>
    </row>
    <row r="197" ht="28.5" customHeight="1">
      <c r="A197" s="259"/>
      <c r="J197" s="175"/>
    </row>
    <row r="198" ht="28.5" customHeight="1">
      <c r="A198" s="259"/>
      <c r="J198" s="175"/>
    </row>
    <row r="199" ht="28.5" customHeight="1">
      <c r="A199" s="259"/>
      <c r="J199" s="175"/>
    </row>
    <row r="200" ht="28.5" customHeight="1">
      <c r="A200" s="259"/>
      <c r="J200" s="175"/>
    </row>
    <row r="201" ht="28.5" customHeight="1">
      <c r="A201" s="259"/>
      <c r="J201" s="175"/>
    </row>
    <row r="202" ht="28.5" customHeight="1">
      <c r="A202" s="259"/>
      <c r="J202" s="175"/>
    </row>
    <row r="203" ht="28.5" customHeight="1">
      <c r="A203" s="259"/>
      <c r="J203" s="175"/>
    </row>
    <row r="204" ht="28.5" customHeight="1">
      <c r="A204" s="259"/>
      <c r="J204" s="175"/>
    </row>
    <row r="205" ht="28.5" customHeight="1">
      <c r="A205" s="259"/>
      <c r="J205" s="175"/>
    </row>
    <row r="206" ht="28.5" customHeight="1">
      <c r="A206" s="259"/>
      <c r="J206" s="175"/>
    </row>
    <row r="207" ht="28.5" customHeight="1">
      <c r="A207" s="259"/>
      <c r="J207" s="175"/>
    </row>
    <row r="208" ht="28.5" customHeight="1">
      <c r="A208" s="259"/>
      <c r="J208" s="175"/>
    </row>
    <row r="209" ht="28.5" customHeight="1">
      <c r="A209" s="259"/>
      <c r="J209" s="175"/>
    </row>
    <row r="210" ht="28.5" customHeight="1">
      <c r="A210" s="259"/>
      <c r="J210" s="175"/>
    </row>
    <row r="211" ht="28.5" customHeight="1">
      <c r="A211" s="259"/>
      <c r="J211" s="175"/>
    </row>
    <row r="212" ht="28.5" customHeight="1">
      <c r="A212" s="259"/>
      <c r="J212" s="175"/>
    </row>
    <row r="213" ht="28.5" customHeight="1">
      <c r="A213" s="259"/>
      <c r="J213" s="175"/>
    </row>
    <row r="214" ht="28.5" customHeight="1">
      <c r="A214" s="259"/>
      <c r="J214" s="175"/>
    </row>
    <row r="215" ht="28.5" customHeight="1">
      <c r="A215" s="259"/>
      <c r="J215" s="175"/>
    </row>
    <row r="216" ht="28.5" customHeight="1">
      <c r="A216" s="259"/>
      <c r="J216" s="175"/>
    </row>
    <row r="217" ht="28.5" customHeight="1">
      <c r="A217" s="259"/>
      <c r="J217" s="175"/>
    </row>
    <row r="218" ht="28.5" customHeight="1">
      <c r="A218" s="259"/>
      <c r="J218" s="175"/>
    </row>
    <row r="219" ht="28.5" customHeight="1">
      <c r="A219" s="259"/>
      <c r="J219" s="175"/>
    </row>
    <row r="220" ht="28.5" customHeight="1">
      <c r="A220" s="259"/>
      <c r="J220" s="175"/>
    </row>
    <row r="221" ht="28.5" customHeight="1">
      <c r="A221" s="259"/>
      <c r="J221" s="175"/>
    </row>
    <row r="222" ht="28.5" customHeight="1">
      <c r="A222" s="259"/>
      <c r="J222" s="175"/>
    </row>
    <row r="223" ht="28.5" customHeight="1">
      <c r="A223" s="259"/>
      <c r="J223" s="175"/>
    </row>
    <row r="224" ht="28.5" customHeight="1">
      <c r="A224" s="259"/>
      <c r="J224" s="175"/>
    </row>
    <row r="225" ht="28.5" customHeight="1">
      <c r="A225" s="259"/>
      <c r="J225" s="175"/>
    </row>
    <row r="226" ht="28.5" customHeight="1">
      <c r="A226" s="259"/>
      <c r="J226" s="175"/>
    </row>
    <row r="227" ht="28.5" customHeight="1">
      <c r="A227" s="259"/>
      <c r="J227" s="175"/>
    </row>
    <row r="228" ht="28.5" customHeight="1">
      <c r="A228" s="259"/>
      <c r="J228" s="175"/>
    </row>
    <row r="229" ht="28.5" customHeight="1">
      <c r="A229" s="259"/>
      <c r="J229" s="175"/>
    </row>
    <row r="230" ht="28.5" customHeight="1">
      <c r="A230" s="259"/>
      <c r="J230" s="175"/>
    </row>
    <row r="231" ht="28.5" customHeight="1">
      <c r="A231" s="259"/>
      <c r="J231" s="175"/>
    </row>
    <row r="232" ht="28.5" customHeight="1">
      <c r="A232" s="259"/>
      <c r="J232" s="175"/>
    </row>
    <row r="233" ht="28.5" customHeight="1">
      <c r="A233" s="259"/>
      <c r="J233" s="175"/>
    </row>
    <row r="234" ht="28.5" customHeight="1">
      <c r="A234" s="259"/>
      <c r="J234" s="175"/>
    </row>
    <row r="235" ht="28.5" customHeight="1">
      <c r="A235" s="259"/>
      <c r="J235" s="175"/>
    </row>
    <row r="236" ht="28.5" customHeight="1">
      <c r="A236" s="259"/>
      <c r="J236" s="175"/>
    </row>
    <row r="237" ht="28.5" customHeight="1">
      <c r="A237" s="259"/>
      <c r="J237" s="175"/>
    </row>
    <row r="238" ht="28.5" customHeight="1">
      <c r="A238" s="259"/>
      <c r="J238" s="175"/>
    </row>
    <row r="239" ht="28.5" customHeight="1">
      <c r="A239" s="259"/>
      <c r="J239" s="175"/>
    </row>
    <row r="240" ht="28.5" customHeight="1">
      <c r="A240" s="259"/>
      <c r="J240" s="175"/>
    </row>
    <row r="241" ht="28.5" customHeight="1">
      <c r="A241" s="259"/>
      <c r="J241" s="175"/>
    </row>
    <row r="242" ht="28.5" customHeight="1">
      <c r="A242" s="259"/>
      <c r="J242" s="175"/>
    </row>
    <row r="243" ht="28.5" customHeight="1">
      <c r="A243" s="259"/>
      <c r="J243" s="175"/>
    </row>
    <row r="244" ht="28.5" customHeight="1">
      <c r="A244" s="259"/>
      <c r="J244" s="175"/>
    </row>
    <row r="245" ht="28.5" customHeight="1">
      <c r="A245" s="259"/>
      <c r="J245" s="175"/>
    </row>
    <row r="246" ht="28.5" customHeight="1">
      <c r="A246" s="259"/>
      <c r="J246" s="175"/>
    </row>
    <row r="247" ht="28.5" customHeight="1">
      <c r="A247" s="259"/>
      <c r="J247" s="175"/>
    </row>
    <row r="248" ht="28.5" customHeight="1">
      <c r="A248" s="259"/>
      <c r="J248" s="175"/>
    </row>
    <row r="249" ht="28.5" customHeight="1">
      <c r="A249" s="259"/>
      <c r="J249" s="175"/>
    </row>
    <row r="250" ht="28.5" customHeight="1">
      <c r="A250" s="259"/>
      <c r="J250" s="175"/>
    </row>
    <row r="251" ht="28.5" customHeight="1">
      <c r="A251" s="259"/>
      <c r="J251" s="175"/>
    </row>
    <row r="252" ht="28.5" customHeight="1">
      <c r="A252" s="259"/>
      <c r="J252" s="175"/>
    </row>
    <row r="253" ht="28.5" customHeight="1">
      <c r="A253" s="259"/>
      <c r="J253" s="175"/>
    </row>
    <row r="254" ht="28.5" customHeight="1">
      <c r="A254" s="259"/>
      <c r="J254" s="175"/>
    </row>
    <row r="255" ht="28.5" customHeight="1">
      <c r="A255" s="259"/>
      <c r="J255" s="175"/>
    </row>
    <row r="256" ht="28.5" customHeight="1">
      <c r="A256" s="259"/>
      <c r="J256" s="175"/>
    </row>
    <row r="257" ht="28.5" customHeight="1">
      <c r="A257" s="259"/>
      <c r="J257" s="175"/>
    </row>
    <row r="258" ht="28.5" customHeight="1">
      <c r="A258" s="259"/>
      <c r="J258" s="175"/>
    </row>
    <row r="259" ht="28.5" customHeight="1">
      <c r="A259" s="259"/>
      <c r="J259" s="175"/>
    </row>
    <row r="260" ht="28.5" customHeight="1">
      <c r="A260" s="259"/>
      <c r="J260" s="175"/>
    </row>
    <row r="261" ht="28.5" customHeight="1">
      <c r="A261" s="259"/>
      <c r="J261" s="175"/>
    </row>
    <row r="262" ht="28.5" customHeight="1">
      <c r="A262" s="259"/>
      <c r="J262" s="175"/>
    </row>
    <row r="263" ht="28.5" customHeight="1">
      <c r="A263" s="259"/>
      <c r="J263" s="175"/>
    </row>
    <row r="264" ht="28.5" customHeight="1">
      <c r="A264" s="259"/>
      <c r="J264" s="175"/>
    </row>
    <row r="265" ht="28.5" customHeight="1">
      <c r="A265" s="259"/>
      <c r="J265" s="175"/>
    </row>
    <row r="266" ht="28.5" customHeight="1">
      <c r="A266" s="259"/>
      <c r="J266" s="175"/>
    </row>
    <row r="267" ht="28.5" customHeight="1">
      <c r="A267" s="259"/>
      <c r="J267" s="175"/>
    </row>
    <row r="268" ht="28.5" customHeight="1">
      <c r="A268" s="259"/>
      <c r="J268" s="175"/>
    </row>
    <row r="269" ht="28.5" customHeight="1">
      <c r="A269" s="259"/>
      <c r="J269" s="175"/>
    </row>
    <row r="270" ht="28.5" customHeight="1">
      <c r="A270" s="259"/>
      <c r="J270" s="175"/>
    </row>
    <row r="271" ht="28.5" customHeight="1">
      <c r="A271" s="259"/>
      <c r="J271" s="175"/>
    </row>
    <row r="272" ht="28.5" customHeight="1">
      <c r="A272" s="259"/>
      <c r="J272" s="175"/>
    </row>
    <row r="273" ht="28.5" customHeight="1">
      <c r="A273" s="259"/>
      <c r="J273" s="175"/>
    </row>
    <row r="274" ht="28.5" customHeight="1">
      <c r="A274" s="259"/>
      <c r="J274" s="175"/>
    </row>
    <row r="275" ht="28.5" customHeight="1">
      <c r="A275" s="259"/>
      <c r="J275" s="175"/>
    </row>
    <row r="276" ht="28.5" customHeight="1">
      <c r="A276" s="259"/>
      <c r="J276" s="175"/>
    </row>
    <row r="277" ht="28.5" customHeight="1">
      <c r="A277" s="259"/>
      <c r="J277" s="175"/>
    </row>
    <row r="278" ht="28.5" customHeight="1">
      <c r="A278" s="259"/>
      <c r="J278" s="175"/>
    </row>
    <row r="279" ht="28.5" customHeight="1">
      <c r="A279" s="259"/>
      <c r="J279" s="175"/>
    </row>
    <row r="280" ht="28.5" customHeight="1">
      <c r="A280" s="259"/>
      <c r="J280" s="175"/>
    </row>
    <row r="281" ht="28.5" customHeight="1">
      <c r="A281" s="259"/>
      <c r="J281" s="175"/>
    </row>
    <row r="282" ht="28.5" customHeight="1">
      <c r="A282" s="259"/>
      <c r="J282" s="175"/>
    </row>
    <row r="283" ht="28.5" customHeight="1">
      <c r="A283" s="259"/>
      <c r="J283" s="175"/>
    </row>
    <row r="284" ht="28.5" customHeight="1">
      <c r="A284" s="259"/>
      <c r="J284" s="175"/>
    </row>
    <row r="285" ht="28.5" customHeight="1">
      <c r="A285" s="259"/>
      <c r="J285" s="175"/>
    </row>
    <row r="286" ht="28.5" customHeight="1">
      <c r="A286" s="259"/>
      <c r="J286" s="175"/>
    </row>
    <row r="287" ht="28.5" customHeight="1">
      <c r="A287" s="259"/>
      <c r="J287" s="175"/>
    </row>
    <row r="288" ht="28.5" customHeight="1">
      <c r="A288" s="259"/>
      <c r="J288" s="175"/>
    </row>
    <row r="289" ht="28.5" customHeight="1">
      <c r="A289" s="259"/>
      <c r="J289" s="175"/>
    </row>
    <row r="290" ht="28.5" customHeight="1">
      <c r="A290" s="259"/>
      <c r="J290" s="175"/>
    </row>
    <row r="291" ht="28.5" customHeight="1">
      <c r="A291" s="259"/>
      <c r="J291" s="175"/>
    </row>
    <row r="292" ht="28.5" customHeight="1">
      <c r="A292" s="259"/>
      <c r="J292" s="175"/>
    </row>
    <row r="293" ht="28.5" customHeight="1">
      <c r="A293" s="259"/>
      <c r="J293" s="175"/>
    </row>
    <row r="294" ht="28.5" customHeight="1">
      <c r="A294" s="259"/>
      <c r="J294" s="175"/>
    </row>
    <row r="295" ht="28.5" customHeight="1">
      <c r="A295" s="259"/>
      <c r="J295" s="175"/>
    </row>
    <row r="296" ht="28.5" customHeight="1">
      <c r="A296" s="259"/>
      <c r="J296" s="175"/>
    </row>
    <row r="297" ht="28.5" customHeight="1">
      <c r="A297" s="259"/>
      <c r="J297" s="175"/>
    </row>
    <row r="298" ht="28.5" customHeight="1">
      <c r="A298" s="259"/>
      <c r="J298" s="175"/>
    </row>
    <row r="299" ht="28.5" customHeight="1">
      <c r="A299" s="259"/>
      <c r="J299" s="175"/>
    </row>
    <row r="300" ht="28.5" customHeight="1">
      <c r="A300" s="259"/>
      <c r="J300" s="175"/>
    </row>
    <row r="301" ht="28.5" customHeight="1">
      <c r="A301" s="259"/>
      <c r="J301" s="175"/>
    </row>
    <row r="302" ht="28.5" customHeight="1">
      <c r="A302" s="259"/>
      <c r="J302" s="175"/>
    </row>
    <row r="303" ht="28.5" customHeight="1">
      <c r="A303" s="259"/>
      <c r="J303" s="175"/>
    </row>
    <row r="304" ht="28.5" customHeight="1">
      <c r="A304" s="259"/>
      <c r="J304" s="175"/>
    </row>
    <row r="305" ht="28.5" customHeight="1">
      <c r="A305" s="259"/>
      <c r="J305" s="175"/>
    </row>
    <row r="306" ht="28.5" customHeight="1">
      <c r="A306" s="259"/>
      <c r="J306" s="175"/>
    </row>
    <row r="307" ht="28.5" customHeight="1">
      <c r="A307" s="259"/>
      <c r="J307" s="175"/>
    </row>
    <row r="308" ht="28.5" customHeight="1">
      <c r="A308" s="259"/>
      <c r="J308" s="175"/>
    </row>
    <row r="309" ht="28.5" customHeight="1">
      <c r="A309" s="259"/>
      <c r="J309" s="175"/>
    </row>
    <row r="310" ht="28.5" customHeight="1">
      <c r="A310" s="259"/>
      <c r="J310" s="175"/>
    </row>
    <row r="311" ht="28.5" customHeight="1">
      <c r="A311" s="259"/>
      <c r="J311" s="175"/>
    </row>
    <row r="312" ht="28.5" customHeight="1">
      <c r="A312" s="259"/>
      <c r="J312" s="175"/>
    </row>
    <row r="313" ht="28.5" customHeight="1">
      <c r="A313" s="259"/>
      <c r="J313" s="175"/>
    </row>
    <row r="314" ht="28.5" customHeight="1">
      <c r="A314" s="259"/>
      <c r="J314" s="175"/>
    </row>
    <row r="315" ht="28.5" customHeight="1">
      <c r="A315" s="259"/>
      <c r="J315" s="175"/>
    </row>
    <row r="316" ht="28.5" customHeight="1">
      <c r="A316" s="259"/>
      <c r="J316" s="175"/>
    </row>
    <row r="317" ht="28.5" customHeight="1">
      <c r="A317" s="259"/>
      <c r="J317" s="175"/>
    </row>
    <row r="318" ht="28.5" customHeight="1">
      <c r="A318" s="259"/>
      <c r="J318" s="175"/>
    </row>
    <row r="319" ht="28.5" customHeight="1">
      <c r="A319" s="259"/>
      <c r="J319" s="175"/>
    </row>
    <row r="320" ht="28.5" customHeight="1">
      <c r="A320" s="259"/>
      <c r="J320" s="175"/>
    </row>
    <row r="321" ht="28.5" customHeight="1">
      <c r="A321" s="259"/>
      <c r="J321" s="175"/>
    </row>
    <row r="322" ht="28.5" customHeight="1">
      <c r="A322" s="259"/>
      <c r="J322" s="175"/>
    </row>
    <row r="323" ht="28.5" customHeight="1">
      <c r="A323" s="259"/>
      <c r="J323" s="175"/>
    </row>
    <row r="324" ht="28.5" customHeight="1">
      <c r="A324" s="259"/>
      <c r="J324" s="175"/>
    </row>
    <row r="325" ht="28.5" customHeight="1">
      <c r="A325" s="259"/>
      <c r="J325" s="175"/>
    </row>
    <row r="326" ht="28.5" customHeight="1">
      <c r="A326" s="259"/>
      <c r="J326" s="175"/>
    </row>
    <row r="327" ht="28.5" customHeight="1">
      <c r="A327" s="259"/>
      <c r="J327" s="175"/>
    </row>
    <row r="328" ht="28.5" customHeight="1">
      <c r="A328" s="259"/>
      <c r="J328" s="175"/>
    </row>
    <row r="329" ht="28.5" customHeight="1">
      <c r="A329" s="259"/>
      <c r="J329" s="175"/>
    </row>
    <row r="330" ht="28.5" customHeight="1">
      <c r="A330" s="259"/>
      <c r="J330" s="175"/>
    </row>
    <row r="331" ht="28.5" customHeight="1">
      <c r="A331" s="259"/>
      <c r="J331" s="175"/>
    </row>
    <row r="332" ht="28.5" customHeight="1">
      <c r="A332" s="259"/>
      <c r="J332" s="175"/>
    </row>
    <row r="333" ht="28.5" customHeight="1">
      <c r="A333" s="259"/>
      <c r="J333" s="175"/>
    </row>
    <row r="334" ht="28.5" customHeight="1">
      <c r="A334" s="259"/>
      <c r="J334" s="175"/>
    </row>
    <row r="335" ht="28.5" customHeight="1">
      <c r="A335" s="259"/>
      <c r="J335" s="175"/>
    </row>
    <row r="336" ht="28.5" customHeight="1">
      <c r="A336" s="259"/>
      <c r="J336" s="175"/>
    </row>
    <row r="337" ht="28.5" customHeight="1">
      <c r="A337" s="259"/>
      <c r="J337" s="175"/>
    </row>
    <row r="338" ht="28.5" customHeight="1">
      <c r="A338" s="259"/>
      <c r="J338" s="175"/>
    </row>
    <row r="339" ht="28.5" customHeight="1">
      <c r="A339" s="259"/>
      <c r="J339" s="175"/>
    </row>
    <row r="340" ht="28.5" customHeight="1">
      <c r="A340" s="259"/>
      <c r="J340" s="175"/>
    </row>
    <row r="341" ht="28.5" customHeight="1">
      <c r="A341" s="259"/>
      <c r="J341" s="175"/>
    </row>
    <row r="342" ht="28.5" customHeight="1">
      <c r="A342" s="259"/>
      <c r="J342" s="175"/>
    </row>
    <row r="343" ht="28.5" customHeight="1">
      <c r="A343" s="259"/>
      <c r="J343" s="175"/>
    </row>
    <row r="344" ht="28.5" customHeight="1">
      <c r="A344" s="259"/>
      <c r="J344" s="175"/>
    </row>
    <row r="345" ht="28.5" customHeight="1">
      <c r="A345" s="259"/>
      <c r="J345" s="175"/>
    </row>
    <row r="346" ht="28.5" customHeight="1">
      <c r="A346" s="259"/>
      <c r="J346" s="175"/>
    </row>
    <row r="347" ht="28.5" customHeight="1">
      <c r="A347" s="259"/>
      <c r="J347" s="175"/>
    </row>
    <row r="348" ht="28.5" customHeight="1">
      <c r="A348" s="259"/>
      <c r="J348" s="175"/>
    </row>
    <row r="349" ht="28.5" customHeight="1">
      <c r="A349" s="259"/>
      <c r="J349" s="175"/>
    </row>
    <row r="350" ht="28.5" customHeight="1">
      <c r="A350" s="259"/>
      <c r="J350" s="175"/>
    </row>
    <row r="351" ht="28.5" customHeight="1">
      <c r="A351" s="259"/>
      <c r="J351" s="175"/>
    </row>
    <row r="352" ht="28.5" customHeight="1">
      <c r="A352" s="259"/>
      <c r="J352" s="175"/>
    </row>
    <row r="353" ht="28.5" customHeight="1">
      <c r="A353" s="259"/>
      <c r="J353" s="175"/>
    </row>
    <row r="354" ht="28.5" customHeight="1">
      <c r="A354" s="259"/>
      <c r="J354" s="175"/>
    </row>
    <row r="355" ht="28.5" customHeight="1">
      <c r="A355" s="259"/>
      <c r="J355" s="175"/>
    </row>
    <row r="356" ht="28.5" customHeight="1">
      <c r="A356" s="259"/>
      <c r="J356" s="175"/>
    </row>
    <row r="357" ht="28.5" customHeight="1">
      <c r="A357" s="259"/>
      <c r="J357" s="175"/>
    </row>
    <row r="358" ht="28.5" customHeight="1">
      <c r="A358" s="259"/>
      <c r="J358" s="175"/>
    </row>
    <row r="359" ht="28.5" customHeight="1">
      <c r="A359" s="259"/>
      <c r="J359" s="175"/>
    </row>
    <row r="360" ht="28.5" customHeight="1">
      <c r="A360" s="259"/>
      <c r="J360" s="175"/>
    </row>
    <row r="361" ht="28.5" customHeight="1">
      <c r="A361" s="259"/>
      <c r="J361" s="175"/>
    </row>
    <row r="362" ht="28.5" customHeight="1">
      <c r="A362" s="259"/>
      <c r="J362" s="175"/>
    </row>
    <row r="363" ht="28.5" customHeight="1">
      <c r="A363" s="259"/>
      <c r="J363" s="175"/>
    </row>
    <row r="364" ht="28.5" customHeight="1">
      <c r="A364" s="259"/>
      <c r="J364" s="175"/>
    </row>
    <row r="365" ht="28.5" customHeight="1">
      <c r="A365" s="259"/>
      <c r="J365" s="175"/>
    </row>
    <row r="366" ht="28.5" customHeight="1">
      <c r="A366" s="259"/>
      <c r="J366" s="175"/>
    </row>
    <row r="367" ht="28.5" customHeight="1">
      <c r="A367" s="259"/>
      <c r="J367" s="175"/>
    </row>
    <row r="368" ht="28.5" customHeight="1">
      <c r="A368" s="259"/>
      <c r="J368" s="175"/>
    </row>
    <row r="369" ht="28.5" customHeight="1">
      <c r="A369" s="259"/>
      <c r="J369" s="175"/>
    </row>
    <row r="370" ht="28.5" customHeight="1">
      <c r="A370" s="259"/>
      <c r="J370" s="175"/>
    </row>
    <row r="371" ht="28.5" customHeight="1">
      <c r="A371" s="259"/>
      <c r="J371" s="175"/>
    </row>
    <row r="372" ht="28.5" customHeight="1">
      <c r="A372" s="259"/>
      <c r="J372" s="175"/>
    </row>
    <row r="373" ht="28.5" customHeight="1">
      <c r="A373" s="259"/>
      <c r="J373" s="175"/>
    </row>
    <row r="374" ht="28.5" customHeight="1">
      <c r="A374" s="259"/>
      <c r="J374" s="175"/>
    </row>
    <row r="375" ht="28.5" customHeight="1">
      <c r="A375" s="259"/>
      <c r="J375" s="175"/>
    </row>
    <row r="376" ht="28.5" customHeight="1">
      <c r="A376" s="259"/>
      <c r="J376" s="175"/>
    </row>
    <row r="377" ht="28.5" customHeight="1">
      <c r="A377" s="259"/>
      <c r="J377" s="175"/>
    </row>
    <row r="378" ht="28.5" customHeight="1">
      <c r="A378" s="259"/>
      <c r="J378" s="175"/>
    </row>
    <row r="379" ht="28.5" customHeight="1">
      <c r="A379" s="259"/>
      <c r="J379" s="175"/>
    </row>
    <row r="380" ht="28.5" customHeight="1">
      <c r="A380" s="259"/>
      <c r="J380" s="175"/>
    </row>
    <row r="381" ht="28.5" customHeight="1">
      <c r="A381" s="259"/>
      <c r="J381" s="175"/>
    </row>
    <row r="382" ht="28.5" customHeight="1">
      <c r="A382" s="259"/>
      <c r="J382" s="175"/>
    </row>
    <row r="383" ht="28.5" customHeight="1">
      <c r="A383" s="259"/>
      <c r="J383" s="175"/>
    </row>
    <row r="384" ht="28.5" customHeight="1">
      <c r="A384" s="259"/>
      <c r="J384" s="175"/>
    </row>
    <row r="385" ht="28.5" customHeight="1">
      <c r="A385" s="259"/>
      <c r="J385" s="175"/>
    </row>
    <row r="386" ht="28.5" customHeight="1">
      <c r="A386" s="259"/>
      <c r="J386" s="175"/>
    </row>
    <row r="387" ht="28.5" customHeight="1">
      <c r="A387" s="259"/>
      <c r="J387" s="175"/>
    </row>
    <row r="388" ht="28.5" customHeight="1">
      <c r="A388" s="259"/>
      <c r="J388" s="175"/>
    </row>
    <row r="389" ht="28.5" customHeight="1">
      <c r="A389" s="259"/>
      <c r="J389" s="175"/>
    </row>
    <row r="390" ht="28.5" customHeight="1">
      <c r="A390" s="259"/>
      <c r="J390" s="175"/>
    </row>
    <row r="391" ht="28.5" customHeight="1">
      <c r="A391" s="259"/>
      <c r="J391" s="175"/>
    </row>
    <row r="392" ht="28.5" customHeight="1">
      <c r="A392" s="259"/>
      <c r="J392" s="175"/>
    </row>
    <row r="393" ht="28.5" customHeight="1">
      <c r="A393" s="259"/>
      <c r="J393" s="175"/>
    </row>
    <row r="394" ht="28.5" customHeight="1">
      <c r="A394" s="259"/>
      <c r="J394" s="175"/>
    </row>
    <row r="395" ht="28.5" customHeight="1">
      <c r="A395" s="259"/>
      <c r="J395" s="175"/>
    </row>
    <row r="396" ht="28.5" customHeight="1">
      <c r="A396" s="259"/>
      <c r="J396" s="175"/>
    </row>
    <row r="397" ht="28.5" customHeight="1">
      <c r="A397" s="259"/>
      <c r="J397" s="175"/>
    </row>
    <row r="398" ht="28.5" customHeight="1">
      <c r="A398" s="259"/>
      <c r="J398" s="175"/>
    </row>
    <row r="399" ht="28.5" customHeight="1">
      <c r="A399" s="259"/>
      <c r="J399" s="175"/>
    </row>
    <row r="400" ht="28.5" customHeight="1">
      <c r="A400" s="259"/>
      <c r="J400" s="175"/>
    </row>
    <row r="401" ht="28.5" customHeight="1">
      <c r="A401" s="259"/>
      <c r="J401" s="175"/>
    </row>
    <row r="402" ht="28.5" customHeight="1">
      <c r="A402" s="259"/>
      <c r="J402" s="175"/>
    </row>
    <row r="403" ht="28.5" customHeight="1">
      <c r="A403" s="259"/>
      <c r="J403" s="175"/>
    </row>
    <row r="404" ht="28.5" customHeight="1">
      <c r="A404" s="259"/>
      <c r="J404" s="175"/>
    </row>
    <row r="405" ht="28.5" customHeight="1">
      <c r="A405" s="259"/>
      <c r="J405" s="175"/>
    </row>
    <row r="406" ht="28.5" customHeight="1">
      <c r="A406" s="259"/>
      <c r="J406" s="175"/>
    </row>
    <row r="407" ht="28.5" customHeight="1">
      <c r="A407" s="259"/>
      <c r="J407" s="175"/>
    </row>
    <row r="408" ht="28.5" customHeight="1">
      <c r="A408" s="259"/>
      <c r="J408" s="175"/>
    </row>
    <row r="409" ht="28.5" customHeight="1">
      <c r="A409" s="259"/>
      <c r="J409" s="175"/>
    </row>
    <row r="410" ht="28.5" customHeight="1">
      <c r="A410" s="259"/>
      <c r="J410" s="175"/>
    </row>
    <row r="411" ht="28.5" customHeight="1">
      <c r="A411" s="259"/>
      <c r="J411" s="175"/>
    </row>
    <row r="412" ht="28.5" customHeight="1">
      <c r="A412" s="259"/>
      <c r="J412" s="175"/>
    </row>
    <row r="413" ht="28.5" customHeight="1">
      <c r="A413" s="259"/>
      <c r="J413" s="175"/>
    </row>
    <row r="414" ht="28.5" customHeight="1">
      <c r="A414" s="259"/>
      <c r="J414" s="175"/>
    </row>
    <row r="415" ht="28.5" customHeight="1">
      <c r="A415" s="259"/>
      <c r="J415" s="175"/>
    </row>
    <row r="416" ht="28.5" customHeight="1">
      <c r="A416" s="259"/>
      <c r="J416" s="175"/>
    </row>
    <row r="417" ht="28.5" customHeight="1">
      <c r="A417" s="259"/>
      <c r="J417" s="175"/>
    </row>
    <row r="418" ht="28.5" customHeight="1">
      <c r="A418" s="259"/>
      <c r="J418" s="175"/>
    </row>
    <row r="419" ht="28.5" customHeight="1">
      <c r="A419" s="259"/>
      <c r="J419" s="175"/>
    </row>
    <row r="420" ht="28.5" customHeight="1">
      <c r="A420" s="259"/>
      <c r="J420" s="175"/>
    </row>
    <row r="421" ht="28.5" customHeight="1">
      <c r="A421" s="259"/>
      <c r="J421" s="175"/>
    </row>
    <row r="422" ht="28.5" customHeight="1">
      <c r="A422" s="259"/>
      <c r="J422" s="175"/>
    </row>
    <row r="423" ht="28.5" customHeight="1">
      <c r="A423" s="259"/>
      <c r="J423" s="175"/>
    </row>
    <row r="424" ht="28.5" customHeight="1">
      <c r="A424" s="259"/>
      <c r="J424" s="175"/>
    </row>
    <row r="425" ht="28.5" customHeight="1">
      <c r="A425" s="259"/>
      <c r="J425" s="175"/>
    </row>
    <row r="426" ht="28.5" customHeight="1">
      <c r="A426" s="259"/>
      <c r="J426" s="175"/>
    </row>
    <row r="427" ht="28.5" customHeight="1">
      <c r="A427" s="259"/>
      <c r="J427" s="175"/>
    </row>
    <row r="428" ht="28.5" customHeight="1">
      <c r="A428" s="259"/>
      <c r="J428" s="175"/>
    </row>
    <row r="429" ht="28.5" customHeight="1">
      <c r="A429" s="259"/>
      <c r="J429" s="175"/>
    </row>
    <row r="430" ht="28.5" customHeight="1">
      <c r="A430" s="259"/>
      <c r="J430" s="175"/>
    </row>
    <row r="431" ht="28.5" customHeight="1">
      <c r="A431" s="259"/>
      <c r="J431" s="175"/>
    </row>
    <row r="432" ht="28.5" customHeight="1">
      <c r="A432" s="259"/>
      <c r="J432" s="175"/>
    </row>
    <row r="433" ht="28.5" customHeight="1">
      <c r="A433" s="259"/>
      <c r="J433" s="175"/>
    </row>
    <row r="434" ht="28.5" customHeight="1">
      <c r="A434" s="259"/>
      <c r="J434" s="175"/>
    </row>
    <row r="435" ht="28.5" customHeight="1">
      <c r="A435" s="259"/>
      <c r="J435" s="175"/>
    </row>
    <row r="436" ht="28.5" customHeight="1">
      <c r="A436" s="259"/>
      <c r="J436" s="175"/>
    </row>
    <row r="437" ht="28.5" customHeight="1">
      <c r="A437" s="259"/>
      <c r="J437" s="175"/>
    </row>
    <row r="438" ht="28.5" customHeight="1">
      <c r="A438" s="259"/>
      <c r="J438" s="175"/>
    </row>
    <row r="439" ht="28.5" customHeight="1">
      <c r="A439" s="259"/>
      <c r="J439" s="175"/>
    </row>
    <row r="440" ht="28.5" customHeight="1">
      <c r="A440" s="259"/>
      <c r="J440" s="175"/>
    </row>
    <row r="441" ht="28.5" customHeight="1">
      <c r="A441" s="259"/>
      <c r="J441" s="175"/>
    </row>
    <row r="442" ht="28.5" customHeight="1">
      <c r="A442" s="259"/>
      <c r="J442" s="175"/>
    </row>
    <row r="443" ht="28.5" customHeight="1">
      <c r="A443" s="259"/>
      <c r="J443" s="175"/>
    </row>
    <row r="444" ht="28.5" customHeight="1">
      <c r="A444" s="259"/>
      <c r="J444" s="175"/>
    </row>
    <row r="445" ht="28.5" customHeight="1">
      <c r="A445" s="259"/>
      <c r="J445" s="175"/>
    </row>
    <row r="446" ht="28.5" customHeight="1">
      <c r="A446" s="259"/>
      <c r="J446" s="175"/>
    </row>
    <row r="447" ht="28.5" customHeight="1">
      <c r="A447" s="259"/>
      <c r="J447" s="175"/>
    </row>
    <row r="448" ht="28.5" customHeight="1">
      <c r="A448" s="259"/>
      <c r="J448" s="175"/>
    </row>
    <row r="449" ht="28.5" customHeight="1">
      <c r="A449" s="259"/>
      <c r="J449" s="175"/>
    </row>
    <row r="450" ht="28.5" customHeight="1">
      <c r="A450" s="259"/>
      <c r="J450" s="175"/>
    </row>
    <row r="451" ht="28.5" customHeight="1">
      <c r="A451" s="259"/>
      <c r="J451" s="175"/>
    </row>
    <row r="452" ht="28.5" customHeight="1">
      <c r="A452" s="259"/>
      <c r="J452" s="175"/>
    </row>
    <row r="453" ht="28.5" customHeight="1">
      <c r="A453" s="259"/>
      <c r="J453" s="175"/>
    </row>
    <row r="454" ht="28.5" customHeight="1">
      <c r="A454" s="259"/>
      <c r="J454" s="175"/>
    </row>
    <row r="455" ht="28.5" customHeight="1">
      <c r="A455" s="259"/>
      <c r="J455" s="175"/>
    </row>
    <row r="456" ht="28.5" customHeight="1">
      <c r="A456" s="259"/>
      <c r="J456" s="175"/>
    </row>
    <row r="457" ht="28.5" customHeight="1">
      <c r="A457" s="259"/>
      <c r="J457" s="175"/>
    </row>
    <row r="458" ht="28.5" customHeight="1">
      <c r="A458" s="259"/>
      <c r="J458" s="175"/>
    </row>
    <row r="459" ht="28.5" customHeight="1">
      <c r="A459" s="259"/>
      <c r="J459" s="175"/>
    </row>
    <row r="460" ht="28.5" customHeight="1">
      <c r="A460" s="259"/>
      <c r="J460" s="175"/>
    </row>
    <row r="461" ht="28.5" customHeight="1">
      <c r="A461" s="259"/>
      <c r="J461" s="175"/>
    </row>
    <row r="462" ht="28.5" customHeight="1">
      <c r="A462" s="259"/>
      <c r="J462" s="175"/>
    </row>
    <row r="463" ht="28.5" customHeight="1">
      <c r="A463" s="259"/>
      <c r="J463" s="175"/>
    </row>
    <row r="464" ht="28.5" customHeight="1">
      <c r="A464" s="259"/>
      <c r="J464" s="175"/>
    </row>
    <row r="465" ht="28.5" customHeight="1">
      <c r="A465" s="259"/>
      <c r="J465" s="175"/>
    </row>
    <row r="466" ht="28.5" customHeight="1">
      <c r="A466" s="259"/>
      <c r="J466" s="175"/>
    </row>
    <row r="467" ht="28.5" customHeight="1">
      <c r="A467" s="259"/>
      <c r="J467" s="175"/>
    </row>
    <row r="468" ht="28.5" customHeight="1">
      <c r="A468" s="259"/>
      <c r="J468" s="175"/>
    </row>
    <row r="469" ht="28.5" customHeight="1">
      <c r="A469" s="259"/>
      <c r="J469" s="175"/>
    </row>
    <row r="470" ht="28.5" customHeight="1">
      <c r="A470" s="259"/>
      <c r="J470" s="175"/>
    </row>
    <row r="471" ht="28.5" customHeight="1">
      <c r="A471" s="259"/>
      <c r="J471" s="175"/>
    </row>
    <row r="472" ht="28.5" customHeight="1">
      <c r="A472" s="259"/>
      <c r="J472" s="175"/>
    </row>
    <row r="473" ht="28.5" customHeight="1">
      <c r="A473" s="259"/>
      <c r="J473" s="175"/>
    </row>
    <row r="474" ht="28.5" customHeight="1">
      <c r="A474" s="259"/>
      <c r="J474" s="175"/>
    </row>
    <row r="475" ht="28.5" customHeight="1">
      <c r="A475" s="259"/>
      <c r="J475" s="175"/>
    </row>
    <row r="476" ht="28.5" customHeight="1">
      <c r="A476" s="259"/>
      <c r="J476" s="175"/>
    </row>
    <row r="477" ht="28.5" customHeight="1">
      <c r="A477" s="259"/>
      <c r="J477" s="175"/>
    </row>
    <row r="478" ht="28.5" customHeight="1">
      <c r="A478" s="259"/>
      <c r="J478" s="175"/>
    </row>
    <row r="479" ht="28.5" customHeight="1">
      <c r="A479" s="259"/>
      <c r="J479" s="175"/>
    </row>
    <row r="480" ht="28.5" customHeight="1">
      <c r="A480" s="259"/>
      <c r="J480" s="175"/>
    </row>
    <row r="481" ht="28.5" customHeight="1">
      <c r="A481" s="259"/>
      <c r="J481" s="175"/>
    </row>
    <row r="482" ht="28.5" customHeight="1">
      <c r="A482" s="259"/>
      <c r="J482" s="175"/>
    </row>
    <row r="483" ht="28.5" customHeight="1">
      <c r="A483" s="259"/>
      <c r="J483" s="175"/>
    </row>
    <row r="484" ht="28.5" customHeight="1">
      <c r="A484" s="259"/>
      <c r="J484" s="175"/>
    </row>
    <row r="485" ht="28.5" customHeight="1">
      <c r="A485" s="259"/>
      <c r="J485" s="175"/>
    </row>
    <row r="486" ht="28.5" customHeight="1">
      <c r="A486" s="259"/>
      <c r="J486" s="175"/>
    </row>
    <row r="487" ht="28.5" customHeight="1">
      <c r="A487" s="259"/>
      <c r="J487" s="175"/>
    </row>
    <row r="488" ht="28.5" customHeight="1">
      <c r="A488" s="259"/>
      <c r="J488" s="175"/>
    </row>
    <row r="489" ht="28.5" customHeight="1">
      <c r="A489" s="259"/>
      <c r="J489" s="175"/>
    </row>
    <row r="490" ht="28.5" customHeight="1">
      <c r="A490" s="259"/>
      <c r="J490" s="175"/>
    </row>
    <row r="491" ht="28.5" customHeight="1">
      <c r="A491" s="259"/>
      <c r="J491" s="175"/>
    </row>
    <row r="492" ht="28.5" customHeight="1">
      <c r="A492" s="259"/>
      <c r="J492" s="175"/>
    </row>
    <row r="493" ht="28.5" customHeight="1">
      <c r="A493" s="259"/>
      <c r="J493" s="175"/>
    </row>
    <row r="494" ht="28.5" customHeight="1">
      <c r="A494" s="259"/>
      <c r="J494" s="175"/>
    </row>
    <row r="495" ht="28.5" customHeight="1">
      <c r="A495" s="259"/>
      <c r="J495" s="175"/>
    </row>
    <row r="496" ht="28.5" customHeight="1">
      <c r="A496" s="259"/>
      <c r="J496" s="175"/>
    </row>
    <row r="497" ht="28.5" customHeight="1">
      <c r="A497" s="259"/>
      <c r="J497" s="175"/>
    </row>
    <row r="498" ht="28.5" customHeight="1">
      <c r="A498" s="259"/>
      <c r="J498" s="175"/>
    </row>
    <row r="499" ht="28.5" customHeight="1">
      <c r="A499" s="259"/>
      <c r="J499" s="175"/>
    </row>
    <row r="500" ht="28.5" customHeight="1">
      <c r="A500" s="259"/>
      <c r="J500" s="175"/>
    </row>
    <row r="501" ht="28.5" customHeight="1">
      <c r="A501" s="259"/>
      <c r="J501" s="175"/>
    </row>
    <row r="502" ht="28.5" customHeight="1">
      <c r="A502" s="259"/>
      <c r="J502" s="175"/>
    </row>
    <row r="503" ht="28.5" customHeight="1">
      <c r="A503" s="259"/>
      <c r="J503" s="175"/>
    </row>
    <row r="504" ht="28.5" customHeight="1">
      <c r="A504" s="259"/>
      <c r="J504" s="175"/>
    </row>
    <row r="505" ht="28.5" customHeight="1">
      <c r="A505" s="259"/>
      <c r="J505" s="175"/>
    </row>
    <row r="506" ht="28.5" customHeight="1">
      <c r="A506" s="259"/>
      <c r="J506" s="175"/>
    </row>
    <row r="507" ht="28.5" customHeight="1">
      <c r="A507" s="259"/>
      <c r="J507" s="175"/>
    </row>
    <row r="508" ht="28.5" customHeight="1">
      <c r="A508" s="259"/>
      <c r="J508" s="175"/>
    </row>
    <row r="509" ht="28.5" customHeight="1">
      <c r="A509" s="259"/>
      <c r="J509" s="175"/>
    </row>
    <row r="510" ht="28.5" customHeight="1">
      <c r="A510" s="259"/>
      <c r="J510" s="175"/>
    </row>
    <row r="511" ht="28.5" customHeight="1">
      <c r="A511" s="259"/>
      <c r="J511" s="175"/>
    </row>
    <row r="512" ht="28.5" customHeight="1">
      <c r="A512" s="259"/>
      <c r="J512" s="175"/>
    </row>
    <row r="513" ht="28.5" customHeight="1">
      <c r="A513" s="259"/>
      <c r="J513" s="175"/>
    </row>
    <row r="514" ht="28.5" customHeight="1">
      <c r="A514" s="259"/>
      <c r="J514" s="175"/>
    </row>
    <row r="515" ht="28.5" customHeight="1">
      <c r="A515" s="259"/>
      <c r="J515" s="175"/>
    </row>
    <row r="516" ht="28.5" customHeight="1">
      <c r="A516" s="259"/>
      <c r="J516" s="175"/>
    </row>
    <row r="517" ht="28.5" customHeight="1">
      <c r="A517" s="259"/>
      <c r="J517" s="175"/>
    </row>
    <row r="518" ht="28.5" customHeight="1">
      <c r="A518" s="259"/>
      <c r="J518" s="175"/>
    </row>
    <row r="519" ht="28.5" customHeight="1">
      <c r="A519" s="259"/>
      <c r="J519" s="175"/>
    </row>
    <row r="520" ht="28.5" customHeight="1">
      <c r="A520" s="259"/>
      <c r="J520" s="175"/>
    </row>
    <row r="521" ht="28.5" customHeight="1">
      <c r="A521" s="259"/>
      <c r="J521" s="175"/>
    </row>
    <row r="522" ht="28.5" customHeight="1">
      <c r="A522" s="259"/>
      <c r="J522" s="175"/>
    </row>
    <row r="523" ht="28.5" customHeight="1">
      <c r="A523" s="259"/>
      <c r="J523" s="175"/>
    </row>
    <row r="524" ht="28.5" customHeight="1">
      <c r="A524" s="259"/>
      <c r="J524" s="175"/>
    </row>
    <row r="525" ht="28.5" customHeight="1">
      <c r="A525" s="259"/>
      <c r="J525" s="175"/>
    </row>
    <row r="526" ht="28.5" customHeight="1">
      <c r="A526" s="259"/>
      <c r="J526" s="175"/>
    </row>
    <row r="527" ht="28.5" customHeight="1">
      <c r="A527" s="259"/>
      <c r="J527" s="175"/>
    </row>
    <row r="528" ht="28.5" customHeight="1">
      <c r="A528" s="259"/>
      <c r="J528" s="175"/>
    </row>
    <row r="529" ht="28.5" customHeight="1">
      <c r="A529" s="259"/>
      <c r="J529" s="175"/>
    </row>
    <row r="530" ht="28.5" customHeight="1">
      <c r="A530" s="259"/>
      <c r="J530" s="175"/>
    </row>
    <row r="531" ht="28.5" customHeight="1">
      <c r="A531" s="259"/>
      <c r="J531" s="175"/>
    </row>
    <row r="532" ht="28.5" customHeight="1">
      <c r="A532" s="259"/>
      <c r="J532" s="175"/>
    </row>
    <row r="533" ht="28.5" customHeight="1">
      <c r="A533" s="259"/>
      <c r="J533" s="175"/>
    </row>
    <row r="534" ht="28.5" customHeight="1">
      <c r="A534" s="259"/>
      <c r="J534" s="175"/>
    </row>
    <row r="535" ht="28.5" customHeight="1">
      <c r="A535" s="259"/>
      <c r="J535" s="175"/>
    </row>
    <row r="536" ht="28.5" customHeight="1">
      <c r="A536" s="259"/>
      <c r="J536" s="175"/>
    </row>
    <row r="537" ht="28.5" customHeight="1">
      <c r="A537" s="259"/>
      <c r="J537" s="175"/>
    </row>
    <row r="538" ht="28.5" customHeight="1">
      <c r="A538" s="259"/>
      <c r="J538" s="175"/>
    </row>
    <row r="539" ht="28.5" customHeight="1">
      <c r="A539" s="259"/>
      <c r="J539" s="175"/>
    </row>
    <row r="540" ht="28.5" customHeight="1">
      <c r="A540" s="259"/>
      <c r="J540" s="175"/>
    </row>
    <row r="541" ht="28.5" customHeight="1">
      <c r="A541" s="259"/>
      <c r="J541" s="175"/>
    </row>
    <row r="542" ht="28.5" customHeight="1">
      <c r="A542" s="259"/>
      <c r="J542" s="175"/>
    </row>
    <row r="543" ht="28.5" customHeight="1">
      <c r="A543" s="259"/>
      <c r="J543" s="175"/>
    </row>
    <row r="544" ht="28.5" customHeight="1">
      <c r="A544" s="259"/>
      <c r="J544" s="175"/>
    </row>
    <row r="545" ht="28.5" customHeight="1">
      <c r="A545" s="259"/>
      <c r="J545" s="175"/>
    </row>
    <row r="546" ht="28.5" customHeight="1">
      <c r="A546" s="259"/>
      <c r="J546" s="175"/>
    </row>
    <row r="547" ht="28.5" customHeight="1">
      <c r="A547" s="259"/>
      <c r="J547" s="175"/>
    </row>
    <row r="548" ht="28.5" customHeight="1">
      <c r="A548" s="259"/>
      <c r="J548" s="175"/>
    </row>
    <row r="549" ht="28.5" customHeight="1">
      <c r="A549" s="259"/>
      <c r="J549" s="175"/>
    </row>
    <row r="550" ht="28.5" customHeight="1">
      <c r="A550" s="259"/>
      <c r="J550" s="175"/>
    </row>
    <row r="551" ht="28.5" customHeight="1">
      <c r="A551" s="259"/>
      <c r="J551" s="175"/>
    </row>
    <row r="552" ht="28.5" customHeight="1">
      <c r="A552" s="259"/>
      <c r="J552" s="175"/>
    </row>
    <row r="553" ht="28.5" customHeight="1">
      <c r="A553" s="259"/>
      <c r="J553" s="175"/>
    </row>
    <row r="554" ht="28.5" customHeight="1">
      <c r="A554" s="259"/>
      <c r="J554" s="175"/>
    </row>
    <row r="555" ht="28.5" customHeight="1">
      <c r="A555" s="259"/>
      <c r="J555" s="175"/>
    </row>
    <row r="556" ht="28.5" customHeight="1">
      <c r="A556" s="259"/>
      <c r="J556" s="175"/>
    </row>
    <row r="557" ht="28.5" customHeight="1">
      <c r="A557" s="259"/>
      <c r="J557" s="175"/>
    </row>
    <row r="558" ht="28.5" customHeight="1">
      <c r="A558" s="259"/>
      <c r="J558" s="175"/>
    </row>
    <row r="559" ht="28.5" customHeight="1">
      <c r="A559" s="259"/>
      <c r="J559" s="175"/>
    </row>
    <row r="560" ht="28.5" customHeight="1">
      <c r="A560" s="259"/>
      <c r="J560" s="175"/>
    </row>
    <row r="561" ht="28.5" customHeight="1">
      <c r="A561" s="259"/>
      <c r="J561" s="175"/>
    </row>
    <row r="562" ht="28.5" customHeight="1">
      <c r="A562" s="259"/>
      <c r="J562" s="175"/>
    </row>
    <row r="563" ht="28.5" customHeight="1">
      <c r="A563" s="259"/>
      <c r="J563" s="175"/>
    </row>
    <row r="564" ht="28.5" customHeight="1">
      <c r="A564" s="259"/>
      <c r="J564" s="175"/>
    </row>
    <row r="565" ht="28.5" customHeight="1">
      <c r="A565" s="259"/>
      <c r="J565" s="175"/>
    </row>
    <row r="566" ht="28.5" customHeight="1">
      <c r="A566" s="259"/>
      <c r="J566" s="175"/>
    </row>
    <row r="567" ht="28.5" customHeight="1">
      <c r="A567" s="259"/>
      <c r="J567" s="175"/>
    </row>
    <row r="568" ht="28.5" customHeight="1">
      <c r="A568" s="259"/>
      <c r="J568" s="175"/>
    </row>
    <row r="569" ht="28.5" customHeight="1">
      <c r="A569" s="259"/>
      <c r="J569" s="175"/>
    </row>
    <row r="570" ht="28.5" customHeight="1">
      <c r="A570" s="259"/>
      <c r="J570" s="175"/>
    </row>
    <row r="571" ht="28.5" customHeight="1">
      <c r="A571" s="259"/>
      <c r="J571" s="175"/>
    </row>
    <row r="572" ht="28.5" customHeight="1">
      <c r="A572" s="259"/>
      <c r="J572" s="175"/>
    </row>
    <row r="573" ht="28.5" customHeight="1">
      <c r="A573" s="259"/>
      <c r="J573" s="175"/>
    </row>
    <row r="574" ht="28.5" customHeight="1">
      <c r="A574" s="259"/>
      <c r="J574" s="175"/>
    </row>
    <row r="575" ht="28.5" customHeight="1">
      <c r="A575" s="259"/>
      <c r="J575" s="175"/>
    </row>
    <row r="576" ht="28.5" customHeight="1">
      <c r="A576" s="259"/>
      <c r="J576" s="175"/>
    </row>
    <row r="577" ht="28.5" customHeight="1">
      <c r="A577" s="259"/>
      <c r="J577" s="175"/>
    </row>
    <row r="578" ht="28.5" customHeight="1">
      <c r="A578" s="259"/>
      <c r="J578" s="175"/>
    </row>
    <row r="579" ht="28.5" customHeight="1">
      <c r="A579" s="259"/>
      <c r="J579" s="175"/>
    </row>
    <row r="580" ht="28.5" customHeight="1">
      <c r="A580" s="259"/>
      <c r="J580" s="175"/>
    </row>
    <row r="581" ht="28.5" customHeight="1">
      <c r="A581" s="259"/>
      <c r="J581" s="175"/>
    </row>
    <row r="582" ht="28.5" customHeight="1">
      <c r="A582" s="259"/>
      <c r="J582" s="175"/>
    </row>
    <row r="583" ht="28.5" customHeight="1">
      <c r="A583" s="259"/>
      <c r="J583" s="175"/>
    </row>
    <row r="584" ht="28.5" customHeight="1">
      <c r="A584" s="259"/>
      <c r="J584" s="175"/>
    </row>
    <row r="585" ht="28.5" customHeight="1">
      <c r="A585" s="259"/>
      <c r="J585" s="175"/>
    </row>
    <row r="586" ht="28.5" customHeight="1">
      <c r="A586" s="259"/>
      <c r="J586" s="175"/>
    </row>
    <row r="587" ht="28.5" customHeight="1">
      <c r="A587" s="259"/>
      <c r="J587" s="175"/>
    </row>
    <row r="588" ht="28.5" customHeight="1">
      <c r="A588" s="259"/>
      <c r="J588" s="175"/>
    </row>
    <row r="589" ht="28.5" customHeight="1">
      <c r="A589" s="259"/>
      <c r="J589" s="175"/>
    </row>
    <row r="590" ht="28.5" customHeight="1">
      <c r="A590" s="259"/>
      <c r="J590" s="175"/>
    </row>
    <row r="591" ht="28.5" customHeight="1">
      <c r="A591" s="259"/>
      <c r="J591" s="175"/>
    </row>
    <row r="592" ht="28.5" customHeight="1">
      <c r="A592" s="259"/>
      <c r="J592" s="175"/>
    </row>
    <row r="593" ht="28.5" customHeight="1">
      <c r="A593" s="259"/>
      <c r="J593" s="175"/>
    </row>
    <row r="594" ht="28.5" customHeight="1">
      <c r="A594" s="259"/>
      <c r="J594" s="175"/>
    </row>
    <row r="595" ht="28.5" customHeight="1">
      <c r="A595" s="259"/>
      <c r="J595" s="175"/>
    </row>
    <row r="596" ht="28.5" customHeight="1">
      <c r="A596" s="259"/>
      <c r="J596" s="175"/>
    </row>
    <row r="597" ht="28.5" customHeight="1">
      <c r="A597" s="259"/>
      <c r="J597" s="175"/>
    </row>
    <row r="598" ht="28.5" customHeight="1">
      <c r="A598" s="259"/>
      <c r="J598" s="175"/>
    </row>
    <row r="599" ht="28.5" customHeight="1">
      <c r="A599" s="259"/>
      <c r="J599" s="175"/>
    </row>
    <row r="600" ht="28.5" customHeight="1">
      <c r="A600" s="259"/>
      <c r="J600" s="175"/>
    </row>
    <row r="601" ht="28.5" customHeight="1">
      <c r="A601" s="259"/>
      <c r="J601" s="175"/>
    </row>
    <row r="602" ht="28.5" customHeight="1">
      <c r="A602" s="259"/>
      <c r="J602" s="175"/>
    </row>
    <row r="603" ht="28.5" customHeight="1">
      <c r="A603" s="259"/>
      <c r="J603" s="175"/>
    </row>
    <row r="604" ht="28.5" customHeight="1">
      <c r="A604" s="259"/>
      <c r="J604" s="175"/>
    </row>
    <row r="605" ht="28.5" customHeight="1">
      <c r="A605" s="259"/>
      <c r="J605" s="175"/>
    </row>
    <row r="606" ht="28.5" customHeight="1">
      <c r="A606" s="259"/>
      <c r="J606" s="175"/>
    </row>
    <row r="607" ht="28.5" customHeight="1">
      <c r="A607" s="259"/>
      <c r="J607" s="175"/>
    </row>
    <row r="608" ht="28.5" customHeight="1">
      <c r="A608" s="259"/>
      <c r="J608" s="175"/>
    </row>
    <row r="609" ht="28.5" customHeight="1">
      <c r="A609" s="259"/>
      <c r="J609" s="175"/>
    </row>
    <row r="610" ht="28.5" customHeight="1">
      <c r="A610" s="259"/>
      <c r="J610" s="175"/>
    </row>
    <row r="611" ht="28.5" customHeight="1">
      <c r="A611" s="259"/>
      <c r="J611" s="175"/>
    </row>
    <row r="612" ht="28.5" customHeight="1">
      <c r="A612" s="259"/>
      <c r="J612" s="175"/>
    </row>
    <row r="613" ht="28.5" customHeight="1">
      <c r="A613" s="259"/>
      <c r="J613" s="175"/>
    </row>
    <row r="614" ht="28.5" customHeight="1">
      <c r="A614" s="259"/>
      <c r="J614" s="175"/>
    </row>
    <row r="615" ht="28.5" customHeight="1">
      <c r="A615" s="259"/>
      <c r="J615" s="175"/>
    </row>
    <row r="616" ht="28.5" customHeight="1">
      <c r="A616" s="259"/>
      <c r="J616" s="175"/>
    </row>
    <row r="617" ht="28.5" customHeight="1">
      <c r="A617" s="259"/>
      <c r="J617" s="175"/>
    </row>
    <row r="618" ht="28.5" customHeight="1">
      <c r="A618" s="259"/>
      <c r="J618" s="175"/>
    </row>
    <row r="619" ht="28.5" customHeight="1">
      <c r="A619" s="259"/>
      <c r="J619" s="175"/>
    </row>
    <row r="620" ht="28.5" customHeight="1">
      <c r="A620" s="259"/>
      <c r="J620" s="175"/>
    </row>
    <row r="621" ht="28.5" customHeight="1">
      <c r="A621" s="259"/>
      <c r="J621" s="175"/>
    </row>
    <row r="622" ht="28.5" customHeight="1">
      <c r="A622" s="259"/>
      <c r="J622" s="175"/>
    </row>
    <row r="623" ht="28.5" customHeight="1">
      <c r="A623" s="259"/>
      <c r="J623" s="175"/>
    </row>
    <row r="624" ht="28.5" customHeight="1">
      <c r="A624" s="259"/>
      <c r="J624" s="175"/>
    </row>
    <row r="625" ht="28.5" customHeight="1">
      <c r="A625" s="259"/>
      <c r="J625" s="175"/>
    </row>
    <row r="626" ht="28.5" customHeight="1">
      <c r="A626" s="259"/>
      <c r="J626" s="175"/>
    </row>
    <row r="627" ht="28.5" customHeight="1">
      <c r="A627" s="259"/>
      <c r="J627" s="175"/>
    </row>
    <row r="628" ht="28.5" customHeight="1">
      <c r="A628" s="259"/>
      <c r="J628" s="175"/>
    </row>
    <row r="629" ht="28.5" customHeight="1">
      <c r="A629" s="259"/>
      <c r="J629" s="175"/>
    </row>
    <row r="630" ht="28.5" customHeight="1">
      <c r="A630" s="259"/>
      <c r="J630" s="175"/>
    </row>
    <row r="631" ht="28.5" customHeight="1">
      <c r="A631" s="259"/>
      <c r="J631" s="175"/>
    </row>
    <row r="632" ht="28.5" customHeight="1">
      <c r="A632" s="259"/>
      <c r="J632" s="175"/>
    </row>
    <row r="633" ht="28.5" customHeight="1">
      <c r="A633" s="259"/>
      <c r="J633" s="175"/>
    </row>
    <row r="634" ht="28.5" customHeight="1">
      <c r="A634" s="259"/>
      <c r="J634" s="175"/>
    </row>
    <row r="635" ht="28.5" customHeight="1">
      <c r="A635" s="259"/>
      <c r="J635" s="175"/>
    </row>
    <row r="636" ht="28.5" customHeight="1">
      <c r="A636" s="259"/>
      <c r="J636" s="175"/>
    </row>
    <row r="637" ht="28.5" customHeight="1">
      <c r="A637" s="259"/>
      <c r="J637" s="175"/>
    </row>
    <row r="638" ht="28.5" customHeight="1">
      <c r="A638" s="259"/>
      <c r="J638" s="175"/>
    </row>
    <row r="639" ht="28.5" customHeight="1">
      <c r="A639" s="259"/>
      <c r="J639" s="175"/>
    </row>
    <row r="640" ht="28.5" customHeight="1">
      <c r="A640" s="259"/>
      <c r="J640" s="175"/>
    </row>
    <row r="641" ht="28.5" customHeight="1">
      <c r="A641" s="259"/>
      <c r="J641" s="175"/>
    </row>
    <row r="642" ht="28.5" customHeight="1">
      <c r="A642" s="259"/>
      <c r="J642" s="175"/>
    </row>
    <row r="643" ht="28.5" customHeight="1">
      <c r="A643" s="259"/>
      <c r="J643" s="175"/>
    </row>
    <row r="644" ht="28.5" customHeight="1">
      <c r="A644" s="259"/>
      <c r="J644" s="175"/>
    </row>
    <row r="645" ht="28.5" customHeight="1">
      <c r="A645" s="259"/>
      <c r="J645" s="175"/>
    </row>
    <row r="646" ht="28.5" customHeight="1">
      <c r="A646" s="259"/>
      <c r="J646" s="175"/>
    </row>
    <row r="647" ht="28.5" customHeight="1">
      <c r="A647" s="259"/>
      <c r="J647" s="175"/>
    </row>
    <row r="648" ht="28.5" customHeight="1">
      <c r="A648" s="259"/>
      <c r="J648" s="175"/>
    </row>
    <row r="649" ht="28.5" customHeight="1">
      <c r="A649" s="259"/>
      <c r="J649" s="175"/>
    </row>
    <row r="650" ht="28.5" customHeight="1">
      <c r="A650" s="259"/>
      <c r="J650" s="175"/>
    </row>
    <row r="651" ht="28.5" customHeight="1">
      <c r="A651" s="259"/>
      <c r="J651" s="175"/>
    </row>
    <row r="652" ht="28.5" customHeight="1">
      <c r="A652" s="259"/>
      <c r="J652" s="175"/>
    </row>
    <row r="653" ht="28.5" customHeight="1">
      <c r="A653" s="259"/>
      <c r="J653" s="175"/>
    </row>
    <row r="654" ht="28.5" customHeight="1">
      <c r="A654" s="259"/>
      <c r="J654" s="175"/>
    </row>
    <row r="655" ht="28.5" customHeight="1">
      <c r="A655" s="259"/>
      <c r="J655" s="175"/>
    </row>
    <row r="656" ht="28.5" customHeight="1">
      <c r="A656" s="259"/>
      <c r="J656" s="175"/>
    </row>
    <row r="657" ht="28.5" customHeight="1">
      <c r="A657" s="259"/>
      <c r="J657" s="175"/>
    </row>
    <row r="658" ht="28.5" customHeight="1">
      <c r="A658" s="259"/>
      <c r="J658" s="175"/>
    </row>
    <row r="659" ht="28.5" customHeight="1">
      <c r="A659" s="259"/>
      <c r="J659" s="175"/>
    </row>
    <row r="660" ht="28.5" customHeight="1">
      <c r="A660" s="259"/>
      <c r="J660" s="175"/>
    </row>
    <row r="661" ht="28.5" customHeight="1">
      <c r="A661" s="259"/>
      <c r="J661" s="175"/>
    </row>
    <row r="662" ht="28.5" customHeight="1">
      <c r="A662" s="259"/>
      <c r="J662" s="175"/>
    </row>
    <row r="663" ht="28.5" customHeight="1">
      <c r="A663" s="259"/>
      <c r="J663" s="175"/>
    </row>
    <row r="664" ht="28.5" customHeight="1">
      <c r="A664" s="259"/>
      <c r="J664" s="175"/>
    </row>
    <row r="665" ht="28.5" customHeight="1">
      <c r="A665" s="259"/>
      <c r="J665" s="175"/>
    </row>
    <row r="666" ht="28.5" customHeight="1">
      <c r="A666" s="259"/>
      <c r="J666" s="175"/>
    </row>
    <row r="667" ht="28.5" customHeight="1">
      <c r="A667" s="259"/>
      <c r="J667" s="175"/>
    </row>
    <row r="668" ht="28.5" customHeight="1">
      <c r="A668" s="259"/>
      <c r="J668" s="175"/>
    </row>
    <row r="669" ht="28.5" customHeight="1">
      <c r="A669" s="259"/>
      <c r="J669" s="175"/>
    </row>
    <row r="670" ht="28.5" customHeight="1">
      <c r="A670" s="259"/>
      <c r="J670" s="175"/>
    </row>
    <row r="671" ht="28.5" customHeight="1">
      <c r="A671" s="259"/>
      <c r="J671" s="175"/>
    </row>
    <row r="672" ht="28.5" customHeight="1">
      <c r="A672" s="259"/>
      <c r="J672" s="175"/>
    </row>
    <row r="673" ht="28.5" customHeight="1">
      <c r="A673" s="259"/>
      <c r="J673" s="175"/>
    </row>
    <row r="674" ht="28.5" customHeight="1">
      <c r="A674" s="259"/>
      <c r="J674" s="175"/>
    </row>
    <row r="675" ht="28.5" customHeight="1">
      <c r="A675" s="259"/>
      <c r="J675" s="175"/>
    </row>
    <row r="676" ht="28.5" customHeight="1">
      <c r="A676" s="259"/>
      <c r="J676" s="175"/>
    </row>
    <row r="677" ht="28.5" customHeight="1">
      <c r="A677" s="259"/>
      <c r="J677" s="175"/>
    </row>
    <row r="678" ht="28.5" customHeight="1">
      <c r="A678" s="259"/>
      <c r="J678" s="175"/>
    </row>
    <row r="679" ht="28.5" customHeight="1">
      <c r="A679" s="259"/>
      <c r="J679" s="175"/>
    </row>
    <row r="680" ht="28.5" customHeight="1">
      <c r="A680" s="259"/>
      <c r="J680" s="175"/>
    </row>
    <row r="681" ht="28.5" customHeight="1">
      <c r="A681" s="259"/>
      <c r="J681" s="175"/>
    </row>
    <row r="682" ht="28.5" customHeight="1">
      <c r="A682" s="259"/>
      <c r="J682" s="175"/>
    </row>
    <row r="683" ht="28.5" customHeight="1">
      <c r="A683" s="259"/>
      <c r="J683" s="175"/>
    </row>
    <row r="684" ht="28.5" customHeight="1">
      <c r="A684" s="259"/>
      <c r="J684" s="175"/>
    </row>
    <row r="685" ht="28.5" customHeight="1">
      <c r="A685" s="259"/>
      <c r="J685" s="175"/>
    </row>
    <row r="686" ht="28.5" customHeight="1">
      <c r="A686" s="259"/>
      <c r="J686" s="175"/>
    </row>
    <row r="687" ht="28.5" customHeight="1">
      <c r="A687" s="259"/>
      <c r="J687" s="175"/>
    </row>
    <row r="688" ht="28.5" customHeight="1">
      <c r="A688" s="259"/>
      <c r="J688" s="175"/>
    </row>
    <row r="689" ht="28.5" customHeight="1">
      <c r="A689" s="259"/>
      <c r="J689" s="175"/>
    </row>
    <row r="690" ht="28.5" customHeight="1">
      <c r="A690" s="259"/>
      <c r="J690" s="175"/>
    </row>
    <row r="691" ht="28.5" customHeight="1">
      <c r="A691" s="259"/>
      <c r="J691" s="175"/>
    </row>
    <row r="692" ht="28.5" customHeight="1">
      <c r="A692" s="259"/>
      <c r="J692" s="175"/>
    </row>
    <row r="693" ht="28.5" customHeight="1">
      <c r="A693" s="259"/>
      <c r="J693" s="175"/>
    </row>
    <row r="694" ht="28.5" customHeight="1">
      <c r="A694" s="259"/>
      <c r="J694" s="175"/>
    </row>
    <row r="695" ht="28.5" customHeight="1">
      <c r="A695" s="259"/>
      <c r="J695" s="175"/>
    </row>
    <row r="696" ht="28.5" customHeight="1">
      <c r="A696" s="259"/>
      <c r="J696" s="175"/>
    </row>
    <row r="697" ht="28.5" customHeight="1">
      <c r="A697" s="259"/>
      <c r="J697" s="175"/>
    </row>
    <row r="698" ht="28.5" customHeight="1">
      <c r="A698" s="259"/>
      <c r="J698" s="175"/>
    </row>
    <row r="699" ht="28.5" customHeight="1">
      <c r="A699" s="259"/>
      <c r="J699" s="175"/>
    </row>
    <row r="700" ht="28.5" customHeight="1">
      <c r="A700" s="259"/>
      <c r="J700" s="175"/>
    </row>
    <row r="701" ht="28.5" customHeight="1">
      <c r="A701" s="259"/>
      <c r="J701" s="175"/>
    </row>
    <row r="702" ht="28.5" customHeight="1">
      <c r="A702" s="259"/>
      <c r="J702" s="175"/>
    </row>
    <row r="703" ht="28.5" customHeight="1">
      <c r="A703" s="259"/>
      <c r="J703" s="175"/>
    </row>
    <row r="704" ht="28.5" customHeight="1">
      <c r="A704" s="259"/>
      <c r="J704" s="175"/>
    </row>
    <row r="705" ht="28.5" customHeight="1">
      <c r="A705" s="259"/>
      <c r="J705" s="175"/>
    </row>
    <row r="706" ht="28.5" customHeight="1">
      <c r="A706" s="259"/>
      <c r="J706" s="175"/>
    </row>
    <row r="707" ht="28.5" customHeight="1">
      <c r="A707" s="259"/>
      <c r="J707" s="175"/>
    </row>
    <row r="708" ht="28.5" customHeight="1">
      <c r="A708" s="259"/>
      <c r="J708" s="175"/>
    </row>
    <row r="709" ht="28.5" customHeight="1">
      <c r="A709" s="259"/>
      <c r="J709" s="175"/>
    </row>
    <row r="710" ht="28.5" customHeight="1">
      <c r="A710" s="259"/>
      <c r="J710" s="175"/>
    </row>
    <row r="711" ht="28.5" customHeight="1">
      <c r="A711" s="259"/>
      <c r="J711" s="175"/>
    </row>
    <row r="712" ht="28.5" customHeight="1">
      <c r="A712" s="259"/>
      <c r="J712" s="175"/>
    </row>
    <row r="713" ht="28.5" customHeight="1">
      <c r="A713" s="259"/>
      <c r="J713" s="175"/>
    </row>
    <row r="714" ht="28.5" customHeight="1">
      <c r="A714" s="259"/>
      <c r="J714" s="175"/>
    </row>
    <row r="715" ht="28.5" customHeight="1">
      <c r="A715" s="259"/>
      <c r="J715" s="175"/>
    </row>
    <row r="716" ht="28.5" customHeight="1">
      <c r="A716" s="259"/>
      <c r="J716" s="175"/>
    </row>
    <row r="717" ht="28.5" customHeight="1">
      <c r="A717" s="259"/>
      <c r="J717" s="175"/>
    </row>
    <row r="718" ht="28.5" customHeight="1">
      <c r="A718" s="259"/>
      <c r="J718" s="175"/>
    </row>
    <row r="719" ht="28.5" customHeight="1">
      <c r="A719" s="259"/>
      <c r="J719" s="175"/>
    </row>
    <row r="720" ht="28.5" customHeight="1">
      <c r="A720" s="259"/>
      <c r="J720" s="175"/>
    </row>
    <row r="721" ht="28.5" customHeight="1">
      <c r="A721" s="259"/>
      <c r="J721" s="175"/>
    </row>
    <row r="722" ht="28.5" customHeight="1">
      <c r="A722" s="259"/>
      <c r="J722" s="175"/>
    </row>
    <row r="723" ht="28.5" customHeight="1">
      <c r="A723" s="259"/>
      <c r="J723" s="175"/>
    </row>
    <row r="724" ht="28.5" customHeight="1">
      <c r="A724" s="259"/>
      <c r="J724" s="175"/>
    </row>
    <row r="725" ht="28.5" customHeight="1">
      <c r="A725" s="259"/>
      <c r="J725" s="175"/>
    </row>
    <row r="726" ht="28.5" customHeight="1">
      <c r="A726" s="259"/>
      <c r="J726" s="175"/>
    </row>
    <row r="727" ht="28.5" customHeight="1">
      <c r="A727" s="259"/>
      <c r="J727" s="175"/>
    </row>
    <row r="728" ht="28.5" customHeight="1">
      <c r="A728" s="259"/>
      <c r="J728" s="175"/>
    </row>
    <row r="729" ht="28.5" customHeight="1">
      <c r="A729" s="259"/>
      <c r="J729" s="175"/>
    </row>
    <row r="730" ht="28.5" customHeight="1">
      <c r="A730" s="259"/>
      <c r="J730" s="175"/>
    </row>
    <row r="731" ht="28.5" customHeight="1">
      <c r="A731" s="259"/>
      <c r="J731" s="175"/>
    </row>
    <row r="732" ht="28.5" customHeight="1">
      <c r="A732" s="259"/>
      <c r="J732" s="175"/>
    </row>
    <row r="733" ht="28.5" customHeight="1">
      <c r="A733" s="259"/>
      <c r="J733" s="175"/>
    </row>
    <row r="734" ht="28.5" customHeight="1">
      <c r="A734" s="259"/>
      <c r="J734" s="175"/>
    </row>
    <row r="735" ht="28.5" customHeight="1">
      <c r="A735" s="259"/>
      <c r="J735" s="175"/>
    </row>
    <row r="736" ht="28.5" customHeight="1">
      <c r="A736" s="259"/>
      <c r="J736" s="175"/>
    </row>
    <row r="737" ht="28.5" customHeight="1">
      <c r="A737" s="259"/>
      <c r="J737" s="175"/>
    </row>
    <row r="738" ht="28.5" customHeight="1">
      <c r="A738" s="259"/>
      <c r="J738" s="175"/>
    </row>
    <row r="739" ht="28.5" customHeight="1">
      <c r="A739" s="259"/>
      <c r="J739" s="175"/>
    </row>
    <row r="740" ht="28.5" customHeight="1">
      <c r="A740" s="259"/>
      <c r="J740" s="175"/>
    </row>
    <row r="741" ht="28.5" customHeight="1">
      <c r="A741" s="259"/>
      <c r="J741" s="175"/>
    </row>
    <row r="742" ht="28.5" customHeight="1">
      <c r="A742" s="259"/>
      <c r="J742" s="175"/>
    </row>
    <row r="743" ht="28.5" customHeight="1">
      <c r="A743" s="259"/>
      <c r="J743" s="175"/>
    </row>
    <row r="744" ht="28.5" customHeight="1">
      <c r="A744" s="259"/>
      <c r="J744" s="175"/>
    </row>
    <row r="745" ht="28.5" customHeight="1">
      <c r="A745" s="259"/>
      <c r="J745" s="175"/>
    </row>
    <row r="746" ht="28.5" customHeight="1">
      <c r="A746" s="259"/>
      <c r="J746" s="175"/>
    </row>
    <row r="747" ht="28.5" customHeight="1">
      <c r="A747" s="259"/>
      <c r="J747" s="175"/>
    </row>
    <row r="748" ht="28.5" customHeight="1">
      <c r="A748" s="259"/>
      <c r="J748" s="175"/>
    </row>
    <row r="749" ht="28.5" customHeight="1">
      <c r="A749" s="259"/>
      <c r="J749" s="175"/>
    </row>
    <row r="750" ht="28.5" customHeight="1">
      <c r="A750" s="259"/>
      <c r="J750" s="175"/>
    </row>
    <row r="751" ht="28.5" customHeight="1">
      <c r="A751" s="259"/>
      <c r="J751" s="175"/>
    </row>
    <row r="752" ht="28.5" customHeight="1">
      <c r="A752" s="259"/>
      <c r="J752" s="175"/>
    </row>
    <row r="753" ht="28.5" customHeight="1">
      <c r="A753" s="259"/>
      <c r="J753" s="175"/>
    </row>
    <row r="754" ht="28.5" customHeight="1">
      <c r="A754" s="259"/>
      <c r="J754" s="175"/>
    </row>
    <row r="755" ht="28.5" customHeight="1">
      <c r="A755" s="259"/>
      <c r="J755" s="175"/>
    </row>
    <row r="756" ht="28.5" customHeight="1">
      <c r="A756" s="259"/>
      <c r="J756" s="175"/>
    </row>
    <row r="757" ht="28.5" customHeight="1">
      <c r="A757" s="259"/>
      <c r="J757" s="175"/>
    </row>
    <row r="758" ht="28.5" customHeight="1">
      <c r="A758" s="259"/>
      <c r="J758" s="175"/>
    </row>
    <row r="759" ht="28.5" customHeight="1">
      <c r="A759" s="259"/>
      <c r="J759" s="175"/>
    </row>
    <row r="760" ht="28.5" customHeight="1">
      <c r="A760" s="259"/>
      <c r="J760" s="175"/>
    </row>
    <row r="761" ht="28.5" customHeight="1">
      <c r="A761" s="259"/>
      <c r="J761" s="175"/>
    </row>
    <row r="762" ht="28.5" customHeight="1">
      <c r="A762" s="259"/>
      <c r="J762" s="175"/>
    </row>
    <row r="763" ht="28.5" customHeight="1">
      <c r="A763" s="259"/>
      <c r="J763" s="175"/>
    </row>
    <row r="764" ht="28.5" customHeight="1">
      <c r="A764" s="259"/>
      <c r="J764" s="175"/>
    </row>
    <row r="765" ht="28.5" customHeight="1">
      <c r="A765" s="259"/>
      <c r="J765" s="175"/>
    </row>
    <row r="766" ht="28.5" customHeight="1">
      <c r="A766" s="259"/>
      <c r="J766" s="175"/>
    </row>
    <row r="767" ht="28.5" customHeight="1">
      <c r="A767" s="259"/>
      <c r="J767" s="175"/>
    </row>
    <row r="768" ht="28.5" customHeight="1">
      <c r="A768" s="259"/>
      <c r="J768" s="175"/>
    </row>
    <row r="769" ht="28.5" customHeight="1">
      <c r="A769" s="259"/>
      <c r="J769" s="175"/>
    </row>
    <row r="770" ht="28.5" customHeight="1">
      <c r="A770" s="259"/>
      <c r="J770" s="175"/>
    </row>
    <row r="771" ht="28.5" customHeight="1">
      <c r="A771" s="259"/>
      <c r="J771" s="175"/>
    </row>
    <row r="772" ht="28.5" customHeight="1">
      <c r="A772" s="259"/>
      <c r="J772" s="175"/>
    </row>
    <row r="773" ht="28.5" customHeight="1">
      <c r="A773" s="259"/>
      <c r="J773" s="175"/>
    </row>
    <row r="774" ht="28.5" customHeight="1">
      <c r="A774" s="259"/>
      <c r="J774" s="175"/>
    </row>
    <row r="775" ht="28.5" customHeight="1">
      <c r="A775" s="259"/>
      <c r="J775" s="175"/>
    </row>
    <row r="776" ht="28.5" customHeight="1">
      <c r="A776" s="259"/>
      <c r="J776" s="175"/>
    </row>
    <row r="777" ht="28.5" customHeight="1">
      <c r="A777" s="259"/>
      <c r="J777" s="175"/>
    </row>
    <row r="778" ht="28.5" customHeight="1">
      <c r="A778" s="259"/>
      <c r="J778" s="175"/>
    </row>
    <row r="779" ht="28.5" customHeight="1">
      <c r="A779" s="259"/>
      <c r="J779" s="175"/>
    </row>
    <row r="780" ht="28.5" customHeight="1">
      <c r="A780" s="259"/>
      <c r="J780" s="175"/>
    </row>
    <row r="781" ht="28.5" customHeight="1">
      <c r="A781" s="259"/>
      <c r="J781" s="175"/>
    </row>
    <row r="782" ht="28.5" customHeight="1">
      <c r="A782" s="259"/>
      <c r="J782" s="175"/>
    </row>
    <row r="783" ht="28.5" customHeight="1">
      <c r="A783" s="259"/>
      <c r="J783" s="175"/>
    </row>
    <row r="784" ht="28.5" customHeight="1">
      <c r="A784" s="259"/>
      <c r="J784" s="175"/>
    </row>
    <row r="785" ht="28.5" customHeight="1">
      <c r="A785" s="259"/>
      <c r="J785" s="175"/>
    </row>
    <row r="786" ht="28.5" customHeight="1">
      <c r="A786" s="259"/>
      <c r="J786" s="175"/>
    </row>
    <row r="787" ht="28.5" customHeight="1">
      <c r="A787" s="259"/>
      <c r="J787" s="175"/>
    </row>
    <row r="788" ht="28.5" customHeight="1">
      <c r="A788" s="259"/>
      <c r="J788" s="175"/>
    </row>
    <row r="789" ht="28.5" customHeight="1">
      <c r="A789" s="259"/>
      <c r="J789" s="175"/>
    </row>
    <row r="790" ht="28.5" customHeight="1">
      <c r="A790" s="259"/>
      <c r="J790" s="175"/>
    </row>
    <row r="791" ht="28.5" customHeight="1">
      <c r="A791" s="259"/>
      <c r="J791" s="175"/>
    </row>
    <row r="792" ht="28.5" customHeight="1">
      <c r="A792" s="259"/>
      <c r="J792" s="175"/>
    </row>
    <row r="793" ht="28.5" customHeight="1">
      <c r="A793" s="259"/>
      <c r="J793" s="175"/>
    </row>
    <row r="794" ht="28.5" customHeight="1">
      <c r="A794" s="259"/>
      <c r="J794" s="175"/>
    </row>
    <row r="795" ht="28.5" customHeight="1">
      <c r="A795" s="259"/>
      <c r="J795" s="175"/>
    </row>
    <row r="796" ht="28.5" customHeight="1">
      <c r="A796" s="259"/>
      <c r="J796" s="175"/>
    </row>
    <row r="797" ht="28.5" customHeight="1">
      <c r="A797" s="259"/>
      <c r="J797" s="175"/>
    </row>
    <row r="798" ht="28.5" customHeight="1">
      <c r="A798" s="259"/>
      <c r="J798" s="175"/>
    </row>
    <row r="799" ht="28.5" customHeight="1">
      <c r="A799" s="259"/>
      <c r="J799" s="175"/>
    </row>
    <row r="800" ht="28.5" customHeight="1">
      <c r="A800" s="259"/>
      <c r="J800" s="175"/>
    </row>
    <row r="801" ht="28.5" customHeight="1">
      <c r="A801" s="259"/>
      <c r="J801" s="175"/>
    </row>
    <row r="802" ht="28.5" customHeight="1">
      <c r="A802" s="259"/>
      <c r="J802" s="175"/>
    </row>
    <row r="803" ht="28.5" customHeight="1">
      <c r="A803" s="259"/>
      <c r="J803" s="175"/>
    </row>
    <row r="804" ht="28.5" customHeight="1">
      <c r="A804" s="259"/>
      <c r="J804" s="175"/>
    </row>
    <row r="805" ht="28.5" customHeight="1">
      <c r="A805" s="259"/>
      <c r="J805" s="175"/>
    </row>
    <row r="806" ht="28.5" customHeight="1">
      <c r="A806" s="259"/>
      <c r="J806" s="175"/>
    </row>
    <row r="807" ht="28.5" customHeight="1">
      <c r="A807" s="259"/>
      <c r="J807" s="175"/>
    </row>
    <row r="808" ht="28.5" customHeight="1">
      <c r="A808" s="259"/>
      <c r="J808" s="175"/>
    </row>
    <row r="809" ht="28.5" customHeight="1">
      <c r="A809" s="259"/>
      <c r="J809" s="175"/>
    </row>
    <row r="810" ht="28.5" customHeight="1">
      <c r="A810" s="259"/>
      <c r="J810" s="175"/>
    </row>
    <row r="811" ht="28.5" customHeight="1">
      <c r="A811" s="259"/>
      <c r="J811" s="175"/>
    </row>
    <row r="812" ht="28.5" customHeight="1">
      <c r="A812" s="259"/>
      <c r="J812" s="175"/>
    </row>
    <row r="813" ht="28.5" customHeight="1">
      <c r="A813" s="259"/>
      <c r="J813" s="175"/>
    </row>
    <row r="814" ht="28.5" customHeight="1">
      <c r="A814" s="259"/>
      <c r="J814" s="175"/>
    </row>
    <row r="815" ht="28.5" customHeight="1">
      <c r="A815" s="259"/>
      <c r="J815" s="175"/>
    </row>
    <row r="816" ht="28.5" customHeight="1">
      <c r="A816" s="259"/>
      <c r="J816" s="175"/>
    </row>
    <row r="817" ht="28.5" customHeight="1">
      <c r="A817" s="259"/>
      <c r="J817" s="175"/>
    </row>
    <row r="818" ht="28.5" customHeight="1">
      <c r="A818" s="259"/>
      <c r="J818" s="175"/>
    </row>
    <row r="819" ht="28.5" customHeight="1">
      <c r="A819" s="259"/>
      <c r="J819" s="175"/>
    </row>
    <row r="820" ht="28.5" customHeight="1">
      <c r="A820" s="259"/>
      <c r="J820" s="175"/>
    </row>
    <row r="821" ht="28.5" customHeight="1">
      <c r="A821" s="259"/>
      <c r="J821" s="175"/>
    </row>
    <row r="822" ht="28.5" customHeight="1">
      <c r="A822" s="259"/>
      <c r="J822" s="175"/>
    </row>
    <row r="823" ht="28.5" customHeight="1">
      <c r="A823" s="259"/>
      <c r="J823" s="175"/>
    </row>
    <row r="824" ht="28.5" customHeight="1">
      <c r="A824" s="259"/>
      <c r="J824" s="175"/>
    </row>
    <row r="825" ht="28.5" customHeight="1">
      <c r="A825" s="259"/>
      <c r="J825" s="175"/>
    </row>
    <row r="826" ht="28.5" customHeight="1">
      <c r="A826" s="259"/>
      <c r="J826" s="175"/>
    </row>
    <row r="827" ht="28.5" customHeight="1">
      <c r="A827" s="259"/>
      <c r="J827" s="175"/>
    </row>
    <row r="828" ht="28.5" customHeight="1">
      <c r="A828" s="259"/>
      <c r="J828" s="175"/>
    </row>
    <row r="829" ht="28.5" customHeight="1">
      <c r="A829" s="259"/>
      <c r="J829" s="175"/>
    </row>
    <row r="830" ht="28.5" customHeight="1">
      <c r="A830" s="259"/>
      <c r="J830" s="175"/>
    </row>
    <row r="831" ht="28.5" customHeight="1">
      <c r="A831" s="259"/>
      <c r="J831" s="175"/>
    </row>
    <row r="832" ht="28.5" customHeight="1">
      <c r="A832" s="259"/>
      <c r="J832" s="175"/>
    </row>
    <row r="833" ht="28.5" customHeight="1">
      <c r="A833" s="259"/>
      <c r="J833" s="175"/>
    </row>
    <row r="834" ht="28.5" customHeight="1">
      <c r="A834" s="259"/>
      <c r="J834" s="175"/>
    </row>
    <row r="835" ht="28.5" customHeight="1">
      <c r="A835" s="259"/>
      <c r="J835" s="175"/>
    </row>
    <row r="836" ht="28.5" customHeight="1">
      <c r="A836" s="259"/>
      <c r="J836" s="175"/>
    </row>
    <row r="837" ht="28.5" customHeight="1">
      <c r="A837" s="259"/>
      <c r="J837" s="175"/>
    </row>
    <row r="838" ht="28.5" customHeight="1">
      <c r="A838" s="259"/>
      <c r="J838" s="175"/>
    </row>
    <row r="839" ht="28.5" customHeight="1">
      <c r="A839" s="259"/>
      <c r="J839" s="175"/>
    </row>
    <row r="840" ht="28.5" customHeight="1">
      <c r="A840" s="259"/>
      <c r="J840" s="175"/>
    </row>
    <row r="841" ht="28.5" customHeight="1">
      <c r="A841" s="259"/>
      <c r="J841" s="175"/>
    </row>
    <row r="842" ht="28.5" customHeight="1">
      <c r="A842" s="259"/>
      <c r="J842" s="175"/>
    </row>
    <row r="843" ht="28.5" customHeight="1">
      <c r="A843" s="259"/>
      <c r="J843" s="175"/>
    </row>
    <row r="844" ht="28.5" customHeight="1">
      <c r="A844" s="259"/>
      <c r="J844" s="175"/>
    </row>
    <row r="845" ht="28.5" customHeight="1">
      <c r="A845" s="259"/>
      <c r="J845" s="175"/>
    </row>
    <row r="846" ht="28.5" customHeight="1">
      <c r="A846" s="259"/>
      <c r="J846" s="175"/>
    </row>
    <row r="847" ht="28.5" customHeight="1">
      <c r="A847" s="259"/>
      <c r="J847" s="175"/>
    </row>
    <row r="848" ht="28.5" customHeight="1">
      <c r="A848" s="259"/>
      <c r="J848" s="175"/>
    </row>
    <row r="849" ht="28.5" customHeight="1">
      <c r="A849" s="259"/>
      <c r="J849" s="175"/>
    </row>
    <row r="850" ht="28.5" customHeight="1">
      <c r="A850" s="259"/>
      <c r="J850" s="175"/>
    </row>
    <row r="851" ht="28.5" customHeight="1">
      <c r="A851" s="259"/>
      <c r="J851" s="175"/>
    </row>
    <row r="852" ht="28.5" customHeight="1">
      <c r="A852" s="259"/>
      <c r="J852" s="175"/>
    </row>
    <row r="853" ht="28.5" customHeight="1">
      <c r="A853" s="259"/>
      <c r="J853" s="175"/>
    </row>
    <row r="854" ht="28.5" customHeight="1">
      <c r="A854" s="259"/>
      <c r="J854" s="175"/>
    </row>
    <row r="855" ht="28.5" customHeight="1">
      <c r="A855" s="259"/>
      <c r="J855" s="175"/>
    </row>
    <row r="856" ht="28.5" customHeight="1">
      <c r="A856" s="259"/>
      <c r="J856" s="175"/>
    </row>
    <row r="857" ht="28.5" customHeight="1">
      <c r="A857" s="259"/>
      <c r="J857" s="175"/>
    </row>
    <row r="858" ht="28.5" customHeight="1">
      <c r="A858" s="259"/>
      <c r="J858" s="175"/>
    </row>
    <row r="859" ht="28.5" customHeight="1">
      <c r="A859" s="259"/>
      <c r="J859" s="175"/>
    </row>
    <row r="860" ht="28.5" customHeight="1">
      <c r="A860" s="259"/>
      <c r="J860" s="175"/>
    </row>
    <row r="861" ht="28.5" customHeight="1">
      <c r="A861" s="259"/>
      <c r="J861" s="175"/>
    </row>
    <row r="862" ht="28.5" customHeight="1">
      <c r="A862" s="259"/>
      <c r="J862" s="175"/>
    </row>
    <row r="863" ht="28.5" customHeight="1">
      <c r="A863" s="259"/>
      <c r="J863" s="175"/>
    </row>
    <row r="864" ht="28.5" customHeight="1">
      <c r="A864" s="259"/>
      <c r="J864" s="175"/>
    </row>
    <row r="865" ht="28.5" customHeight="1">
      <c r="A865" s="259"/>
      <c r="J865" s="175"/>
    </row>
    <row r="866" ht="28.5" customHeight="1">
      <c r="A866" s="259"/>
      <c r="J866" s="175"/>
    </row>
    <row r="867" ht="28.5" customHeight="1">
      <c r="A867" s="259"/>
      <c r="J867" s="175"/>
    </row>
    <row r="868" ht="28.5" customHeight="1">
      <c r="A868" s="259"/>
      <c r="J868" s="175"/>
    </row>
    <row r="869" ht="28.5" customHeight="1">
      <c r="A869" s="259"/>
      <c r="J869" s="175"/>
    </row>
    <row r="870" ht="28.5" customHeight="1">
      <c r="A870" s="259"/>
      <c r="J870" s="175"/>
    </row>
    <row r="871" ht="28.5" customHeight="1">
      <c r="A871" s="259"/>
      <c r="J871" s="175"/>
    </row>
    <row r="872" ht="28.5" customHeight="1">
      <c r="A872" s="259"/>
      <c r="J872" s="175"/>
    </row>
    <row r="873" ht="28.5" customHeight="1">
      <c r="A873" s="259"/>
      <c r="J873" s="175"/>
    </row>
    <row r="874" ht="28.5" customHeight="1">
      <c r="A874" s="259"/>
      <c r="J874" s="175"/>
    </row>
    <row r="875" ht="28.5" customHeight="1">
      <c r="A875" s="259"/>
      <c r="J875" s="175"/>
    </row>
    <row r="876" ht="28.5" customHeight="1">
      <c r="A876" s="259"/>
      <c r="J876" s="175"/>
    </row>
    <row r="877" ht="28.5" customHeight="1">
      <c r="A877" s="259"/>
      <c r="J877" s="175"/>
    </row>
    <row r="878" ht="28.5" customHeight="1">
      <c r="A878" s="259"/>
      <c r="J878" s="175"/>
    </row>
    <row r="879" ht="28.5" customHeight="1">
      <c r="A879" s="259"/>
      <c r="J879" s="175"/>
    </row>
    <row r="880" ht="28.5" customHeight="1">
      <c r="A880" s="259"/>
      <c r="J880" s="175"/>
    </row>
    <row r="881" ht="28.5" customHeight="1">
      <c r="A881" s="259"/>
      <c r="J881" s="175"/>
    </row>
    <row r="882" ht="28.5" customHeight="1">
      <c r="A882" s="259"/>
      <c r="J882" s="175"/>
    </row>
    <row r="883" ht="28.5" customHeight="1">
      <c r="A883" s="259"/>
      <c r="J883" s="175"/>
    </row>
    <row r="884" ht="28.5" customHeight="1">
      <c r="A884" s="259"/>
      <c r="J884" s="175"/>
    </row>
    <row r="885" ht="28.5" customHeight="1">
      <c r="A885" s="259"/>
      <c r="J885" s="175"/>
    </row>
    <row r="886" ht="28.5" customHeight="1">
      <c r="A886" s="259"/>
      <c r="J886" s="175"/>
    </row>
    <row r="887" ht="28.5" customHeight="1">
      <c r="A887" s="259"/>
      <c r="J887" s="175"/>
    </row>
    <row r="888" ht="28.5" customHeight="1">
      <c r="A888" s="259"/>
      <c r="J888" s="175"/>
    </row>
    <row r="889" ht="28.5" customHeight="1">
      <c r="A889" s="259"/>
      <c r="J889" s="175"/>
    </row>
    <row r="890" ht="28.5" customHeight="1">
      <c r="A890" s="259"/>
      <c r="J890" s="175"/>
    </row>
    <row r="891" ht="28.5" customHeight="1">
      <c r="A891" s="259"/>
      <c r="J891" s="175"/>
    </row>
    <row r="892" ht="28.5" customHeight="1">
      <c r="A892" s="259"/>
      <c r="J892" s="175"/>
    </row>
    <row r="893" ht="28.5" customHeight="1">
      <c r="A893" s="259"/>
      <c r="J893" s="175"/>
    </row>
    <row r="894" ht="28.5" customHeight="1">
      <c r="A894" s="259"/>
      <c r="J894" s="175"/>
    </row>
    <row r="895" ht="28.5" customHeight="1">
      <c r="A895" s="259"/>
      <c r="J895" s="175"/>
    </row>
    <row r="896" ht="28.5" customHeight="1">
      <c r="A896" s="259"/>
      <c r="J896" s="175"/>
    </row>
    <row r="897" ht="28.5" customHeight="1">
      <c r="A897" s="259"/>
      <c r="J897" s="175"/>
    </row>
    <row r="898" ht="28.5" customHeight="1">
      <c r="A898" s="259"/>
      <c r="J898" s="175"/>
    </row>
    <row r="899" ht="28.5" customHeight="1">
      <c r="A899" s="259"/>
      <c r="J899" s="175"/>
    </row>
    <row r="900" ht="28.5" customHeight="1">
      <c r="A900" s="259"/>
      <c r="J900" s="175"/>
    </row>
    <row r="901" ht="28.5" customHeight="1">
      <c r="A901" s="259"/>
      <c r="J901" s="175"/>
    </row>
    <row r="902" ht="28.5" customHeight="1">
      <c r="A902" s="259"/>
      <c r="J902" s="175"/>
    </row>
    <row r="903" ht="28.5" customHeight="1">
      <c r="A903" s="259"/>
      <c r="J903" s="175"/>
    </row>
    <row r="904" ht="28.5" customHeight="1">
      <c r="A904" s="259"/>
      <c r="J904" s="175"/>
    </row>
    <row r="905" ht="28.5" customHeight="1">
      <c r="A905" s="259"/>
      <c r="J905" s="175"/>
    </row>
    <row r="906" ht="28.5" customHeight="1">
      <c r="A906" s="259"/>
      <c r="J906" s="175"/>
    </row>
    <row r="907" ht="28.5" customHeight="1">
      <c r="A907" s="259"/>
      <c r="J907" s="175"/>
    </row>
    <row r="908" ht="28.5" customHeight="1">
      <c r="A908" s="259"/>
      <c r="J908" s="175"/>
    </row>
    <row r="909" ht="28.5" customHeight="1">
      <c r="A909" s="259"/>
      <c r="J909" s="175"/>
    </row>
    <row r="910" ht="28.5" customHeight="1">
      <c r="A910" s="259"/>
      <c r="J910" s="175"/>
    </row>
    <row r="911" ht="28.5" customHeight="1">
      <c r="A911" s="259"/>
      <c r="J911" s="175"/>
    </row>
    <row r="912" ht="28.5" customHeight="1">
      <c r="A912" s="259"/>
      <c r="J912" s="175"/>
    </row>
    <row r="913" ht="28.5" customHeight="1">
      <c r="A913" s="259"/>
      <c r="J913" s="175"/>
    </row>
    <row r="914" ht="28.5" customHeight="1">
      <c r="A914" s="259"/>
      <c r="J914" s="175"/>
    </row>
    <row r="915" ht="28.5" customHeight="1">
      <c r="A915" s="259"/>
      <c r="J915" s="175"/>
    </row>
    <row r="916" ht="28.5" customHeight="1">
      <c r="A916" s="259"/>
      <c r="J916" s="175"/>
    </row>
    <row r="917" ht="28.5" customHeight="1">
      <c r="A917" s="259"/>
      <c r="J917" s="175"/>
    </row>
    <row r="918" ht="28.5" customHeight="1">
      <c r="A918" s="259"/>
      <c r="J918" s="175"/>
    </row>
    <row r="919" ht="28.5" customHeight="1">
      <c r="A919" s="259"/>
      <c r="J919" s="175"/>
    </row>
    <row r="920" ht="28.5" customHeight="1">
      <c r="A920" s="259"/>
      <c r="J920" s="175"/>
    </row>
    <row r="921" ht="28.5" customHeight="1">
      <c r="A921" s="259"/>
      <c r="J921" s="175"/>
    </row>
    <row r="922" ht="28.5" customHeight="1">
      <c r="A922" s="259"/>
      <c r="J922" s="175"/>
    </row>
    <row r="923" ht="28.5" customHeight="1">
      <c r="A923" s="259"/>
      <c r="J923" s="175"/>
    </row>
    <row r="924" ht="28.5" customHeight="1">
      <c r="A924" s="259"/>
      <c r="J924" s="175"/>
    </row>
    <row r="925" ht="28.5" customHeight="1">
      <c r="A925" s="259"/>
      <c r="J925" s="175"/>
    </row>
    <row r="926" ht="28.5" customHeight="1">
      <c r="A926" s="259"/>
      <c r="J926" s="175"/>
    </row>
    <row r="927" ht="28.5" customHeight="1">
      <c r="A927" s="259"/>
      <c r="J927" s="175"/>
    </row>
    <row r="928" ht="28.5" customHeight="1">
      <c r="A928" s="259"/>
      <c r="J928" s="175"/>
    </row>
    <row r="929" ht="28.5" customHeight="1">
      <c r="A929" s="259"/>
      <c r="J929" s="175"/>
    </row>
    <row r="930" ht="28.5" customHeight="1">
      <c r="A930" s="259"/>
      <c r="J930" s="175"/>
    </row>
    <row r="931" ht="28.5" customHeight="1">
      <c r="A931" s="259"/>
      <c r="J931" s="175"/>
    </row>
    <row r="932" ht="28.5" customHeight="1">
      <c r="A932" s="259"/>
      <c r="J932" s="175"/>
    </row>
    <row r="933" ht="28.5" customHeight="1">
      <c r="A933" s="259"/>
      <c r="J933" s="175"/>
    </row>
    <row r="934" ht="28.5" customHeight="1">
      <c r="A934" s="259"/>
      <c r="J934" s="175"/>
    </row>
    <row r="935" ht="28.5" customHeight="1">
      <c r="A935" s="259"/>
      <c r="J935" s="175"/>
    </row>
    <row r="936" ht="28.5" customHeight="1">
      <c r="A936" s="259"/>
      <c r="J936" s="175"/>
    </row>
    <row r="937" ht="28.5" customHeight="1">
      <c r="A937" s="259"/>
      <c r="J937" s="175"/>
    </row>
    <row r="938" ht="28.5" customHeight="1">
      <c r="A938" s="259"/>
      <c r="J938" s="175"/>
    </row>
    <row r="939" ht="28.5" customHeight="1">
      <c r="A939" s="259"/>
      <c r="J939" s="175"/>
    </row>
    <row r="940" ht="28.5" customHeight="1">
      <c r="A940" s="259"/>
      <c r="J940" s="175"/>
    </row>
    <row r="941" ht="28.5" customHeight="1">
      <c r="A941" s="259"/>
      <c r="J941" s="175"/>
    </row>
    <row r="942" ht="28.5" customHeight="1">
      <c r="A942" s="259"/>
      <c r="J942" s="175"/>
    </row>
    <row r="943" ht="28.5" customHeight="1">
      <c r="A943" s="259"/>
      <c r="J943" s="175"/>
    </row>
    <row r="944" ht="28.5" customHeight="1">
      <c r="A944" s="259"/>
      <c r="J944" s="175"/>
    </row>
    <row r="945" ht="28.5" customHeight="1">
      <c r="A945" s="259"/>
      <c r="J945" s="175"/>
    </row>
    <row r="946" ht="28.5" customHeight="1">
      <c r="A946" s="259"/>
      <c r="J946" s="175"/>
    </row>
    <row r="947" ht="28.5" customHeight="1">
      <c r="A947" s="259"/>
      <c r="J947" s="175"/>
    </row>
    <row r="948" ht="28.5" customHeight="1">
      <c r="A948" s="259"/>
      <c r="J948" s="175"/>
    </row>
    <row r="949" ht="28.5" customHeight="1">
      <c r="A949" s="259"/>
      <c r="J949" s="175"/>
    </row>
    <row r="950" ht="28.5" customHeight="1">
      <c r="A950" s="259"/>
      <c r="J950" s="175"/>
    </row>
    <row r="951" ht="28.5" customHeight="1">
      <c r="A951" s="259"/>
      <c r="J951" s="175"/>
    </row>
    <row r="952" ht="28.5" customHeight="1">
      <c r="A952" s="259"/>
      <c r="J952" s="175"/>
    </row>
    <row r="953" ht="28.5" customHeight="1">
      <c r="A953" s="259"/>
      <c r="J953" s="175"/>
    </row>
    <row r="954" ht="28.5" customHeight="1">
      <c r="A954" s="259"/>
      <c r="J954" s="175"/>
    </row>
    <row r="955" ht="28.5" customHeight="1">
      <c r="A955" s="259"/>
      <c r="J955" s="175"/>
    </row>
    <row r="956" ht="28.5" customHeight="1">
      <c r="A956" s="259"/>
      <c r="J956" s="175"/>
    </row>
    <row r="957" ht="28.5" customHeight="1">
      <c r="A957" s="259"/>
      <c r="J957" s="175"/>
    </row>
    <row r="958" ht="28.5" customHeight="1">
      <c r="A958" s="259"/>
      <c r="J958" s="175"/>
    </row>
    <row r="959" ht="28.5" customHeight="1">
      <c r="A959" s="259"/>
      <c r="J959" s="175"/>
    </row>
    <row r="960" ht="28.5" customHeight="1">
      <c r="A960" s="259"/>
      <c r="J960" s="175"/>
    </row>
    <row r="961" ht="28.5" customHeight="1">
      <c r="A961" s="259"/>
      <c r="J961" s="175"/>
    </row>
    <row r="962" ht="28.5" customHeight="1">
      <c r="A962" s="259"/>
      <c r="J962" s="175"/>
    </row>
    <row r="963" ht="28.5" customHeight="1">
      <c r="A963" s="259"/>
      <c r="J963" s="175"/>
    </row>
    <row r="964" ht="28.5" customHeight="1">
      <c r="A964" s="259"/>
      <c r="J964" s="175"/>
    </row>
    <row r="965" ht="28.5" customHeight="1">
      <c r="A965" s="259"/>
      <c r="J965" s="175"/>
    </row>
    <row r="966" ht="28.5" customHeight="1">
      <c r="A966" s="259"/>
      <c r="J966" s="175"/>
    </row>
    <row r="967" ht="28.5" customHeight="1">
      <c r="A967" s="259"/>
      <c r="J967" s="175"/>
    </row>
    <row r="968" ht="28.5" customHeight="1">
      <c r="A968" s="259"/>
      <c r="J968" s="175"/>
    </row>
    <row r="969" ht="28.5" customHeight="1">
      <c r="A969" s="259"/>
      <c r="J969" s="175"/>
    </row>
    <row r="970" ht="28.5" customHeight="1">
      <c r="A970" s="259"/>
      <c r="J970" s="175"/>
    </row>
    <row r="971" ht="28.5" customHeight="1">
      <c r="A971" s="259"/>
      <c r="J971" s="175"/>
    </row>
    <row r="972" ht="28.5" customHeight="1">
      <c r="A972" s="259"/>
      <c r="J972" s="175"/>
    </row>
    <row r="973" ht="28.5" customHeight="1">
      <c r="A973" s="259"/>
      <c r="J973" s="175"/>
    </row>
    <row r="974" ht="28.5" customHeight="1">
      <c r="A974" s="259"/>
      <c r="J974" s="175"/>
    </row>
    <row r="975" ht="28.5" customHeight="1">
      <c r="A975" s="259"/>
      <c r="J975" s="175"/>
    </row>
    <row r="976" ht="28.5" customHeight="1">
      <c r="A976" s="259"/>
      <c r="J976" s="175"/>
    </row>
    <row r="977" ht="28.5" customHeight="1">
      <c r="A977" s="259"/>
      <c r="J977" s="175"/>
    </row>
    <row r="978" ht="28.5" customHeight="1">
      <c r="A978" s="259"/>
      <c r="J978" s="175"/>
    </row>
    <row r="979" ht="28.5" customHeight="1">
      <c r="A979" s="259"/>
      <c r="J979" s="175"/>
    </row>
    <row r="980" ht="28.5" customHeight="1">
      <c r="A980" s="259"/>
      <c r="J980" s="175"/>
    </row>
    <row r="981" ht="28.5" customHeight="1">
      <c r="A981" s="259"/>
      <c r="J981" s="175"/>
    </row>
    <row r="982" ht="28.5" customHeight="1">
      <c r="A982" s="259"/>
      <c r="J982" s="175"/>
    </row>
    <row r="983" ht="28.5" customHeight="1">
      <c r="A983" s="259"/>
      <c r="J983" s="175"/>
    </row>
    <row r="984" ht="28.5" customHeight="1">
      <c r="A984" s="259"/>
      <c r="J984" s="175"/>
    </row>
    <row r="985" ht="28.5" customHeight="1">
      <c r="A985" s="259"/>
      <c r="J985" s="175"/>
    </row>
    <row r="986" ht="28.5" customHeight="1">
      <c r="A986" s="259"/>
      <c r="J986" s="175"/>
    </row>
    <row r="987" ht="28.5" customHeight="1">
      <c r="A987" s="259"/>
      <c r="J987" s="175"/>
    </row>
    <row r="988" ht="28.5" customHeight="1">
      <c r="A988" s="259"/>
      <c r="J988" s="175"/>
    </row>
    <row r="989" ht="28.5" customHeight="1">
      <c r="A989" s="259"/>
      <c r="J989" s="175"/>
    </row>
    <row r="990" ht="28.5" customHeight="1">
      <c r="A990" s="259"/>
      <c r="J990" s="175"/>
    </row>
    <row r="991" ht="28.5" customHeight="1">
      <c r="A991" s="259"/>
      <c r="J991" s="175"/>
    </row>
    <row r="992" ht="28.5" customHeight="1">
      <c r="A992" s="259"/>
      <c r="J992" s="175"/>
    </row>
    <row r="993" ht="28.5" customHeight="1">
      <c r="A993" s="259"/>
      <c r="J993" s="175"/>
    </row>
    <row r="994" ht="28.5" customHeight="1">
      <c r="A994" s="259"/>
      <c r="J994" s="175"/>
    </row>
    <row r="995" ht="28.5" customHeight="1">
      <c r="A995" s="259"/>
      <c r="J995" s="175"/>
    </row>
    <row r="996" ht="28.5" customHeight="1">
      <c r="A996" s="259"/>
      <c r="J996" s="175"/>
    </row>
    <row r="997" ht="28.5" customHeight="1">
      <c r="A997" s="259"/>
      <c r="J997" s="175"/>
    </row>
    <row r="998" ht="28.5" customHeight="1">
      <c r="A998" s="259"/>
      <c r="J998" s="175"/>
    </row>
    <row r="999" ht="28.5" customHeight="1">
      <c r="A999" s="259"/>
      <c r="J999" s="175"/>
    </row>
    <row r="1000" ht="28.5" customHeight="1">
      <c r="A1000" s="259"/>
      <c r="J1000" s="175"/>
    </row>
    <row r="1001" ht="28.5" customHeight="1">
      <c r="A1001" s="259"/>
      <c r="J1001" s="175"/>
    </row>
    <row r="1002" ht="28.5" customHeight="1">
      <c r="A1002" s="259"/>
      <c r="J1002" s="175"/>
    </row>
    <row r="1003" ht="28.5" customHeight="1">
      <c r="A1003" s="259"/>
      <c r="J1003" s="175"/>
    </row>
    <row r="1004" ht="28.5" customHeight="1">
      <c r="A1004" s="259"/>
      <c r="J1004" s="175"/>
    </row>
    <row r="1005" ht="28.5" customHeight="1">
      <c r="A1005" s="259"/>
      <c r="J1005" s="175"/>
    </row>
  </sheetData>
  <hyperlinks>
    <hyperlink r:id="rId1" ref="J4"/>
    <hyperlink r:id="rId2" ref="J5"/>
    <hyperlink r:id="rId3" ref="J6"/>
    <hyperlink r:id="rId4" ref="J10"/>
    <hyperlink r:id="rId5" ref="J12"/>
    <hyperlink r:id="rId6" ref="J15"/>
    <hyperlink r:id="rId7" ref="J16"/>
    <hyperlink r:id="rId8" ref="J17"/>
    <hyperlink r:id="rId9" ref="J19"/>
    <hyperlink r:id="rId10" ref="J20"/>
    <hyperlink r:id="rId11" ref="J21"/>
    <hyperlink r:id="rId12" ref="J22"/>
    <hyperlink r:id="rId13" ref="J23"/>
    <hyperlink r:id="rId14" ref="J24"/>
    <hyperlink r:id="rId15" ref="J25"/>
    <hyperlink r:id="rId16" ref="J26"/>
    <hyperlink r:id="rId17" ref="J27"/>
    <hyperlink r:id="rId18" ref="J28"/>
    <hyperlink r:id="rId19" ref="J29"/>
    <hyperlink r:id="rId20" ref="J30"/>
    <hyperlink r:id="rId21" ref="J31"/>
    <hyperlink r:id="rId22" ref="J32"/>
    <hyperlink r:id="rId23" ref="J33"/>
    <hyperlink r:id="rId24" ref="J35"/>
    <hyperlink r:id="rId25" ref="J36"/>
    <hyperlink r:id="rId26" ref="J37"/>
    <hyperlink r:id="rId27" ref="J38"/>
    <hyperlink r:id="rId28" ref="J39"/>
    <hyperlink r:id="rId29" ref="J40"/>
    <hyperlink r:id="rId30" ref="J45"/>
    <hyperlink r:id="rId31" ref="J48"/>
    <hyperlink r:id="rId32" ref="J49"/>
  </hyperlinks>
  <printOptions/>
  <pageMargins bottom="0.75" footer="0.0" header="0.0" left="0.7" right="0.7" top="0.75"/>
  <pageSetup orientation="landscape"/>
  <headerFooter>
    <oddHeader>&amp;L000000GHANAIAN UMAPS SCHOLARS, 2008-14</oddHeader>
  </headerFooter>
  <drawing r:id="rId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8.71"/>
    <col customWidth="1" min="2" max="3" width="14.43"/>
    <col customWidth="1" min="4" max="4" width="18.86"/>
    <col customWidth="1" min="5" max="5" width="12.43"/>
    <col customWidth="1" min="6" max="6" width="11.43"/>
    <col customWidth="1" min="7" max="7" width="14.71"/>
    <col customWidth="1" min="8" max="8" width="28.29"/>
    <col customWidth="1" min="9" max="9" width="26.43"/>
    <col customWidth="1" min="10" max="10" width="39.0"/>
    <col customWidth="1" min="11" max="11" width="30.43"/>
    <col customWidth="1" min="12" max="12" width="28.86"/>
    <col customWidth="1" min="13" max="24" width="11.43"/>
  </cols>
  <sheetData>
    <row r="1" ht="44.25" customHeight="1">
      <c r="A1" s="260" t="s">
        <v>2805</v>
      </c>
      <c r="B1" s="261" t="s">
        <v>2864</v>
      </c>
      <c r="C1" s="262"/>
      <c r="D1" s="262"/>
      <c r="E1" s="262"/>
      <c r="F1" s="262"/>
      <c r="G1" s="262"/>
      <c r="H1" s="262"/>
      <c r="I1" s="262"/>
      <c r="J1" s="262"/>
      <c r="K1" s="262"/>
      <c r="L1" s="262"/>
    </row>
    <row r="2" ht="28.5" customHeight="1">
      <c r="A2" s="263" t="s">
        <v>0</v>
      </c>
      <c r="B2" s="262" t="s">
        <v>2585</v>
      </c>
      <c r="C2" s="262" t="s">
        <v>2</v>
      </c>
      <c r="D2" s="262" t="s">
        <v>2807</v>
      </c>
      <c r="E2" s="262" t="s">
        <v>2808</v>
      </c>
      <c r="F2" s="262" t="s">
        <v>5</v>
      </c>
      <c r="G2" s="262" t="s">
        <v>6</v>
      </c>
      <c r="H2" s="262" t="s">
        <v>10</v>
      </c>
      <c r="I2" s="262" t="s">
        <v>11</v>
      </c>
      <c r="J2" s="262" t="s">
        <v>12</v>
      </c>
      <c r="K2" s="262" t="s">
        <v>2587</v>
      </c>
      <c r="L2" s="262" t="s">
        <v>14</v>
      </c>
    </row>
    <row r="3" ht="33.0" customHeight="1">
      <c r="A3" s="264" t="s">
        <v>23</v>
      </c>
      <c r="B3" s="265" t="s">
        <v>24</v>
      </c>
      <c r="C3" s="265" t="s">
        <v>25</v>
      </c>
      <c r="D3" s="265" t="s">
        <v>26</v>
      </c>
      <c r="E3" s="265"/>
      <c r="F3" s="265" t="s">
        <v>28</v>
      </c>
      <c r="G3" s="266" t="s">
        <v>29</v>
      </c>
      <c r="H3" s="265" t="s">
        <v>32</v>
      </c>
      <c r="I3" s="267"/>
      <c r="J3" s="266" t="s">
        <v>33</v>
      </c>
      <c r="K3" s="267"/>
      <c r="L3" s="267"/>
    </row>
    <row r="4" ht="28.5" customHeight="1">
      <c r="A4" s="268">
        <v>14.0</v>
      </c>
      <c r="B4" s="269" t="s">
        <v>2733</v>
      </c>
      <c r="C4" s="269" t="s">
        <v>39</v>
      </c>
      <c r="D4" s="270" t="s">
        <v>1801</v>
      </c>
      <c r="E4" s="271" t="s">
        <v>2865</v>
      </c>
      <c r="F4" s="269" t="s">
        <v>1027</v>
      </c>
      <c r="G4" s="269" t="s">
        <v>42</v>
      </c>
      <c r="H4" s="272" t="s">
        <v>45</v>
      </c>
      <c r="I4" s="273" t="s">
        <v>46</v>
      </c>
      <c r="J4" s="269" t="s">
        <v>47</v>
      </c>
      <c r="K4" s="269"/>
      <c r="L4" s="269" t="s">
        <v>2866</v>
      </c>
      <c r="M4" s="79"/>
      <c r="N4" s="79"/>
      <c r="O4" s="79"/>
      <c r="P4" s="79"/>
      <c r="Q4" s="79"/>
      <c r="R4" s="79"/>
      <c r="S4" s="79"/>
      <c r="T4" s="79"/>
      <c r="U4" s="79"/>
      <c r="V4" s="79"/>
      <c r="W4" s="79"/>
      <c r="X4" s="79"/>
    </row>
    <row r="5" ht="28.5" customHeight="1">
      <c r="A5" s="268">
        <v>16.0</v>
      </c>
      <c r="B5" s="274" t="s">
        <v>98</v>
      </c>
      <c r="C5" s="274" t="s">
        <v>99</v>
      </c>
      <c r="D5" s="274" t="s">
        <v>100</v>
      </c>
      <c r="E5" s="274"/>
      <c r="F5" s="274" t="s">
        <v>1018</v>
      </c>
      <c r="G5" s="274" t="s">
        <v>42</v>
      </c>
      <c r="H5" s="275" t="s">
        <v>103</v>
      </c>
      <c r="I5" s="276" t="s">
        <v>104</v>
      </c>
      <c r="J5" s="274" t="s">
        <v>2867</v>
      </c>
      <c r="K5" s="274"/>
      <c r="L5" s="274"/>
    </row>
    <row r="6" ht="28.5" customHeight="1">
      <c r="A6" s="268">
        <v>19.0</v>
      </c>
      <c r="B6" s="276" t="s">
        <v>74</v>
      </c>
      <c r="C6" s="276" t="s">
        <v>75</v>
      </c>
      <c r="D6" s="276" t="s">
        <v>76</v>
      </c>
      <c r="E6" s="276"/>
      <c r="F6" s="276" t="s">
        <v>1027</v>
      </c>
      <c r="G6" s="276" t="s">
        <v>42</v>
      </c>
      <c r="H6" s="277" t="s">
        <v>79</v>
      </c>
      <c r="I6" s="276" t="s">
        <v>80</v>
      </c>
      <c r="J6" s="276" t="s">
        <v>2868</v>
      </c>
      <c r="K6" s="276" t="s">
        <v>2635</v>
      </c>
      <c r="L6" s="274" t="s">
        <v>83</v>
      </c>
    </row>
    <row r="7" ht="28.5" customHeight="1">
      <c r="A7" s="268">
        <v>20.0</v>
      </c>
      <c r="B7" s="274" t="s">
        <v>135</v>
      </c>
      <c r="C7" s="274" t="s">
        <v>136</v>
      </c>
      <c r="D7" s="274" t="s">
        <v>76</v>
      </c>
      <c r="E7" s="274" t="s">
        <v>2869</v>
      </c>
      <c r="F7" s="274" t="s">
        <v>1018</v>
      </c>
      <c r="G7" s="274" t="s">
        <v>42</v>
      </c>
      <c r="H7" s="278" t="s">
        <v>2870</v>
      </c>
      <c r="I7" s="276" t="s">
        <v>141</v>
      </c>
      <c r="J7" s="274" t="s">
        <v>2871</v>
      </c>
      <c r="K7" s="274"/>
      <c r="L7" s="274"/>
    </row>
    <row r="8" ht="28.5" customHeight="1">
      <c r="A8" s="268">
        <v>25.0</v>
      </c>
      <c r="B8" s="274" t="s">
        <v>122</v>
      </c>
      <c r="C8" s="274" t="s">
        <v>123</v>
      </c>
      <c r="D8" s="279" t="s">
        <v>1017</v>
      </c>
      <c r="E8" s="280" t="s">
        <v>2872</v>
      </c>
      <c r="F8" s="274" t="s">
        <v>1018</v>
      </c>
      <c r="G8" s="274" t="s">
        <v>42</v>
      </c>
      <c r="H8" s="278" t="s">
        <v>2873</v>
      </c>
      <c r="I8" s="276"/>
      <c r="J8" s="274" t="s">
        <v>2874</v>
      </c>
      <c r="K8" s="274"/>
      <c r="L8" s="274" t="s">
        <v>2875</v>
      </c>
    </row>
    <row r="9" ht="28.5" customHeight="1">
      <c r="A9" s="268">
        <v>26.0</v>
      </c>
      <c r="B9" s="274" t="s">
        <v>146</v>
      </c>
      <c r="C9" s="274" t="s">
        <v>2644</v>
      </c>
      <c r="D9" s="279" t="s">
        <v>1017</v>
      </c>
      <c r="E9" s="280" t="s">
        <v>2876</v>
      </c>
      <c r="F9" s="274" t="s">
        <v>1027</v>
      </c>
      <c r="G9" s="274" t="s">
        <v>42</v>
      </c>
      <c r="H9" s="278" t="s">
        <v>2877</v>
      </c>
      <c r="I9" s="276" t="s">
        <v>151</v>
      </c>
      <c r="J9" s="274" t="s">
        <v>2878</v>
      </c>
      <c r="K9" s="274" t="s">
        <v>2645</v>
      </c>
      <c r="L9" s="274" t="s">
        <v>2879</v>
      </c>
    </row>
    <row r="10" ht="28.5" customHeight="1">
      <c r="A10" s="268">
        <v>42.0</v>
      </c>
      <c r="B10" s="274" t="s">
        <v>171</v>
      </c>
      <c r="C10" s="274" t="s">
        <v>172</v>
      </c>
      <c r="D10" s="274" t="s">
        <v>173</v>
      </c>
      <c r="E10" s="274" t="s">
        <v>2880</v>
      </c>
      <c r="F10" s="274" t="s">
        <v>1018</v>
      </c>
      <c r="G10" s="274" t="s">
        <v>160</v>
      </c>
      <c r="H10" s="278" t="s">
        <v>176</v>
      </c>
      <c r="I10" s="281">
        <v>2.7114533481E10</v>
      </c>
      <c r="J10" s="274" t="s">
        <v>177</v>
      </c>
      <c r="K10" s="152" t="s">
        <v>2881</v>
      </c>
      <c r="L10" s="274" t="s">
        <v>2880</v>
      </c>
    </row>
    <row r="11" ht="28.5" customHeight="1">
      <c r="A11" s="282">
        <v>43.0</v>
      </c>
      <c r="B11" s="274" t="s">
        <v>307</v>
      </c>
      <c r="C11" s="274" t="s">
        <v>2882</v>
      </c>
      <c r="D11" s="274" t="s">
        <v>309</v>
      </c>
      <c r="E11" s="274"/>
      <c r="F11" s="274" t="s">
        <v>1018</v>
      </c>
      <c r="G11" s="280" t="s">
        <v>2883</v>
      </c>
      <c r="H11" s="278" t="s">
        <v>313</v>
      </c>
      <c r="I11" s="276">
        <v>2.7117173009E10</v>
      </c>
      <c r="J11" s="274" t="s">
        <v>314</v>
      </c>
      <c r="K11" s="274"/>
      <c r="L11" s="274"/>
    </row>
    <row r="12" ht="28.5" customHeight="1">
      <c r="A12" s="268">
        <v>9.0</v>
      </c>
      <c r="B12" s="274" t="s">
        <v>292</v>
      </c>
      <c r="C12" s="274" t="s">
        <v>293</v>
      </c>
      <c r="D12" s="280" t="s">
        <v>2884</v>
      </c>
      <c r="E12" s="280" t="s">
        <v>2885</v>
      </c>
      <c r="F12" s="274" t="s">
        <v>1027</v>
      </c>
      <c r="G12" s="274" t="s">
        <v>295</v>
      </c>
      <c r="H12" s="283" t="s">
        <v>2886</v>
      </c>
      <c r="I12" s="276" t="s">
        <v>300</v>
      </c>
      <c r="J12" s="274" t="s">
        <v>301</v>
      </c>
      <c r="K12" s="274" t="s">
        <v>2659</v>
      </c>
      <c r="L12" s="284" t="s">
        <v>2887</v>
      </c>
    </row>
    <row r="13" ht="28.5" customHeight="1">
      <c r="A13" s="268">
        <v>4.0</v>
      </c>
      <c r="B13" s="274" t="s">
        <v>330</v>
      </c>
      <c r="C13" s="274" t="s">
        <v>331</v>
      </c>
      <c r="D13" s="285" t="s">
        <v>1814</v>
      </c>
      <c r="E13" s="274"/>
      <c r="F13" s="274" t="s">
        <v>1018</v>
      </c>
      <c r="G13" s="274" t="s">
        <v>320</v>
      </c>
      <c r="H13" s="278" t="s">
        <v>335</v>
      </c>
      <c r="I13" s="276">
        <v>2.746603889E10</v>
      </c>
      <c r="J13" s="274" t="s">
        <v>336</v>
      </c>
      <c r="K13" s="274" t="s">
        <v>337</v>
      </c>
      <c r="L13" s="274" t="s">
        <v>338</v>
      </c>
    </row>
    <row r="14" ht="28.5" customHeight="1">
      <c r="A14" s="268">
        <v>10.0</v>
      </c>
      <c r="B14" s="274" t="s">
        <v>406</v>
      </c>
      <c r="C14" s="274" t="s">
        <v>407</v>
      </c>
      <c r="D14" s="280" t="s">
        <v>2884</v>
      </c>
      <c r="E14" s="274"/>
      <c r="F14" s="274" t="s">
        <v>1027</v>
      </c>
      <c r="G14" s="274" t="s">
        <v>320</v>
      </c>
      <c r="H14" s="278" t="s">
        <v>410</v>
      </c>
      <c r="I14" s="281">
        <v>2.7734913005E10</v>
      </c>
      <c r="J14" s="274" t="s">
        <v>411</v>
      </c>
      <c r="K14" s="152"/>
      <c r="L14" s="274"/>
    </row>
    <row r="15" ht="28.5" customHeight="1">
      <c r="A15" s="268">
        <v>24.0</v>
      </c>
      <c r="B15" s="286" t="s">
        <v>430</v>
      </c>
      <c r="C15" s="286" t="s">
        <v>431</v>
      </c>
      <c r="D15" s="274" t="s">
        <v>432</v>
      </c>
      <c r="E15" s="274"/>
      <c r="F15" s="274" t="s">
        <v>1018</v>
      </c>
      <c r="G15" s="274" t="s">
        <v>320</v>
      </c>
      <c r="H15" s="278" t="s">
        <v>435</v>
      </c>
      <c r="I15" s="276">
        <v>2.7159628185E10</v>
      </c>
      <c r="J15" s="274" t="s">
        <v>436</v>
      </c>
      <c r="K15" s="274" t="s">
        <v>1313</v>
      </c>
      <c r="L15" s="274" t="s">
        <v>437</v>
      </c>
    </row>
    <row r="16" ht="28.5" customHeight="1">
      <c r="A16" s="268">
        <v>27.0</v>
      </c>
      <c r="B16" s="274" t="s">
        <v>374</v>
      </c>
      <c r="C16" s="274" t="s">
        <v>375</v>
      </c>
      <c r="D16" s="279" t="s">
        <v>1017</v>
      </c>
      <c r="E16" s="280" t="s">
        <v>2888</v>
      </c>
      <c r="F16" s="274" t="s">
        <v>1018</v>
      </c>
      <c r="G16" s="274" t="s">
        <v>320</v>
      </c>
      <c r="H16" s="283" t="s">
        <v>2889</v>
      </c>
      <c r="I16" s="276" t="s">
        <v>379</v>
      </c>
      <c r="J16" s="274" t="s">
        <v>2890</v>
      </c>
      <c r="K16" s="274" t="s">
        <v>2666</v>
      </c>
      <c r="L16" s="280" t="s">
        <v>2891</v>
      </c>
    </row>
    <row r="17" ht="28.5" customHeight="1">
      <c r="A17" s="268">
        <v>28.0</v>
      </c>
      <c r="B17" s="274" t="s">
        <v>387</v>
      </c>
      <c r="C17" s="274" t="s">
        <v>388</v>
      </c>
      <c r="D17" s="279" t="s">
        <v>1017</v>
      </c>
      <c r="E17" s="280" t="s">
        <v>2892</v>
      </c>
      <c r="F17" s="274" t="s">
        <v>1027</v>
      </c>
      <c r="G17" s="274" t="s">
        <v>320</v>
      </c>
      <c r="H17" s="278" t="s">
        <v>2893</v>
      </c>
      <c r="I17" s="276">
        <v>1.24203986E8</v>
      </c>
      <c r="J17" s="274" t="s">
        <v>392</v>
      </c>
      <c r="K17" s="287"/>
      <c r="L17" s="274"/>
    </row>
    <row r="18" ht="28.5" customHeight="1">
      <c r="A18" s="268">
        <v>29.0</v>
      </c>
      <c r="B18" s="274" t="s">
        <v>397</v>
      </c>
      <c r="C18" s="274" t="s">
        <v>398</v>
      </c>
      <c r="D18" s="279" t="s">
        <v>1017</v>
      </c>
      <c r="E18" s="274"/>
      <c r="F18" s="274" t="s">
        <v>1018</v>
      </c>
      <c r="G18" s="274" t="s">
        <v>320</v>
      </c>
      <c r="H18" s="278" t="s">
        <v>401</v>
      </c>
      <c r="I18" s="276">
        <v>2.7124202339E10</v>
      </c>
      <c r="J18" s="274" t="s">
        <v>402</v>
      </c>
      <c r="K18" s="274"/>
      <c r="L18" s="274"/>
    </row>
    <row r="19" ht="28.5" customHeight="1">
      <c r="A19" s="268">
        <v>33.0</v>
      </c>
      <c r="B19" s="274" t="s">
        <v>525</v>
      </c>
      <c r="C19" s="274" t="s">
        <v>526</v>
      </c>
      <c r="D19" s="280" t="s">
        <v>1026</v>
      </c>
      <c r="E19" s="274"/>
      <c r="F19" s="274" t="s">
        <v>1027</v>
      </c>
      <c r="G19" s="274" t="s">
        <v>466</v>
      </c>
      <c r="H19" s="278" t="s">
        <v>530</v>
      </c>
      <c r="I19" s="276" t="s">
        <v>531</v>
      </c>
      <c r="J19" s="274" t="s">
        <v>532</v>
      </c>
      <c r="K19" s="152"/>
      <c r="L19" s="274"/>
    </row>
    <row r="20" ht="28.5" customHeight="1">
      <c r="A20" s="268">
        <v>34.0</v>
      </c>
      <c r="B20" s="274" t="s">
        <v>2894</v>
      </c>
      <c r="C20" s="274" t="s">
        <v>2670</v>
      </c>
      <c r="D20" s="280" t="s">
        <v>1026</v>
      </c>
      <c r="E20" s="274" t="s">
        <v>2895</v>
      </c>
      <c r="F20" s="274" t="s">
        <v>1018</v>
      </c>
      <c r="G20" s="274" t="s">
        <v>466</v>
      </c>
      <c r="H20" s="288" t="s">
        <v>558</v>
      </c>
      <c r="I20" s="276">
        <v>2.19593895E8</v>
      </c>
      <c r="J20" s="274" t="s">
        <v>2791</v>
      </c>
      <c r="K20" s="152"/>
      <c r="L20" s="274" t="s">
        <v>2896</v>
      </c>
    </row>
    <row r="21" ht="28.5" customHeight="1">
      <c r="A21" s="268">
        <v>11.0</v>
      </c>
      <c r="B21" s="274" t="s">
        <v>695</v>
      </c>
      <c r="C21" s="274" t="s">
        <v>696</v>
      </c>
      <c r="D21" s="280" t="s">
        <v>2884</v>
      </c>
      <c r="E21" s="274"/>
      <c r="F21" s="274" t="s">
        <v>1018</v>
      </c>
      <c r="G21" s="274" t="s">
        <v>599</v>
      </c>
      <c r="H21" s="274" t="s">
        <v>699</v>
      </c>
      <c r="I21" s="276" t="s">
        <v>700</v>
      </c>
      <c r="J21" s="274" t="s">
        <v>701</v>
      </c>
      <c r="K21" s="274"/>
      <c r="L21" s="274"/>
    </row>
    <row r="22" ht="28.5" customHeight="1">
      <c r="A22" s="268">
        <v>35.0</v>
      </c>
      <c r="B22" s="274" t="s">
        <v>675</v>
      </c>
      <c r="C22" s="274" t="s">
        <v>676</v>
      </c>
      <c r="D22" s="280" t="s">
        <v>1026</v>
      </c>
      <c r="E22" s="274"/>
      <c r="F22" s="274" t="s">
        <v>1027</v>
      </c>
      <c r="G22" s="274" t="s">
        <v>599</v>
      </c>
      <c r="H22" s="274" t="s">
        <v>678</v>
      </c>
      <c r="I22" s="276" t="s">
        <v>679</v>
      </c>
      <c r="J22" s="274" t="s">
        <v>680</v>
      </c>
      <c r="K22" s="274"/>
      <c r="L22" s="274"/>
    </row>
    <row r="23" ht="28.5" customHeight="1">
      <c r="A23" s="268">
        <v>44.0</v>
      </c>
      <c r="B23" s="274" t="s">
        <v>661</v>
      </c>
      <c r="C23" s="274" t="s">
        <v>662</v>
      </c>
      <c r="D23" s="274" t="s">
        <v>309</v>
      </c>
      <c r="E23" s="274"/>
      <c r="F23" s="274" t="s">
        <v>1018</v>
      </c>
      <c r="G23" s="274" t="s">
        <v>599</v>
      </c>
      <c r="H23" s="274" t="s">
        <v>665</v>
      </c>
      <c r="I23" s="276" t="s">
        <v>666</v>
      </c>
      <c r="J23" s="274" t="s">
        <v>667</v>
      </c>
      <c r="K23" s="274"/>
      <c r="L23" s="274" t="s">
        <v>395</v>
      </c>
    </row>
    <row r="24" ht="28.5" customHeight="1">
      <c r="A24" s="268">
        <v>36.0</v>
      </c>
      <c r="B24" s="274" t="s">
        <v>812</v>
      </c>
      <c r="C24" s="274" t="s">
        <v>813</v>
      </c>
      <c r="D24" s="280" t="s">
        <v>1026</v>
      </c>
      <c r="E24" s="274"/>
      <c r="F24" s="274" t="s">
        <v>1018</v>
      </c>
      <c r="G24" s="274" t="s">
        <v>717</v>
      </c>
      <c r="H24" s="274" t="s">
        <v>816</v>
      </c>
      <c r="I24" s="289" t="s">
        <v>817</v>
      </c>
      <c r="J24" s="274" t="s">
        <v>818</v>
      </c>
      <c r="K24" s="274"/>
      <c r="L24" s="274"/>
    </row>
    <row r="25" ht="28.5" customHeight="1">
      <c r="A25" s="268">
        <v>45.0</v>
      </c>
      <c r="B25" s="274" t="s">
        <v>782</v>
      </c>
      <c r="C25" s="274" t="s">
        <v>783</v>
      </c>
      <c r="D25" s="274" t="s">
        <v>309</v>
      </c>
      <c r="E25" s="274"/>
      <c r="F25" s="274" t="s">
        <v>1027</v>
      </c>
      <c r="G25" s="274" t="s">
        <v>717</v>
      </c>
      <c r="H25" s="274" t="s">
        <v>2897</v>
      </c>
      <c r="I25" s="289">
        <v>2.7117174315E10</v>
      </c>
      <c r="J25" s="274" t="s">
        <v>789</v>
      </c>
      <c r="K25" s="274"/>
      <c r="L25" s="274" t="s">
        <v>2898</v>
      </c>
    </row>
    <row r="26" ht="28.5" customHeight="1">
      <c r="A26" s="290">
        <v>1.0</v>
      </c>
      <c r="B26" s="274" t="s">
        <v>994</v>
      </c>
      <c r="C26" s="274" t="s">
        <v>995</v>
      </c>
      <c r="D26" s="280" t="s">
        <v>2899</v>
      </c>
      <c r="E26" s="274"/>
      <c r="F26" s="274" t="s">
        <v>1027</v>
      </c>
      <c r="G26" s="274" t="s">
        <v>845</v>
      </c>
      <c r="H26" s="278" t="s">
        <v>999</v>
      </c>
      <c r="I26" s="276"/>
      <c r="J26" s="274" t="s">
        <v>1000</v>
      </c>
      <c r="K26" s="274" t="s">
        <v>1313</v>
      </c>
      <c r="L26" s="274" t="s">
        <v>338</v>
      </c>
    </row>
    <row r="27" ht="29.25" customHeight="1">
      <c r="A27" s="290">
        <v>2.0</v>
      </c>
      <c r="B27" s="274" t="s">
        <v>1005</v>
      </c>
      <c r="C27" s="274" t="s">
        <v>1006</v>
      </c>
      <c r="D27" s="280" t="s">
        <v>2899</v>
      </c>
      <c r="E27" s="274"/>
      <c r="F27" s="274" t="s">
        <v>1027</v>
      </c>
      <c r="G27" s="274" t="s">
        <v>845</v>
      </c>
      <c r="H27" s="291" t="s">
        <v>1010</v>
      </c>
      <c r="I27" s="276"/>
      <c r="J27" s="274" t="s">
        <v>1011</v>
      </c>
      <c r="K27" s="274"/>
      <c r="L27" s="274" t="s">
        <v>1012</v>
      </c>
    </row>
    <row r="28" ht="35.25" customHeight="1">
      <c r="A28" s="268">
        <v>13.0</v>
      </c>
      <c r="B28" s="274" t="s">
        <v>969</v>
      </c>
      <c r="C28" s="274" t="s">
        <v>970</v>
      </c>
      <c r="D28" s="274" t="s">
        <v>971</v>
      </c>
      <c r="E28" s="274"/>
      <c r="F28" s="274" t="s">
        <v>1018</v>
      </c>
      <c r="G28" s="274" t="s">
        <v>845</v>
      </c>
      <c r="H28" s="278" t="s">
        <v>974</v>
      </c>
      <c r="I28" s="276"/>
      <c r="J28" s="274" t="s">
        <v>975</v>
      </c>
      <c r="K28" s="274" t="s">
        <v>337</v>
      </c>
      <c r="L28" s="274" t="s">
        <v>338</v>
      </c>
    </row>
    <row r="29" ht="41.25" customHeight="1">
      <c r="A29" s="268">
        <v>21.0</v>
      </c>
      <c r="B29" s="292" t="s">
        <v>909</v>
      </c>
      <c r="C29" s="292" t="s">
        <v>868</v>
      </c>
      <c r="D29" s="274" t="s">
        <v>76</v>
      </c>
      <c r="E29" s="280" t="s">
        <v>2900</v>
      </c>
      <c r="F29" s="274" t="s">
        <v>1027</v>
      </c>
      <c r="G29" s="274" t="s">
        <v>845</v>
      </c>
      <c r="H29" s="274" t="s">
        <v>2901</v>
      </c>
      <c r="I29" s="276"/>
      <c r="J29" s="274" t="s">
        <v>914</v>
      </c>
      <c r="K29" s="274" t="s">
        <v>2902</v>
      </c>
      <c r="L29" s="274"/>
    </row>
    <row r="30" ht="36.75" customHeight="1">
      <c r="A30" s="268">
        <v>46.0</v>
      </c>
      <c r="B30" s="292" t="s">
        <v>878</v>
      </c>
      <c r="C30" s="292" t="s">
        <v>879</v>
      </c>
      <c r="D30" s="274" t="s">
        <v>309</v>
      </c>
      <c r="E30" s="274"/>
      <c r="F30" s="274" t="s">
        <v>1018</v>
      </c>
      <c r="G30" s="274" t="s">
        <v>845</v>
      </c>
      <c r="H30" s="291" t="s">
        <v>2903</v>
      </c>
      <c r="I30" s="276"/>
      <c r="J30" s="274" t="s">
        <v>883</v>
      </c>
      <c r="K30" s="274"/>
      <c r="L30" s="274" t="s">
        <v>2904</v>
      </c>
    </row>
    <row r="31" ht="28.5" customHeight="1">
      <c r="A31" s="268">
        <v>47.0</v>
      </c>
      <c r="B31" s="274" t="s">
        <v>928</v>
      </c>
      <c r="C31" s="274" t="s">
        <v>929</v>
      </c>
      <c r="D31" s="274" t="s">
        <v>309</v>
      </c>
      <c r="E31" s="274"/>
      <c r="F31" s="274" t="s">
        <v>1027</v>
      </c>
      <c r="G31" s="274" t="s">
        <v>845</v>
      </c>
      <c r="H31" s="291" t="s">
        <v>2905</v>
      </c>
      <c r="I31" s="276"/>
      <c r="J31" s="274" t="s">
        <v>2906</v>
      </c>
      <c r="K31" s="274"/>
      <c r="L31" s="274" t="s">
        <v>2907</v>
      </c>
    </row>
    <row r="32" ht="28.5" customHeight="1">
      <c r="A32" s="268">
        <v>48.0</v>
      </c>
      <c r="B32" s="274" t="s">
        <v>943</v>
      </c>
      <c r="C32" s="274" t="s">
        <v>944</v>
      </c>
      <c r="D32" s="274" t="s">
        <v>309</v>
      </c>
      <c r="E32" s="280" t="s">
        <v>2908</v>
      </c>
      <c r="F32" s="274" t="s">
        <v>1018</v>
      </c>
      <c r="G32" s="274" t="s">
        <v>845</v>
      </c>
      <c r="H32" s="293" t="s">
        <v>949</v>
      </c>
      <c r="I32" s="276"/>
      <c r="J32" s="274" t="s">
        <v>950</v>
      </c>
      <c r="K32" s="274"/>
      <c r="L32" s="274" t="s">
        <v>2909</v>
      </c>
    </row>
    <row r="33" ht="28.5" customHeight="1">
      <c r="A33" s="268">
        <v>30.0</v>
      </c>
      <c r="B33" s="274" t="s">
        <v>1015</v>
      </c>
      <c r="C33" s="274" t="s">
        <v>1016</v>
      </c>
      <c r="D33" s="279" t="s">
        <v>1017</v>
      </c>
      <c r="E33" s="274"/>
      <c r="F33" s="274" t="s">
        <v>1018</v>
      </c>
      <c r="G33" s="274" t="s">
        <v>1019</v>
      </c>
      <c r="H33" s="278" t="s">
        <v>1020</v>
      </c>
      <c r="I33" s="276"/>
      <c r="J33" s="274" t="s">
        <v>1021</v>
      </c>
      <c r="K33" s="274"/>
      <c r="L33" s="274" t="s">
        <v>1022</v>
      </c>
    </row>
    <row r="34" ht="28.5" customHeight="1">
      <c r="A34" s="268">
        <v>37.0</v>
      </c>
      <c r="B34" s="274" t="s">
        <v>1024</v>
      </c>
      <c r="C34" s="274" t="s">
        <v>1025</v>
      </c>
      <c r="D34" s="280" t="s">
        <v>1026</v>
      </c>
      <c r="E34" s="274"/>
      <c r="F34" s="274" t="s">
        <v>1027</v>
      </c>
      <c r="G34" s="274" t="s">
        <v>1019</v>
      </c>
      <c r="H34" s="278" t="s">
        <v>1028</v>
      </c>
      <c r="I34" s="274"/>
      <c r="J34" s="274" t="s">
        <v>1029</v>
      </c>
      <c r="K34" s="274"/>
      <c r="L34" s="274"/>
    </row>
    <row r="35" ht="28.5" customHeight="1">
      <c r="A35" s="268">
        <v>38.0</v>
      </c>
      <c r="B35" s="274" t="s">
        <v>1031</v>
      </c>
      <c r="C35" s="274" t="s">
        <v>1032</v>
      </c>
      <c r="D35" s="280" t="s">
        <v>1026</v>
      </c>
      <c r="E35" s="274"/>
      <c r="F35" s="274" t="s">
        <v>1018</v>
      </c>
      <c r="G35" s="274" t="s">
        <v>1019</v>
      </c>
      <c r="H35" s="278" t="s">
        <v>1033</v>
      </c>
      <c r="I35" s="274"/>
      <c r="J35" s="274" t="s">
        <v>1034</v>
      </c>
      <c r="K35" s="274"/>
      <c r="L35" s="274"/>
    </row>
    <row r="36" ht="28.5" customHeight="1">
      <c r="A36" s="290">
        <v>3.0</v>
      </c>
      <c r="B36" s="276" t="s">
        <v>1207</v>
      </c>
      <c r="C36" s="276" t="s">
        <v>1208</v>
      </c>
      <c r="D36" s="276" t="s">
        <v>1209</v>
      </c>
      <c r="E36" s="276"/>
      <c r="F36" s="276" t="s">
        <v>1027</v>
      </c>
      <c r="G36" s="274" t="s">
        <v>1197</v>
      </c>
      <c r="H36" s="276" t="s">
        <v>1212</v>
      </c>
      <c r="I36" s="276" t="s">
        <v>2910</v>
      </c>
      <c r="J36" s="276" t="s">
        <v>1214</v>
      </c>
      <c r="K36" s="274"/>
      <c r="L36" s="274"/>
    </row>
    <row r="37" ht="28.5" customHeight="1">
      <c r="A37" s="268">
        <v>17.0</v>
      </c>
      <c r="B37" s="276" t="s">
        <v>1451</v>
      </c>
      <c r="C37" s="276" t="s">
        <v>1452</v>
      </c>
      <c r="D37" s="274" t="s">
        <v>100</v>
      </c>
      <c r="E37" s="280" t="s">
        <v>2911</v>
      </c>
      <c r="F37" s="274" t="s">
        <v>1027</v>
      </c>
      <c r="G37" s="280" t="s">
        <v>1318</v>
      </c>
      <c r="H37" s="283" t="s">
        <v>1456</v>
      </c>
      <c r="I37" s="274" t="s">
        <v>1457</v>
      </c>
      <c r="J37" s="274" t="s">
        <v>1458</v>
      </c>
      <c r="K37" s="267"/>
      <c r="L37" s="274" t="s">
        <v>2912</v>
      </c>
    </row>
    <row r="38" ht="28.5" customHeight="1">
      <c r="A38" s="268">
        <v>39.0</v>
      </c>
      <c r="B38" s="276" t="s">
        <v>1370</v>
      </c>
      <c r="C38" s="276" t="s">
        <v>1371</v>
      </c>
      <c r="D38" s="280" t="s">
        <v>1026</v>
      </c>
      <c r="E38" s="274"/>
      <c r="F38" s="274" t="s">
        <v>1018</v>
      </c>
      <c r="G38" s="280" t="s">
        <v>1318</v>
      </c>
      <c r="H38" s="274" t="s">
        <v>1375</v>
      </c>
      <c r="I38" s="274" t="s">
        <v>1376</v>
      </c>
      <c r="J38" s="274" t="s">
        <v>1377</v>
      </c>
      <c r="K38" s="274"/>
      <c r="L38" s="274"/>
    </row>
    <row r="39" ht="28.5" customHeight="1">
      <c r="A39" s="268">
        <v>40.0</v>
      </c>
      <c r="B39" s="276" t="s">
        <v>1419</v>
      </c>
      <c r="C39" s="276" t="s">
        <v>1420</v>
      </c>
      <c r="D39" s="280" t="s">
        <v>1026</v>
      </c>
      <c r="E39" s="274"/>
      <c r="F39" s="274" t="s">
        <v>1018</v>
      </c>
      <c r="G39" s="280" t="s">
        <v>1318</v>
      </c>
      <c r="H39" s="274" t="s">
        <v>1423</v>
      </c>
      <c r="I39" s="274">
        <v>2.7813096432E10</v>
      </c>
      <c r="J39" s="274" t="s">
        <v>1424</v>
      </c>
      <c r="K39" s="274"/>
      <c r="L39" s="274"/>
    </row>
    <row r="40" ht="28.5" customHeight="1">
      <c r="A40" s="268">
        <v>6.0</v>
      </c>
      <c r="B40" s="274" t="s">
        <v>1518</v>
      </c>
      <c r="C40" s="274" t="s">
        <v>1519</v>
      </c>
      <c r="D40" s="280" t="s">
        <v>2913</v>
      </c>
      <c r="E40" s="274"/>
      <c r="F40" s="280" t="s">
        <v>1027</v>
      </c>
      <c r="G40" s="274" t="s">
        <v>1489</v>
      </c>
      <c r="H40" s="274" t="s">
        <v>1524</v>
      </c>
      <c r="I40" s="276" t="s">
        <v>1525</v>
      </c>
      <c r="J40" s="274" t="s">
        <v>1526</v>
      </c>
      <c r="K40" s="274" t="s">
        <v>2914</v>
      </c>
      <c r="L40" s="274" t="s">
        <v>1528</v>
      </c>
    </row>
    <row r="41" ht="28.5" customHeight="1">
      <c r="A41" s="268">
        <v>7.0</v>
      </c>
      <c r="B41" s="274" t="s">
        <v>1572</v>
      </c>
      <c r="C41" s="274" t="s">
        <v>1573</v>
      </c>
      <c r="D41" s="280" t="s">
        <v>2913</v>
      </c>
      <c r="E41" s="274"/>
      <c r="F41" s="280" t="s">
        <v>1018</v>
      </c>
      <c r="G41" s="274" t="s">
        <v>1489</v>
      </c>
      <c r="H41" s="274" t="s">
        <v>1576</v>
      </c>
      <c r="I41" s="276" t="s">
        <v>1577</v>
      </c>
      <c r="J41" s="274" t="s">
        <v>1578</v>
      </c>
      <c r="K41" s="274"/>
      <c r="L41" s="288"/>
    </row>
    <row r="42" ht="28.5" customHeight="1">
      <c r="A42" s="268">
        <v>8.0</v>
      </c>
      <c r="B42" s="294" t="s">
        <v>1704</v>
      </c>
      <c r="C42" s="294" t="s">
        <v>1705</v>
      </c>
      <c r="D42" s="280" t="s">
        <v>2913</v>
      </c>
      <c r="E42" s="294"/>
      <c r="F42" s="294" t="s">
        <v>1018</v>
      </c>
      <c r="G42" s="280" t="s">
        <v>1633</v>
      </c>
      <c r="H42" s="295" t="s">
        <v>1708</v>
      </c>
      <c r="I42" s="267"/>
      <c r="J42" s="283" t="s">
        <v>1709</v>
      </c>
      <c r="K42" s="267"/>
      <c r="L42" s="274"/>
    </row>
    <row r="43" ht="28.5" customHeight="1">
      <c r="A43" s="296">
        <v>12.0</v>
      </c>
      <c r="B43" s="294" t="s">
        <v>1696</v>
      </c>
      <c r="C43" s="294" t="s">
        <v>1697</v>
      </c>
      <c r="D43" s="294" t="s">
        <v>2884</v>
      </c>
      <c r="E43" s="294"/>
      <c r="F43" s="294" t="s">
        <v>1018</v>
      </c>
      <c r="G43" s="280" t="s">
        <v>1633</v>
      </c>
      <c r="H43" s="295" t="s">
        <v>1700</v>
      </c>
      <c r="I43" s="297"/>
      <c r="J43" s="283" t="s">
        <v>1701</v>
      </c>
      <c r="K43" s="297"/>
      <c r="L43" s="274"/>
    </row>
    <row r="44" ht="28.5" customHeight="1">
      <c r="A44" s="268">
        <v>41.0</v>
      </c>
      <c r="B44" s="294" t="s">
        <v>2794</v>
      </c>
      <c r="C44" s="294" t="s">
        <v>1681</v>
      </c>
      <c r="D44" s="294" t="s">
        <v>1026</v>
      </c>
      <c r="E44" s="294"/>
      <c r="F44" s="294" t="s">
        <v>1018</v>
      </c>
      <c r="G44" s="280" t="s">
        <v>1633</v>
      </c>
      <c r="H44" s="295" t="s">
        <v>1684</v>
      </c>
      <c r="I44" s="267"/>
      <c r="J44" s="283" t="s">
        <v>1685</v>
      </c>
      <c r="K44" s="267"/>
      <c r="L44" s="274"/>
    </row>
    <row r="45" ht="28.5" customHeight="1">
      <c r="A45" s="268">
        <v>5.0</v>
      </c>
      <c r="B45" s="285" t="s">
        <v>856</v>
      </c>
      <c r="C45" s="285" t="s">
        <v>1813</v>
      </c>
      <c r="D45" s="285" t="s">
        <v>1814</v>
      </c>
      <c r="E45" s="285"/>
      <c r="F45" s="285" t="s">
        <v>1027</v>
      </c>
      <c r="G45" s="285" t="s">
        <v>1737</v>
      </c>
      <c r="H45" s="285" t="s">
        <v>2915</v>
      </c>
      <c r="I45" s="298"/>
      <c r="J45" s="285" t="s">
        <v>1818</v>
      </c>
      <c r="K45" s="274"/>
      <c r="L45" s="274"/>
    </row>
    <row r="46" ht="28.5" customHeight="1">
      <c r="A46" s="268">
        <v>15.0</v>
      </c>
      <c r="B46" s="299" t="s">
        <v>1799</v>
      </c>
      <c r="C46" s="299" t="s">
        <v>1800</v>
      </c>
      <c r="D46" s="300" t="s">
        <v>1801</v>
      </c>
      <c r="E46" s="300"/>
      <c r="F46" s="280" t="s">
        <v>1027</v>
      </c>
      <c r="G46" s="280" t="s">
        <v>1737</v>
      </c>
      <c r="H46" s="299" t="s">
        <v>2916</v>
      </c>
      <c r="I46" s="276"/>
      <c r="J46" s="300" t="s">
        <v>1804</v>
      </c>
      <c r="K46" s="274"/>
      <c r="L46" s="274"/>
    </row>
    <row r="47" ht="28.5" customHeight="1">
      <c r="A47" s="268">
        <v>18.0</v>
      </c>
      <c r="B47" s="279" t="s">
        <v>1904</v>
      </c>
      <c r="C47" s="279" t="s">
        <v>1905</v>
      </c>
      <c r="D47" s="279" t="s">
        <v>100</v>
      </c>
      <c r="E47" s="279"/>
      <c r="F47" s="279" t="s">
        <v>1018</v>
      </c>
      <c r="G47" s="279" t="s">
        <v>1737</v>
      </c>
      <c r="H47" s="301"/>
      <c r="I47" s="274"/>
      <c r="J47" s="274"/>
      <c r="K47" s="267"/>
      <c r="L47" s="274"/>
    </row>
    <row r="48" ht="28.5" customHeight="1">
      <c r="A48" s="268">
        <v>22.0</v>
      </c>
      <c r="B48" s="285" t="s">
        <v>1792</v>
      </c>
      <c r="C48" s="285" t="s">
        <v>1793</v>
      </c>
      <c r="D48" s="285" t="s">
        <v>76</v>
      </c>
      <c r="E48" s="285"/>
      <c r="F48" s="285" t="s">
        <v>1018</v>
      </c>
      <c r="G48" s="280" t="s">
        <v>1737</v>
      </c>
      <c r="H48" s="285" t="s">
        <v>1796</v>
      </c>
      <c r="I48" s="298"/>
      <c r="J48" s="285" t="s">
        <v>1797</v>
      </c>
      <c r="K48" s="274"/>
      <c r="L48" s="274"/>
    </row>
    <row r="49" ht="28.5" customHeight="1">
      <c r="A49" s="268">
        <v>23.0</v>
      </c>
      <c r="B49" s="285" t="s">
        <v>2800</v>
      </c>
      <c r="C49" s="285" t="s">
        <v>2801</v>
      </c>
      <c r="D49" s="285" t="s">
        <v>2802</v>
      </c>
      <c r="E49" s="285"/>
      <c r="F49" s="285" t="s">
        <v>1027</v>
      </c>
      <c r="G49" s="280" t="s">
        <v>1737</v>
      </c>
      <c r="H49" s="285" t="s">
        <v>2917</v>
      </c>
      <c r="I49" s="298"/>
      <c r="J49" s="285" t="s">
        <v>2804</v>
      </c>
      <c r="K49" s="274"/>
      <c r="L49" s="274"/>
    </row>
    <row r="50" ht="28.5" customHeight="1">
      <c r="A50" s="268">
        <v>31.0</v>
      </c>
      <c r="B50" s="279" t="s">
        <v>1750</v>
      </c>
      <c r="C50" s="279" t="s">
        <v>1751</v>
      </c>
      <c r="D50" s="279" t="s">
        <v>1017</v>
      </c>
      <c r="E50" s="279"/>
      <c r="F50" s="279" t="s">
        <v>1018</v>
      </c>
      <c r="G50" s="279" t="s">
        <v>1737</v>
      </c>
      <c r="H50" s="278"/>
      <c r="I50" s="276"/>
      <c r="J50" s="274"/>
      <c r="K50" s="274"/>
      <c r="L50" s="274"/>
    </row>
    <row r="51" ht="28.5" customHeight="1">
      <c r="A51" s="268">
        <v>32.0</v>
      </c>
      <c r="B51" s="279" t="s">
        <v>1873</v>
      </c>
      <c r="C51" s="279" t="s">
        <v>1874</v>
      </c>
      <c r="D51" s="279" t="s">
        <v>1017</v>
      </c>
      <c r="E51" s="279"/>
      <c r="F51" s="279" t="s">
        <v>1018</v>
      </c>
      <c r="G51" s="279" t="s">
        <v>1737</v>
      </c>
      <c r="H51" s="278"/>
      <c r="I51" s="276"/>
      <c r="J51" s="274"/>
      <c r="K51" s="274"/>
      <c r="L51" s="274"/>
    </row>
    <row r="52" ht="28.5" customHeight="1">
      <c r="A52" s="268">
        <v>49.0</v>
      </c>
      <c r="B52" s="279" t="s">
        <v>1839</v>
      </c>
      <c r="C52" s="279" t="s">
        <v>1840</v>
      </c>
      <c r="D52" s="279" t="s">
        <v>1841</v>
      </c>
      <c r="E52" s="279"/>
      <c r="F52" s="279" t="s">
        <v>1018</v>
      </c>
      <c r="G52" s="279" t="s">
        <v>1737</v>
      </c>
      <c r="H52" s="293"/>
      <c r="I52" s="276"/>
      <c r="J52" s="274"/>
      <c r="K52" s="274"/>
      <c r="L52" s="274"/>
    </row>
    <row r="53" ht="28.5" customHeight="1">
      <c r="A53" s="282">
        <v>50.0</v>
      </c>
      <c r="B53" s="279" t="s">
        <v>1846</v>
      </c>
      <c r="C53" s="279" t="s">
        <v>1847</v>
      </c>
      <c r="D53" s="279" t="s">
        <v>1841</v>
      </c>
      <c r="E53" s="279"/>
      <c r="F53" s="279" t="s">
        <v>1027</v>
      </c>
      <c r="G53" s="279" t="s">
        <v>1737</v>
      </c>
      <c r="H53" s="293"/>
      <c r="I53" s="276"/>
      <c r="J53" s="274"/>
      <c r="K53" s="274"/>
      <c r="L53" s="274"/>
    </row>
    <row r="54" ht="28.5" customHeight="1">
      <c r="A54" s="259"/>
      <c r="E54" s="302"/>
    </row>
    <row r="55" ht="28.5" customHeight="1">
      <c r="A55" s="259"/>
      <c r="E55" s="302"/>
    </row>
    <row r="56" ht="28.5" customHeight="1">
      <c r="A56" s="259"/>
      <c r="E56" s="302"/>
    </row>
    <row r="57" ht="28.5" customHeight="1">
      <c r="A57" s="259"/>
      <c r="E57" s="302"/>
    </row>
    <row r="58" ht="28.5" customHeight="1">
      <c r="A58" s="259"/>
      <c r="E58" s="302"/>
    </row>
    <row r="59" ht="28.5" customHeight="1">
      <c r="A59" s="259"/>
      <c r="E59" s="302"/>
    </row>
    <row r="60" ht="28.5" customHeight="1">
      <c r="A60" s="259"/>
      <c r="E60" s="302"/>
    </row>
    <row r="61" ht="28.5" customHeight="1">
      <c r="A61" s="259"/>
      <c r="E61" s="302"/>
    </row>
    <row r="62" ht="28.5" customHeight="1">
      <c r="A62" s="259"/>
      <c r="E62" s="302"/>
    </row>
    <row r="63" ht="28.5" customHeight="1">
      <c r="A63" s="259"/>
      <c r="E63" s="302"/>
    </row>
    <row r="64" ht="28.5" customHeight="1">
      <c r="A64" s="259"/>
      <c r="E64" s="302"/>
    </row>
    <row r="65" ht="28.5" customHeight="1">
      <c r="A65" s="259"/>
      <c r="E65" s="302"/>
    </row>
    <row r="66" ht="28.5" customHeight="1">
      <c r="A66" s="259"/>
      <c r="E66" s="302"/>
    </row>
    <row r="67" ht="28.5" customHeight="1">
      <c r="A67" s="259"/>
      <c r="E67" s="302"/>
    </row>
    <row r="68" ht="28.5" customHeight="1">
      <c r="A68" s="259"/>
      <c r="E68" s="302"/>
    </row>
    <row r="69" ht="28.5" customHeight="1">
      <c r="A69" s="259"/>
      <c r="E69" s="302"/>
    </row>
    <row r="70" ht="28.5" customHeight="1">
      <c r="A70" s="259"/>
      <c r="E70" s="302"/>
    </row>
    <row r="71" ht="28.5" customHeight="1">
      <c r="A71" s="259"/>
      <c r="E71" s="302"/>
    </row>
    <row r="72" ht="28.5" customHeight="1">
      <c r="A72" s="259"/>
      <c r="E72" s="302"/>
    </row>
    <row r="73" ht="28.5" customHeight="1">
      <c r="A73" s="259"/>
      <c r="E73" s="302"/>
    </row>
    <row r="74" ht="28.5" customHeight="1">
      <c r="A74" s="259"/>
      <c r="E74" s="302"/>
    </row>
    <row r="75" ht="28.5" customHeight="1">
      <c r="A75" s="259"/>
      <c r="E75" s="302"/>
    </row>
    <row r="76" ht="28.5" customHeight="1">
      <c r="A76" s="259"/>
      <c r="E76" s="302"/>
    </row>
    <row r="77" ht="28.5" customHeight="1">
      <c r="A77" s="259"/>
      <c r="E77" s="302"/>
    </row>
    <row r="78" ht="28.5" customHeight="1">
      <c r="A78" s="259"/>
      <c r="E78" s="302"/>
    </row>
    <row r="79" ht="28.5" customHeight="1">
      <c r="A79" s="259"/>
      <c r="E79" s="302"/>
    </row>
    <row r="80" ht="28.5" customHeight="1">
      <c r="A80" s="259"/>
      <c r="E80" s="302"/>
    </row>
    <row r="81" ht="28.5" customHeight="1">
      <c r="A81" s="259"/>
      <c r="E81" s="302"/>
    </row>
    <row r="82" ht="28.5" customHeight="1">
      <c r="A82" s="259"/>
      <c r="E82" s="302"/>
    </row>
    <row r="83" ht="28.5" customHeight="1">
      <c r="A83" s="259"/>
      <c r="E83" s="302"/>
    </row>
    <row r="84" ht="28.5" customHeight="1">
      <c r="A84" s="259"/>
      <c r="E84" s="302"/>
    </row>
    <row r="85" ht="28.5" customHeight="1">
      <c r="A85" s="259"/>
      <c r="E85" s="302"/>
    </row>
    <row r="86" ht="28.5" customHeight="1">
      <c r="A86" s="259"/>
      <c r="E86" s="302"/>
    </row>
    <row r="87" ht="28.5" customHeight="1">
      <c r="A87" s="259"/>
      <c r="E87" s="302"/>
    </row>
    <row r="88" ht="28.5" customHeight="1">
      <c r="A88" s="259"/>
      <c r="E88" s="302"/>
    </row>
    <row r="89" ht="28.5" customHeight="1">
      <c r="A89" s="259"/>
      <c r="E89" s="302"/>
    </row>
    <row r="90" ht="28.5" customHeight="1">
      <c r="A90" s="259"/>
      <c r="E90" s="302"/>
    </row>
    <row r="91" ht="28.5" customHeight="1">
      <c r="A91" s="259"/>
      <c r="E91" s="302"/>
    </row>
    <row r="92" ht="28.5" customHeight="1">
      <c r="A92" s="259"/>
      <c r="E92" s="302"/>
    </row>
    <row r="93" ht="28.5" customHeight="1">
      <c r="A93" s="259"/>
      <c r="E93" s="302"/>
    </row>
    <row r="94" ht="28.5" customHeight="1">
      <c r="A94" s="259"/>
      <c r="E94" s="302"/>
    </row>
    <row r="95" ht="28.5" customHeight="1">
      <c r="A95" s="259"/>
      <c r="E95" s="302"/>
    </row>
    <row r="96" ht="28.5" customHeight="1">
      <c r="A96" s="259"/>
      <c r="E96" s="302"/>
    </row>
    <row r="97" ht="28.5" customHeight="1">
      <c r="A97" s="259"/>
      <c r="E97" s="302"/>
    </row>
    <row r="98" ht="28.5" customHeight="1">
      <c r="A98" s="259"/>
      <c r="E98" s="302"/>
    </row>
    <row r="99" ht="28.5" customHeight="1">
      <c r="A99" s="259"/>
      <c r="E99" s="302"/>
    </row>
    <row r="100" ht="28.5" customHeight="1">
      <c r="A100" s="259"/>
      <c r="E100" s="302"/>
    </row>
    <row r="101" ht="28.5" customHeight="1">
      <c r="A101" s="259"/>
      <c r="E101" s="302"/>
    </row>
    <row r="102" ht="28.5" customHeight="1">
      <c r="A102" s="259"/>
      <c r="E102" s="302"/>
    </row>
    <row r="103" ht="28.5" customHeight="1">
      <c r="A103" s="259"/>
      <c r="E103" s="302"/>
    </row>
    <row r="104" ht="28.5" customHeight="1">
      <c r="A104" s="259"/>
      <c r="E104" s="302"/>
    </row>
    <row r="105" ht="28.5" customHeight="1">
      <c r="A105" s="259"/>
      <c r="E105" s="302"/>
    </row>
    <row r="106" ht="28.5" customHeight="1">
      <c r="A106" s="259"/>
      <c r="E106" s="302"/>
    </row>
    <row r="107" ht="28.5" customHeight="1">
      <c r="A107" s="259"/>
      <c r="E107" s="302"/>
    </row>
    <row r="108" ht="28.5" customHeight="1">
      <c r="A108" s="259"/>
      <c r="E108" s="302"/>
    </row>
    <row r="109" ht="28.5" customHeight="1">
      <c r="A109" s="259"/>
      <c r="E109" s="302"/>
    </row>
    <row r="110" ht="28.5" customHeight="1">
      <c r="A110" s="259"/>
      <c r="E110" s="302"/>
    </row>
    <row r="111" ht="28.5" customHeight="1">
      <c r="A111" s="259"/>
      <c r="E111" s="302"/>
    </row>
    <row r="112" ht="28.5" customHeight="1">
      <c r="A112" s="259"/>
      <c r="E112" s="302"/>
    </row>
    <row r="113" ht="28.5" customHeight="1">
      <c r="A113" s="259"/>
      <c r="E113" s="302"/>
    </row>
    <row r="114" ht="28.5" customHeight="1">
      <c r="A114" s="259"/>
      <c r="E114" s="302"/>
    </row>
    <row r="115" ht="28.5" customHeight="1">
      <c r="A115" s="259"/>
      <c r="E115" s="302"/>
    </row>
    <row r="116" ht="28.5" customHeight="1">
      <c r="A116" s="259"/>
      <c r="E116" s="302"/>
    </row>
    <row r="117" ht="28.5" customHeight="1">
      <c r="A117" s="259"/>
      <c r="E117" s="302"/>
    </row>
    <row r="118" ht="28.5" customHeight="1">
      <c r="A118" s="259"/>
      <c r="E118" s="302"/>
    </row>
    <row r="119" ht="28.5" customHeight="1">
      <c r="A119" s="259"/>
      <c r="E119" s="302"/>
    </row>
    <row r="120" ht="28.5" customHeight="1">
      <c r="A120" s="259"/>
      <c r="E120" s="302"/>
    </row>
    <row r="121" ht="28.5" customHeight="1">
      <c r="A121" s="259"/>
      <c r="E121" s="302"/>
    </row>
    <row r="122" ht="28.5" customHeight="1">
      <c r="A122" s="259"/>
      <c r="E122" s="302"/>
    </row>
    <row r="123" ht="28.5" customHeight="1">
      <c r="A123" s="259"/>
      <c r="E123" s="302"/>
    </row>
    <row r="124" ht="28.5" customHeight="1">
      <c r="A124" s="259"/>
      <c r="E124" s="302"/>
    </row>
    <row r="125" ht="28.5" customHeight="1">
      <c r="A125" s="259"/>
      <c r="E125" s="302"/>
    </row>
    <row r="126" ht="28.5" customHeight="1">
      <c r="A126" s="259"/>
      <c r="E126" s="302"/>
    </row>
    <row r="127" ht="28.5" customHeight="1">
      <c r="A127" s="259"/>
      <c r="E127" s="302"/>
    </row>
    <row r="128" ht="28.5" customHeight="1">
      <c r="A128" s="259"/>
      <c r="E128" s="302"/>
    </row>
    <row r="129" ht="28.5" customHeight="1">
      <c r="A129" s="259"/>
      <c r="E129" s="302"/>
    </row>
    <row r="130" ht="28.5" customHeight="1">
      <c r="A130" s="259"/>
      <c r="E130" s="302"/>
    </row>
    <row r="131" ht="28.5" customHeight="1">
      <c r="A131" s="259"/>
      <c r="E131" s="302"/>
    </row>
    <row r="132" ht="28.5" customHeight="1">
      <c r="A132" s="259"/>
      <c r="E132" s="302"/>
    </row>
    <row r="133" ht="28.5" customHeight="1">
      <c r="A133" s="259"/>
      <c r="E133" s="302"/>
    </row>
    <row r="134" ht="28.5" customHeight="1">
      <c r="A134" s="259"/>
      <c r="E134" s="302"/>
    </row>
    <row r="135" ht="28.5" customHeight="1">
      <c r="A135" s="259"/>
      <c r="E135" s="302"/>
    </row>
    <row r="136" ht="28.5" customHeight="1">
      <c r="A136" s="259"/>
      <c r="E136" s="302"/>
    </row>
    <row r="137" ht="28.5" customHeight="1">
      <c r="A137" s="259"/>
      <c r="E137" s="302"/>
    </row>
    <row r="138" ht="28.5" customHeight="1">
      <c r="A138" s="259"/>
      <c r="E138" s="302"/>
    </row>
    <row r="139" ht="28.5" customHeight="1">
      <c r="A139" s="259"/>
      <c r="E139" s="302"/>
    </row>
    <row r="140" ht="28.5" customHeight="1">
      <c r="A140" s="259"/>
      <c r="E140" s="302"/>
    </row>
    <row r="141" ht="28.5" customHeight="1">
      <c r="A141" s="259"/>
      <c r="E141" s="302"/>
    </row>
    <row r="142" ht="28.5" customHeight="1">
      <c r="A142" s="259"/>
      <c r="E142" s="302"/>
    </row>
    <row r="143" ht="28.5" customHeight="1">
      <c r="A143" s="259"/>
      <c r="E143" s="302"/>
    </row>
    <row r="144" ht="28.5" customHeight="1">
      <c r="A144" s="259"/>
      <c r="E144" s="302"/>
    </row>
    <row r="145" ht="28.5" customHeight="1">
      <c r="A145" s="259"/>
      <c r="E145" s="302"/>
    </row>
    <row r="146" ht="28.5" customHeight="1">
      <c r="A146" s="259"/>
      <c r="E146" s="302"/>
    </row>
    <row r="147" ht="28.5" customHeight="1">
      <c r="A147" s="259"/>
      <c r="E147" s="302"/>
    </row>
    <row r="148" ht="28.5" customHeight="1">
      <c r="A148" s="259"/>
      <c r="E148" s="302"/>
    </row>
    <row r="149" ht="28.5" customHeight="1">
      <c r="A149" s="259"/>
      <c r="E149" s="302"/>
    </row>
    <row r="150" ht="28.5" customHeight="1">
      <c r="A150" s="259"/>
      <c r="E150" s="302"/>
    </row>
    <row r="151" ht="28.5" customHeight="1">
      <c r="A151" s="259"/>
      <c r="E151" s="302"/>
    </row>
    <row r="152" ht="28.5" customHeight="1">
      <c r="A152" s="259"/>
      <c r="E152" s="302"/>
    </row>
    <row r="153" ht="28.5" customHeight="1">
      <c r="A153" s="259"/>
      <c r="E153" s="302"/>
    </row>
    <row r="154" ht="28.5" customHeight="1">
      <c r="A154" s="259"/>
      <c r="E154" s="302"/>
    </row>
    <row r="155" ht="28.5" customHeight="1">
      <c r="A155" s="259"/>
      <c r="E155" s="302"/>
    </row>
    <row r="156" ht="28.5" customHeight="1">
      <c r="A156" s="259"/>
      <c r="E156" s="302"/>
    </row>
    <row r="157" ht="28.5" customHeight="1">
      <c r="A157" s="259"/>
      <c r="E157" s="302"/>
    </row>
    <row r="158" ht="28.5" customHeight="1">
      <c r="A158" s="259"/>
      <c r="E158" s="302"/>
    </row>
    <row r="159" ht="28.5" customHeight="1">
      <c r="A159" s="259"/>
      <c r="E159" s="302"/>
    </row>
    <row r="160" ht="28.5" customHeight="1">
      <c r="A160" s="259"/>
      <c r="E160" s="302"/>
    </row>
    <row r="161" ht="28.5" customHeight="1">
      <c r="A161" s="259"/>
      <c r="E161" s="302"/>
    </row>
    <row r="162" ht="28.5" customHeight="1">
      <c r="A162" s="259"/>
      <c r="E162" s="302"/>
    </row>
    <row r="163" ht="28.5" customHeight="1">
      <c r="A163" s="259"/>
      <c r="E163" s="302"/>
    </row>
    <row r="164" ht="28.5" customHeight="1">
      <c r="A164" s="259"/>
      <c r="E164" s="302"/>
    </row>
    <row r="165" ht="28.5" customHeight="1">
      <c r="A165" s="259"/>
      <c r="E165" s="302"/>
    </row>
    <row r="166" ht="28.5" customHeight="1">
      <c r="A166" s="259"/>
      <c r="E166" s="302"/>
    </row>
    <row r="167" ht="28.5" customHeight="1">
      <c r="A167" s="259"/>
      <c r="E167" s="302"/>
    </row>
    <row r="168" ht="28.5" customHeight="1">
      <c r="A168" s="259"/>
      <c r="E168" s="302"/>
    </row>
    <row r="169" ht="28.5" customHeight="1">
      <c r="A169" s="259"/>
      <c r="E169" s="302"/>
    </row>
    <row r="170" ht="28.5" customHeight="1">
      <c r="A170" s="259"/>
      <c r="E170" s="302"/>
    </row>
    <row r="171" ht="28.5" customHeight="1">
      <c r="A171" s="259"/>
      <c r="E171" s="302"/>
    </row>
    <row r="172" ht="28.5" customHeight="1">
      <c r="A172" s="259"/>
      <c r="E172" s="302"/>
    </row>
    <row r="173" ht="28.5" customHeight="1">
      <c r="A173" s="259"/>
      <c r="E173" s="302"/>
    </row>
    <row r="174" ht="28.5" customHeight="1">
      <c r="A174" s="259"/>
      <c r="E174" s="302"/>
    </row>
    <row r="175" ht="28.5" customHeight="1">
      <c r="A175" s="259"/>
      <c r="E175" s="302"/>
    </row>
    <row r="176" ht="28.5" customHeight="1">
      <c r="A176" s="259"/>
      <c r="E176" s="302"/>
    </row>
    <row r="177" ht="28.5" customHeight="1">
      <c r="A177" s="259"/>
      <c r="E177" s="302"/>
    </row>
    <row r="178" ht="28.5" customHeight="1">
      <c r="A178" s="259"/>
      <c r="E178" s="302"/>
    </row>
    <row r="179" ht="28.5" customHeight="1">
      <c r="A179" s="259"/>
      <c r="E179" s="302"/>
    </row>
    <row r="180" ht="28.5" customHeight="1">
      <c r="A180" s="259"/>
      <c r="E180" s="302"/>
    </row>
    <row r="181" ht="28.5" customHeight="1">
      <c r="A181" s="259"/>
      <c r="E181" s="302"/>
    </row>
    <row r="182" ht="28.5" customHeight="1">
      <c r="A182" s="259"/>
      <c r="E182" s="302"/>
    </row>
    <row r="183" ht="28.5" customHeight="1">
      <c r="A183" s="259"/>
      <c r="E183" s="302"/>
    </row>
    <row r="184" ht="28.5" customHeight="1">
      <c r="A184" s="259"/>
      <c r="E184" s="302"/>
    </row>
    <row r="185" ht="28.5" customHeight="1">
      <c r="A185" s="259"/>
      <c r="E185" s="302"/>
    </row>
    <row r="186" ht="28.5" customHeight="1">
      <c r="A186" s="259"/>
      <c r="E186" s="302"/>
    </row>
    <row r="187" ht="28.5" customHeight="1">
      <c r="A187" s="259"/>
      <c r="E187" s="302"/>
    </row>
    <row r="188" ht="28.5" customHeight="1">
      <c r="A188" s="259"/>
      <c r="E188" s="302"/>
    </row>
    <row r="189" ht="28.5" customHeight="1">
      <c r="A189" s="259"/>
      <c r="E189" s="302"/>
    </row>
    <row r="190" ht="28.5" customHeight="1">
      <c r="A190" s="259"/>
      <c r="E190" s="302"/>
    </row>
    <row r="191" ht="28.5" customHeight="1">
      <c r="A191" s="259"/>
      <c r="E191" s="302"/>
    </row>
    <row r="192" ht="28.5" customHeight="1">
      <c r="A192" s="259"/>
      <c r="E192" s="302"/>
    </row>
    <row r="193" ht="28.5" customHeight="1">
      <c r="A193" s="259"/>
      <c r="E193" s="302"/>
    </row>
    <row r="194" ht="28.5" customHeight="1">
      <c r="A194" s="259"/>
      <c r="E194" s="302"/>
    </row>
    <row r="195" ht="28.5" customHeight="1">
      <c r="A195" s="259"/>
      <c r="E195" s="302"/>
    </row>
    <row r="196" ht="28.5" customHeight="1">
      <c r="A196" s="259"/>
      <c r="E196" s="302"/>
    </row>
    <row r="197" ht="28.5" customHeight="1">
      <c r="A197" s="259"/>
      <c r="E197" s="302"/>
    </row>
    <row r="198" ht="28.5" customHeight="1">
      <c r="A198" s="259"/>
      <c r="E198" s="302"/>
    </row>
    <row r="199" ht="28.5" customHeight="1">
      <c r="A199" s="259"/>
      <c r="E199" s="302"/>
    </row>
    <row r="200" ht="28.5" customHeight="1">
      <c r="A200" s="259"/>
      <c r="E200" s="302"/>
    </row>
    <row r="201" ht="28.5" customHeight="1">
      <c r="A201" s="259"/>
      <c r="E201" s="302"/>
    </row>
    <row r="202" ht="28.5" customHeight="1">
      <c r="A202" s="259"/>
      <c r="E202" s="302"/>
    </row>
    <row r="203" ht="28.5" customHeight="1">
      <c r="A203" s="259"/>
      <c r="E203" s="302"/>
    </row>
    <row r="204" ht="28.5" customHeight="1">
      <c r="A204" s="259"/>
      <c r="E204" s="302"/>
    </row>
    <row r="205" ht="28.5" customHeight="1">
      <c r="A205" s="259"/>
      <c r="E205" s="302"/>
    </row>
    <row r="206" ht="28.5" customHeight="1">
      <c r="A206" s="259"/>
      <c r="E206" s="302"/>
    </row>
    <row r="207" ht="28.5" customHeight="1">
      <c r="A207" s="259"/>
      <c r="E207" s="302"/>
    </row>
    <row r="208" ht="28.5" customHeight="1">
      <c r="A208" s="259"/>
      <c r="E208" s="302"/>
    </row>
    <row r="209" ht="28.5" customHeight="1">
      <c r="A209" s="259"/>
      <c r="E209" s="302"/>
    </row>
    <row r="210" ht="28.5" customHeight="1">
      <c r="A210" s="259"/>
      <c r="E210" s="302"/>
    </row>
    <row r="211" ht="28.5" customHeight="1">
      <c r="A211" s="259"/>
      <c r="E211" s="302"/>
    </row>
    <row r="212" ht="28.5" customHeight="1">
      <c r="A212" s="259"/>
      <c r="E212" s="302"/>
    </row>
    <row r="213" ht="28.5" customHeight="1">
      <c r="A213" s="259"/>
      <c r="E213" s="302"/>
    </row>
    <row r="214" ht="28.5" customHeight="1">
      <c r="A214" s="259"/>
      <c r="E214" s="302"/>
    </row>
    <row r="215" ht="28.5" customHeight="1">
      <c r="A215" s="259"/>
      <c r="E215" s="302"/>
    </row>
    <row r="216" ht="28.5" customHeight="1">
      <c r="A216" s="259"/>
      <c r="E216" s="302"/>
    </row>
    <row r="217" ht="28.5" customHeight="1">
      <c r="A217" s="259"/>
      <c r="E217" s="302"/>
    </row>
    <row r="218" ht="28.5" customHeight="1">
      <c r="A218" s="259"/>
      <c r="E218" s="302"/>
    </row>
    <row r="219" ht="28.5" customHeight="1">
      <c r="A219" s="259"/>
      <c r="E219" s="302"/>
    </row>
    <row r="220" ht="28.5" customHeight="1">
      <c r="A220" s="259"/>
      <c r="E220" s="302"/>
    </row>
    <row r="221" ht="28.5" customHeight="1">
      <c r="A221" s="259"/>
      <c r="E221" s="302"/>
    </row>
    <row r="222" ht="28.5" customHeight="1">
      <c r="A222" s="259"/>
      <c r="E222" s="302"/>
    </row>
    <row r="223" ht="28.5" customHeight="1">
      <c r="A223" s="259"/>
      <c r="E223" s="302"/>
    </row>
    <row r="224" ht="28.5" customHeight="1">
      <c r="A224" s="259"/>
      <c r="E224" s="302"/>
    </row>
    <row r="225" ht="28.5" customHeight="1">
      <c r="A225" s="259"/>
      <c r="E225" s="302"/>
    </row>
    <row r="226" ht="28.5" customHeight="1">
      <c r="A226" s="259"/>
      <c r="E226" s="302"/>
    </row>
    <row r="227" ht="28.5" customHeight="1">
      <c r="A227" s="259"/>
      <c r="E227" s="302"/>
    </row>
    <row r="228" ht="28.5" customHeight="1">
      <c r="A228" s="259"/>
      <c r="E228" s="302"/>
    </row>
    <row r="229" ht="28.5" customHeight="1">
      <c r="A229" s="259"/>
      <c r="E229" s="302"/>
    </row>
    <row r="230" ht="28.5" customHeight="1">
      <c r="A230" s="259"/>
      <c r="E230" s="302"/>
    </row>
    <row r="231" ht="28.5" customHeight="1">
      <c r="A231" s="259"/>
      <c r="E231" s="302"/>
    </row>
    <row r="232" ht="28.5" customHeight="1">
      <c r="A232" s="259"/>
      <c r="E232" s="302"/>
    </row>
    <row r="233" ht="28.5" customHeight="1">
      <c r="A233" s="259"/>
      <c r="E233" s="302"/>
    </row>
    <row r="234" ht="28.5" customHeight="1">
      <c r="A234" s="259"/>
      <c r="E234" s="302"/>
    </row>
    <row r="235" ht="28.5" customHeight="1">
      <c r="A235" s="259"/>
      <c r="E235" s="302"/>
    </row>
    <row r="236" ht="28.5" customHeight="1">
      <c r="A236" s="259"/>
      <c r="E236" s="302"/>
    </row>
    <row r="237" ht="28.5" customHeight="1">
      <c r="A237" s="259"/>
      <c r="E237" s="302"/>
    </row>
    <row r="238" ht="28.5" customHeight="1">
      <c r="A238" s="259"/>
      <c r="E238" s="302"/>
    </row>
    <row r="239" ht="28.5" customHeight="1">
      <c r="A239" s="259"/>
      <c r="E239" s="302"/>
    </row>
    <row r="240" ht="28.5" customHeight="1">
      <c r="A240" s="259"/>
      <c r="E240" s="302"/>
    </row>
    <row r="241" ht="28.5" customHeight="1">
      <c r="A241" s="259"/>
      <c r="E241" s="302"/>
    </row>
    <row r="242" ht="28.5" customHeight="1">
      <c r="A242" s="259"/>
      <c r="E242" s="302"/>
    </row>
    <row r="243" ht="28.5" customHeight="1">
      <c r="A243" s="259"/>
      <c r="E243" s="302"/>
    </row>
    <row r="244" ht="28.5" customHeight="1">
      <c r="A244" s="259"/>
      <c r="E244" s="302"/>
    </row>
    <row r="245" ht="28.5" customHeight="1">
      <c r="A245" s="259"/>
      <c r="E245" s="302"/>
    </row>
    <row r="246" ht="28.5" customHeight="1">
      <c r="A246" s="259"/>
      <c r="E246" s="302"/>
    </row>
    <row r="247" ht="28.5" customHeight="1">
      <c r="A247" s="259"/>
      <c r="E247" s="302"/>
    </row>
    <row r="248" ht="28.5" customHeight="1">
      <c r="A248" s="259"/>
      <c r="E248" s="302"/>
    </row>
    <row r="249" ht="28.5" customHeight="1">
      <c r="A249" s="259"/>
      <c r="E249" s="302"/>
    </row>
    <row r="250" ht="28.5" customHeight="1">
      <c r="A250" s="259"/>
      <c r="E250" s="302"/>
    </row>
    <row r="251" ht="28.5" customHeight="1">
      <c r="A251" s="259"/>
      <c r="E251" s="302"/>
    </row>
    <row r="252" ht="28.5" customHeight="1">
      <c r="A252" s="259"/>
      <c r="E252" s="302"/>
    </row>
    <row r="253" ht="28.5" customHeight="1">
      <c r="A253" s="259"/>
      <c r="E253" s="302"/>
    </row>
    <row r="254" ht="28.5" customHeight="1">
      <c r="A254" s="259"/>
      <c r="E254" s="302"/>
    </row>
    <row r="255" ht="28.5" customHeight="1">
      <c r="A255" s="259"/>
      <c r="E255" s="302"/>
    </row>
    <row r="256" ht="28.5" customHeight="1">
      <c r="A256" s="259"/>
      <c r="E256" s="302"/>
    </row>
    <row r="257" ht="28.5" customHeight="1">
      <c r="A257" s="259"/>
      <c r="E257" s="302"/>
    </row>
    <row r="258" ht="28.5" customHeight="1">
      <c r="A258" s="259"/>
      <c r="E258" s="302"/>
    </row>
    <row r="259" ht="28.5" customHeight="1">
      <c r="A259" s="259"/>
      <c r="E259" s="302"/>
    </row>
    <row r="260" ht="28.5" customHeight="1">
      <c r="A260" s="259"/>
      <c r="E260" s="302"/>
    </row>
    <row r="261" ht="28.5" customHeight="1">
      <c r="A261" s="259"/>
      <c r="E261" s="302"/>
    </row>
    <row r="262" ht="28.5" customHeight="1">
      <c r="A262" s="259"/>
      <c r="E262" s="302"/>
    </row>
    <row r="263" ht="28.5" customHeight="1">
      <c r="A263" s="259"/>
      <c r="E263" s="302"/>
    </row>
    <row r="264" ht="28.5" customHeight="1">
      <c r="A264" s="259"/>
      <c r="E264" s="302"/>
    </row>
    <row r="265" ht="28.5" customHeight="1">
      <c r="A265" s="259"/>
      <c r="E265" s="302"/>
    </row>
    <row r="266" ht="28.5" customHeight="1">
      <c r="A266" s="259"/>
      <c r="E266" s="302"/>
    </row>
    <row r="267" ht="28.5" customHeight="1">
      <c r="A267" s="259"/>
      <c r="E267" s="302"/>
    </row>
    <row r="268" ht="28.5" customHeight="1">
      <c r="A268" s="259"/>
      <c r="E268" s="302"/>
    </row>
    <row r="269" ht="28.5" customHeight="1">
      <c r="A269" s="259"/>
      <c r="E269" s="302"/>
    </row>
    <row r="270" ht="28.5" customHeight="1">
      <c r="A270" s="259"/>
      <c r="E270" s="302"/>
    </row>
    <row r="271" ht="28.5" customHeight="1">
      <c r="A271" s="259"/>
      <c r="E271" s="302"/>
    </row>
    <row r="272" ht="28.5" customHeight="1">
      <c r="A272" s="259"/>
      <c r="E272" s="302"/>
    </row>
    <row r="273" ht="28.5" customHeight="1">
      <c r="A273" s="259"/>
      <c r="E273" s="302"/>
    </row>
    <row r="274" ht="28.5" customHeight="1">
      <c r="A274" s="259"/>
      <c r="E274" s="302"/>
    </row>
    <row r="275" ht="28.5" customHeight="1">
      <c r="A275" s="259"/>
      <c r="E275" s="302"/>
    </row>
    <row r="276" ht="28.5" customHeight="1">
      <c r="A276" s="259"/>
      <c r="E276" s="302"/>
    </row>
    <row r="277" ht="28.5" customHeight="1">
      <c r="A277" s="259"/>
      <c r="E277" s="302"/>
    </row>
    <row r="278" ht="28.5" customHeight="1">
      <c r="A278" s="259"/>
      <c r="E278" s="302"/>
    </row>
    <row r="279" ht="28.5" customHeight="1">
      <c r="A279" s="259"/>
      <c r="E279" s="302"/>
    </row>
    <row r="280" ht="28.5" customHeight="1">
      <c r="A280" s="259"/>
      <c r="E280" s="302"/>
    </row>
    <row r="281" ht="28.5" customHeight="1">
      <c r="A281" s="259"/>
      <c r="E281" s="302"/>
    </row>
    <row r="282" ht="28.5" customHeight="1">
      <c r="A282" s="259"/>
      <c r="E282" s="302"/>
    </row>
    <row r="283" ht="28.5" customHeight="1">
      <c r="A283" s="259"/>
      <c r="E283" s="302"/>
    </row>
    <row r="284" ht="28.5" customHeight="1">
      <c r="A284" s="259"/>
      <c r="E284" s="302"/>
    </row>
    <row r="285" ht="28.5" customHeight="1">
      <c r="A285" s="259"/>
      <c r="E285" s="302"/>
    </row>
    <row r="286" ht="28.5" customHeight="1">
      <c r="A286" s="259"/>
      <c r="E286" s="302"/>
    </row>
    <row r="287" ht="28.5" customHeight="1">
      <c r="A287" s="259"/>
      <c r="E287" s="302"/>
    </row>
    <row r="288" ht="28.5" customHeight="1">
      <c r="A288" s="259"/>
      <c r="E288" s="302"/>
    </row>
    <row r="289" ht="28.5" customHeight="1">
      <c r="A289" s="259"/>
      <c r="E289" s="302"/>
    </row>
    <row r="290" ht="28.5" customHeight="1">
      <c r="A290" s="259"/>
      <c r="E290" s="302"/>
    </row>
    <row r="291" ht="28.5" customHeight="1">
      <c r="A291" s="259"/>
      <c r="E291" s="302"/>
    </row>
    <row r="292" ht="28.5" customHeight="1">
      <c r="A292" s="259"/>
      <c r="E292" s="302"/>
    </row>
    <row r="293" ht="28.5" customHeight="1">
      <c r="A293" s="259"/>
      <c r="E293" s="302"/>
    </row>
    <row r="294" ht="28.5" customHeight="1">
      <c r="A294" s="259"/>
      <c r="E294" s="302"/>
    </row>
    <row r="295" ht="28.5" customHeight="1">
      <c r="A295" s="259"/>
      <c r="E295" s="302"/>
    </row>
    <row r="296" ht="28.5" customHeight="1">
      <c r="A296" s="259"/>
      <c r="E296" s="302"/>
    </row>
    <row r="297" ht="28.5" customHeight="1">
      <c r="A297" s="259"/>
      <c r="E297" s="302"/>
    </row>
    <row r="298" ht="28.5" customHeight="1">
      <c r="A298" s="259"/>
      <c r="E298" s="302"/>
    </row>
    <row r="299" ht="28.5" customHeight="1">
      <c r="A299" s="259"/>
      <c r="E299" s="302"/>
    </row>
    <row r="300" ht="28.5" customHeight="1">
      <c r="A300" s="259"/>
      <c r="E300" s="302"/>
    </row>
    <row r="301" ht="28.5" customHeight="1">
      <c r="A301" s="259"/>
      <c r="E301" s="302"/>
    </row>
    <row r="302" ht="28.5" customHeight="1">
      <c r="A302" s="259"/>
      <c r="E302" s="302"/>
    </row>
    <row r="303" ht="28.5" customHeight="1">
      <c r="A303" s="259"/>
      <c r="E303" s="302"/>
    </row>
    <row r="304" ht="28.5" customHeight="1">
      <c r="A304" s="259"/>
      <c r="E304" s="302"/>
    </row>
    <row r="305" ht="28.5" customHeight="1">
      <c r="A305" s="259"/>
      <c r="E305" s="302"/>
    </row>
    <row r="306" ht="28.5" customHeight="1">
      <c r="A306" s="259"/>
      <c r="E306" s="302"/>
    </row>
    <row r="307" ht="28.5" customHeight="1">
      <c r="A307" s="259"/>
      <c r="E307" s="302"/>
    </row>
    <row r="308" ht="28.5" customHeight="1">
      <c r="A308" s="259"/>
      <c r="E308" s="302"/>
    </row>
    <row r="309" ht="28.5" customHeight="1">
      <c r="A309" s="259"/>
      <c r="E309" s="302"/>
    </row>
    <row r="310" ht="28.5" customHeight="1">
      <c r="A310" s="259"/>
      <c r="E310" s="302"/>
    </row>
    <row r="311" ht="28.5" customHeight="1">
      <c r="A311" s="259"/>
      <c r="E311" s="302"/>
    </row>
    <row r="312" ht="28.5" customHeight="1">
      <c r="A312" s="259"/>
      <c r="E312" s="302"/>
    </row>
    <row r="313" ht="28.5" customHeight="1">
      <c r="A313" s="259"/>
      <c r="E313" s="302"/>
    </row>
    <row r="314" ht="28.5" customHeight="1">
      <c r="A314" s="259"/>
      <c r="E314" s="302"/>
    </row>
    <row r="315" ht="28.5" customHeight="1">
      <c r="A315" s="259"/>
      <c r="E315" s="302"/>
    </row>
    <row r="316" ht="28.5" customHeight="1">
      <c r="A316" s="259"/>
      <c r="E316" s="302"/>
    </row>
    <row r="317" ht="28.5" customHeight="1">
      <c r="A317" s="259"/>
      <c r="E317" s="302"/>
    </row>
    <row r="318" ht="28.5" customHeight="1">
      <c r="A318" s="259"/>
      <c r="E318" s="302"/>
    </row>
    <row r="319" ht="28.5" customHeight="1">
      <c r="A319" s="259"/>
      <c r="E319" s="302"/>
    </row>
    <row r="320" ht="28.5" customHeight="1">
      <c r="A320" s="259"/>
      <c r="E320" s="302"/>
    </row>
    <row r="321" ht="28.5" customHeight="1">
      <c r="A321" s="259"/>
      <c r="E321" s="302"/>
    </row>
    <row r="322" ht="28.5" customHeight="1">
      <c r="A322" s="259"/>
      <c r="E322" s="302"/>
    </row>
    <row r="323" ht="28.5" customHeight="1">
      <c r="A323" s="259"/>
      <c r="E323" s="302"/>
    </row>
    <row r="324" ht="28.5" customHeight="1">
      <c r="A324" s="259"/>
      <c r="E324" s="302"/>
    </row>
    <row r="325" ht="28.5" customHeight="1">
      <c r="A325" s="259"/>
      <c r="E325" s="302"/>
    </row>
    <row r="326" ht="28.5" customHeight="1">
      <c r="A326" s="259"/>
      <c r="E326" s="302"/>
    </row>
    <row r="327" ht="28.5" customHeight="1">
      <c r="A327" s="259"/>
      <c r="E327" s="302"/>
    </row>
    <row r="328" ht="28.5" customHeight="1">
      <c r="A328" s="259"/>
      <c r="E328" s="302"/>
    </row>
    <row r="329" ht="28.5" customHeight="1">
      <c r="A329" s="259"/>
      <c r="E329" s="302"/>
    </row>
    <row r="330" ht="28.5" customHeight="1">
      <c r="A330" s="259"/>
      <c r="E330" s="302"/>
    </row>
    <row r="331" ht="28.5" customHeight="1">
      <c r="A331" s="259"/>
      <c r="E331" s="302"/>
    </row>
    <row r="332" ht="28.5" customHeight="1">
      <c r="A332" s="259"/>
      <c r="E332" s="302"/>
    </row>
    <row r="333" ht="28.5" customHeight="1">
      <c r="A333" s="259"/>
      <c r="E333" s="302"/>
    </row>
    <row r="334" ht="28.5" customHeight="1">
      <c r="A334" s="259"/>
      <c r="E334" s="302"/>
    </row>
    <row r="335" ht="28.5" customHeight="1">
      <c r="A335" s="259"/>
      <c r="E335" s="302"/>
    </row>
    <row r="336" ht="28.5" customHeight="1">
      <c r="A336" s="259"/>
      <c r="E336" s="302"/>
    </row>
    <row r="337" ht="28.5" customHeight="1">
      <c r="A337" s="259"/>
      <c r="E337" s="302"/>
    </row>
    <row r="338" ht="28.5" customHeight="1">
      <c r="A338" s="259"/>
      <c r="E338" s="302"/>
    </row>
    <row r="339" ht="28.5" customHeight="1">
      <c r="A339" s="259"/>
      <c r="E339" s="302"/>
    </row>
    <row r="340" ht="28.5" customHeight="1">
      <c r="A340" s="259"/>
      <c r="E340" s="302"/>
    </row>
    <row r="341" ht="28.5" customHeight="1">
      <c r="A341" s="259"/>
      <c r="E341" s="302"/>
    </row>
    <row r="342" ht="28.5" customHeight="1">
      <c r="A342" s="259"/>
      <c r="E342" s="302"/>
    </row>
    <row r="343" ht="28.5" customHeight="1">
      <c r="A343" s="259"/>
      <c r="E343" s="302"/>
    </row>
    <row r="344" ht="28.5" customHeight="1">
      <c r="A344" s="259"/>
      <c r="E344" s="302"/>
    </row>
    <row r="345" ht="28.5" customHeight="1">
      <c r="A345" s="259"/>
      <c r="E345" s="302"/>
    </row>
    <row r="346" ht="28.5" customHeight="1">
      <c r="A346" s="259"/>
      <c r="E346" s="302"/>
    </row>
    <row r="347" ht="28.5" customHeight="1">
      <c r="A347" s="259"/>
      <c r="E347" s="302"/>
    </row>
    <row r="348" ht="28.5" customHeight="1">
      <c r="A348" s="259"/>
      <c r="E348" s="302"/>
    </row>
    <row r="349" ht="28.5" customHeight="1">
      <c r="A349" s="259"/>
      <c r="E349" s="302"/>
    </row>
    <row r="350" ht="28.5" customHeight="1">
      <c r="A350" s="259"/>
      <c r="E350" s="302"/>
    </row>
    <row r="351" ht="28.5" customHeight="1">
      <c r="A351" s="259"/>
      <c r="E351" s="302"/>
    </row>
    <row r="352" ht="28.5" customHeight="1">
      <c r="A352" s="259"/>
      <c r="E352" s="302"/>
    </row>
    <row r="353" ht="28.5" customHeight="1">
      <c r="A353" s="259"/>
      <c r="E353" s="302"/>
    </row>
    <row r="354" ht="28.5" customHeight="1">
      <c r="A354" s="259"/>
      <c r="E354" s="302"/>
    </row>
    <row r="355" ht="28.5" customHeight="1">
      <c r="A355" s="259"/>
      <c r="E355" s="302"/>
    </row>
    <row r="356" ht="28.5" customHeight="1">
      <c r="A356" s="259"/>
      <c r="E356" s="302"/>
    </row>
    <row r="357" ht="28.5" customHeight="1">
      <c r="A357" s="259"/>
      <c r="E357" s="302"/>
    </row>
    <row r="358" ht="28.5" customHeight="1">
      <c r="A358" s="259"/>
      <c r="E358" s="302"/>
    </row>
    <row r="359" ht="28.5" customHeight="1">
      <c r="A359" s="259"/>
      <c r="E359" s="302"/>
    </row>
    <row r="360" ht="28.5" customHeight="1">
      <c r="A360" s="259"/>
      <c r="E360" s="302"/>
    </row>
    <row r="361" ht="28.5" customHeight="1">
      <c r="A361" s="259"/>
      <c r="E361" s="302"/>
    </row>
    <row r="362" ht="28.5" customHeight="1">
      <c r="A362" s="259"/>
      <c r="E362" s="302"/>
    </row>
    <row r="363" ht="28.5" customHeight="1">
      <c r="A363" s="259"/>
      <c r="E363" s="302"/>
    </row>
    <row r="364" ht="28.5" customHeight="1">
      <c r="A364" s="259"/>
      <c r="E364" s="302"/>
    </row>
    <row r="365" ht="28.5" customHeight="1">
      <c r="A365" s="259"/>
      <c r="E365" s="302"/>
    </row>
    <row r="366" ht="28.5" customHeight="1">
      <c r="A366" s="259"/>
      <c r="E366" s="302"/>
    </row>
    <row r="367" ht="28.5" customHeight="1">
      <c r="A367" s="259"/>
      <c r="E367" s="302"/>
    </row>
    <row r="368" ht="28.5" customHeight="1">
      <c r="A368" s="259"/>
      <c r="E368" s="302"/>
    </row>
    <row r="369" ht="28.5" customHeight="1">
      <c r="A369" s="259"/>
      <c r="E369" s="302"/>
    </row>
    <row r="370" ht="28.5" customHeight="1">
      <c r="A370" s="259"/>
      <c r="E370" s="302"/>
    </row>
    <row r="371" ht="28.5" customHeight="1">
      <c r="A371" s="259"/>
      <c r="E371" s="302"/>
    </row>
    <row r="372" ht="28.5" customHeight="1">
      <c r="A372" s="259"/>
      <c r="E372" s="302"/>
    </row>
    <row r="373" ht="28.5" customHeight="1">
      <c r="A373" s="259"/>
      <c r="E373" s="302"/>
    </row>
    <row r="374" ht="28.5" customHeight="1">
      <c r="A374" s="259"/>
      <c r="E374" s="302"/>
    </row>
    <row r="375" ht="28.5" customHeight="1">
      <c r="A375" s="259"/>
      <c r="E375" s="302"/>
    </row>
    <row r="376" ht="28.5" customHeight="1">
      <c r="A376" s="259"/>
      <c r="E376" s="302"/>
    </row>
    <row r="377" ht="28.5" customHeight="1">
      <c r="A377" s="259"/>
      <c r="E377" s="302"/>
    </row>
    <row r="378" ht="28.5" customHeight="1">
      <c r="A378" s="259"/>
      <c r="E378" s="302"/>
    </row>
    <row r="379" ht="28.5" customHeight="1">
      <c r="A379" s="259"/>
      <c r="E379" s="302"/>
    </row>
    <row r="380" ht="28.5" customHeight="1">
      <c r="A380" s="259"/>
      <c r="E380" s="302"/>
    </row>
    <row r="381" ht="28.5" customHeight="1">
      <c r="A381" s="259"/>
      <c r="E381" s="302"/>
    </row>
    <row r="382" ht="28.5" customHeight="1">
      <c r="A382" s="259"/>
      <c r="E382" s="302"/>
    </row>
    <row r="383" ht="28.5" customHeight="1">
      <c r="A383" s="259"/>
      <c r="E383" s="302"/>
    </row>
    <row r="384" ht="28.5" customHeight="1">
      <c r="A384" s="259"/>
      <c r="E384" s="302"/>
    </row>
    <row r="385" ht="28.5" customHeight="1">
      <c r="A385" s="259"/>
      <c r="E385" s="302"/>
    </row>
    <row r="386" ht="28.5" customHeight="1">
      <c r="A386" s="259"/>
      <c r="E386" s="302"/>
    </row>
    <row r="387" ht="28.5" customHeight="1">
      <c r="A387" s="259"/>
      <c r="E387" s="302"/>
    </row>
    <row r="388" ht="28.5" customHeight="1">
      <c r="A388" s="259"/>
      <c r="E388" s="302"/>
    </row>
    <row r="389" ht="28.5" customHeight="1">
      <c r="A389" s="259"/>
      <c r="E389" s="302"/>
    </row>
    <row r="390" ht="28.5" customHeight="1">
      <c r="A390" s="259"/>
      <c r="E390" s="302"/>
    </row>
    <row r="391" ht="28.5" customHeight="1">
      <c r="A391" s="259"/>
      <c r="E391" s="302"/>
    </row>
    <row r="392" ht="28.5" customHeight="1">
      <c r="A392" s="259"/>
      <c r="E392" s="302"/>
    </row>
    <row r="393" ht="28.5" customHeight="1">
      <c r="A393" s="259"/>
      <c r="E393" s="302"/>
    </row>
    <row r="394" ht="28.5" customHeight="1">
      <c r="A394" s="259"/>
      <c r="E394" s="302"/>
    </row>
    <row r="395" ht="28.5" customHeight="1">
      <c r="A395" s="259"/>
      <c r="E395" s="302"/>
    </row>
    <row r="396" ht="28.5" customHeight="1">
      <c r="A396" s="259"/>
      <c r="E396" s="302"/>
    </row>
    <row r="397" ht="28.5" customHeight="1">
      <c r="A397" s="259"/>
      <c r="E397" s="302"/>
    </row>
    <row r="398" ht="28.5" customHeight="1">
      <c r="A398" s="259"/>
      <c r="E398" s="302"/>
    </row>
    <row r="399" ht="28.5" customHeight="1">
      <c r="A399" s="259"/>
      <c r="E399" s="302"/>
    </row>
    <row r="400" ht="28.5" customHeight="1">
      <c r="A400" s="259"/>
      <c r="E400" s="302"/>
    </row>
    <row r="401" ht="28.5" customHeight="1">
      <c r="A401" s="259"/>
      <c r="E401" s="302"/>
    </row>
    <row r="402" ht="28.5" customHeight="1">
      <c r="A402" s="259"/>
      <c r="E402" s="302"/>
    </row>
    <row r="403" ht="28.5" customHeight="1">
      <c r="A403" s="259"/>
      <c r="E403" s="302"/>
    </row>
    <row r="404" ht="28.5" customHeight="1">
      <c r="A404" s="259"/>
      <c r="E404" s="302"/>
    </row>
    <row r="405" ht="28.5" customHeight="1">
      <c r="A405" s="259"/>
      <c r="E405" s="302"/>
    </row>
    <row r="406" ht="28.5" customHeight="1">
      <c r="A406" s="259"/>
      <c r="E406" s="302"/>
    </row>
    <row r="407" ht="28.5" customHeight="1">
      <c r="A407" s="259"/>
      <c r="E407" s="302"/>
    </row>
    <row r="408" ht="28.5" customHeight="1">
      <c r="A408" s="259"/>
      <c r="E408" s="302"/>
    </row>
    <row r="409" ht="28.5" customHeight="1">
      <c r="A409" s="259"/>
      <c r="E409" s="302"/>
    </row>
    <row r="410" ht="28.5" customHeight="1">
      <c r="A410" s="259"/>
      <c r="E410" s="302"/>
    </row>
    <row r="411" ht="28.5" customHeight="1">
      <c r="A411" s="259"/>
      <c r="E411" s="302"/>
    </row>
    <row r="412" ht="28.5" customHeight="1">
      <c r="A412" s="259"/>
      <c r="E412" s="302"/>
    </row>
    <row r="413" ht="28.5" customHeight="1">
      <c r="A413" s="259"/>
      <c r="E413" s="302"/>
    </row>
    <row r="414" ht="28.5" customHeight="1">
      <c r="A414" s="259"/>
      <c r="E414" s="302"/>
    </row>
    <row r="415" ht="28.5" customHeight="1">
      <c r="A415" s="259"/>
      <c r="E415" s="302"/>
    </row>
    <row r="416" ht="28.5" customHeight="1">
      <c r="A416" s="259"/>
      <c r="E416" s="302"/>
    </row>
    <row r="417" ht="28.5" customHeight="1">
      <c r="A417" s="259"/>
      <c r="E417" s="302"/>
    </row>
    <row r="418" ht="28.5" customHeight="1">
      <c r="A418" s="259"/>
      <c r="E418" s="302"/>
    </row>
    <row r="419" ht="28.5" customHeight="1">
      <c r="A419" s="259"/>
      <c r="E419" s="302"/>
    </row>
    <row r="420" ht="28.5" customHeight="1">
      <c r="A420" s="259"/>
      <c r="E420" s="302"/>
    </row>
    <row r="421" ht="28.5" customHeight="1">
      <c r="A421" s="259"/>
      <c r="E421" s="302"/>
    </row>
    <row r="422" ht="28.5" customHeight="1">
      <c r="A422" s="259"/>
      <c r="E422" s="302"/>
    </row>
    <row r="423" ht="28.5" customHeight="1">
      <c r="A423" s="259"/>
      <c r="E423" s="302"/>
    </row>
    <row r="424" ht="28.5" customHeight="1">
      <c r="A424" s="259"/>
      <c r="E424" s="302"/>
    </row>
    <row r="425" ht="28.5" customHeight="1">
      <c r="A425" s="259"/>
      <c r="E425" s="302"/>
    </row>
    <row r="426" ht="28.5" customHeight="1">
      <c r="A426" s="259"/>
      <c r="E426" s="302"/>
    </row>
    <row r="427" ht="28.5" customHeight="1">
      <c r="A427" s="259"/>
      <c r="E427" s="302"/>
    </row>
    <row r="428" ht="28.5" customHeight="1">
      <c r="A428" s="259"/>
      <c r="E428" s="302"/>
    </row>
    <row r="429" ht="28.5" customHeight="1">
      <c r="A429" s="259"/>
      <c r="E429" s="302"/>
    </row>
    <row r="430" ht="28.5" customHeight="1">
      <c r="A430" s="259"/>
      <c r="E430" s="302"/>
    </row>
    <row r="431" ht="28.5" customHeight="1">
      <c r="A431" s="259"/>
      <c r="E431" s="302"/>
    </row>
    <row r="432" ht="28.5" customHeight="1">
      <c r="A432" s="259"/>
      <c r="E432" s="302"/>
    </row>
    <row r="433" ht="28.5" customHeight="1">
      <c r="A433" s="259"/>
      <c r="E433" s="302"/>
    </row>
    <row r="434" ht="28.5" customHeight="1">
      <c r="A434" s="259"/>
      <c r="E434" s="302"/>
    </row>
    <row r="435" ht="28.5" customHeight="1">
      <c r="A435" s="259"/>
      <c r="E435" s="302"/>
    </row>
    <row r="436" ht="28.5" customHeight="1">
      <c r="A436" s="259"/>
      <c r="E436" s="302"/>
    </row>
    <row r="437" ht="28.5" customHeight="1">
      <c r="A437" s="259"/>
      <c r="E437" s="302"/>
    </row>
    <row r="438" ht="28.5" customHeight="1">
      <c r="A438" s="259"/>
      <c r="E438" s="302"/>
    </row>
    <row r="439" ht="28.5" customHeight="1">
      <c r="A439" s="259"/>
      <c r="E439" s="302"/>
    </row>
    <row r="440" ht="28.5" customHeight="1">
      <c r="A440" s="259"/>
      <c r="E440" s="302"/>
    </row>
    <row r="441" ht="28.5" customHeight="1">
      <c r="A441" s="259"/>
      <c r="E441" s="302"/>
    </row>
    <row r="442" ht="28.5" customHeight="1">
      <c r="A442" s="259"/>
      <c r="E442" s="302"/>
    </row>
    <row r="443" ht="28.5" customHeight="1">
      <c r="A443" s="259"/>
      <c r="E443" s="302"/>
    </row>
    <row r="444" ht="28.5" customHeight="1">
      <c r="A444" s="259"/>
      <c r="E444" s="302"/>
    </row>
    <row r="445" ht="28.5" customHeight="1">
      <c r="A445" s="259"/>
      <c r="E445" s="302"/>
    </row>
    <row r="446" ht="28.5" customHeight="1">
      <c r="A446" s="259"/>
      <c r="E446" s="302"/>
    </row>
    <row r="447" ht="28.5" customHeight="1">
      <c r="A447" s="259"/>
      <c r="E447" s="302"/>
    </row>
    <row r="448" ht="28.5" customHeight="1">
      <c r="A448" s="259"/>
      <c r="E448" s="302"/>
    </row>
    <row r="449" ht="28.5" customHeight="1">
      <c r="A449" s="259"/>
      <c r="E449" s="302"/>
    </row>
    <row r="450" ht="28.5" customHeight="1">
      <c r="A450" s="259"/>
      <c r="E450" s="302"/>
    </row>
    <row r="451" ht="28.5" customHeight="1">
      <c r="A451" s="259"/>
      <c r="E451" s="302"/>
    </row>
    <row r="452" ht="28.5" customHeight="1">
      <c r="A452" s="259"/>
      <c r="E452" s="302"/>
    </row>
    <row r="453" ht="28.5" customHeight="1">
      <c r="A453" s="259"/>
      <c r="E453" s="302"/>
    </row>
    <row r="454" ht="28.5" customHeight="1">
      <c r="A454" s="259"/>
      <c r="E454" s="302"/>
    </row>
    <row r="455" ht="28.5" customHeight="1">
      <c r="A455" s="259"/>
      <c r="E455" s="302"/>
    </row>
    <row r="456" ht="28.5" customHeight="1">
      <c r="A456" s="259"/>
      <c r="E456" s="302"/>
    </row>
    <row r="457" ht="28.5" customHeight="1">
      <c r="A457" s="259"/>
      <c r="E457" s="302"/>
    </row>
    <row r="458" ht="28.5" customHeight="1">
      <c r="A458" s="259"/>
      <c r="E458" s="302"/>
    </row>
    <row r="459" ht="28.5" customHeight="1">
      <c r="A459" s="259"/>
      <c r="E459" s="302"/>
    </row>
    <row r="460" ht="28.5" customHeight="1">
      <c r="A460" s="259"/>
      <c r="E460" s="302"/>
    </row>
    <row r="461" ht="28.5" customHeight="1">
      <c r="A461" s="259"/>
      <c r="E461" s="302"/>
    </row>
    <row r="462" ht="28.5" customHeight="1">
      <c r="A462" s="259"/>
      <c r="E462" s="302"/>
    </row>
    <row r="463" ht="28.5" customHeight="1">
      <c r="A463" s="259"/>
      <c r="E463" s="302"/>
    </row>
    <row r="464" ht="28.5" customHeight="1">
      <c r="A464" s="259"/>
      <c r="E464" s="302"/>
    </row>
    <row r="465" ht="28.5" customHeight="1">
      <c r="A465" s="259"/>
      <c r="E465" s="302"/>
    </row>
    <row r="466" ht="28.5" customHeight="1">
      <c r="A466" s="259"/>
      <c r="E466" s="302"/>
    </row>
    <row r="467" ht="28.5" customHeight="1">
      <c r="A467" s="259"/>
      <c r="E467" s="302"/>
    </row>
    <row r="468" ht="28.5" customHeight="1">
      <c r="A468" s="259"/>
      <c r="E468" s="302"/>
    </row>
    <row r="469" ht="28.5" customHeight="1">
      <c r="A469" s="259"/>
      <c r="E469" s="302"/>
    </row>
    <row r="470" ht="28.5" customHeight="1">
      <c r="A470" s="259"/>
      <c r="E470" s="302"/>
    </row>
    <row r="471" ht="28.5" customHeight="1">
      <c r="A471" s="259"/>
      <c r="E471" s="302"/>
    </row>
    <row r="472" ht="28.5" customHeight="1">
      <c r="A472" s="259"/>
      <c r="E472" s="302"/>
    </row>
    <row r="473" ht="28.5" customHeight="1">
      <c r="A473" s="259"/>
      <c r="E473" s="302"/>
    </row>
    <row r="474" ht="28.5" customHeight="1">
      <c r="A474" s="259"/>
      <c r="E474" s="302"/>
    </row>
    <row r="475" ht="28.5" customHeight="1">
      <c r="A475" s="259"/>
      <c r="E475" s="302"/>
    </row>
    <row r="476" ht="28.5" customHeight="1">
      <c r="A476" s="259"/>
      <c r="E476" s="302"/>
    </row>
    <row r="477" ht="28.5" customHeight="1">
      <c r="A477" s="259"/>
      <c r="E477" s="302"/>
    </row>
    <row r="478" ht="28.5" customHeight="1">
      <c r="A478" s="259"/>
      <c r="E478" s="302"/>
    </row>
    <row r="479" ht="28.5" customHeight="1">
      <c r="A479" s="259"/>
      <c r="E479" s="302"/>
    </row>
    <row r="480" ht="28.5" customHeight="1">
      <c r="A480" s="259"/>
      <c r="E480" s="302"/>
    </row>
    <row r="481" ht="28.5" customHeight="1">
      <c r="A481" s="259"/>
      <c r="E481" s="302"/>
    </row>
    <row r="482" ht="28.5" customHeight="1">
      <c r="A482" s="259"/>
      <c r="E482" s="302"/>
    </row>
    <row r="483" ht="28.5" customHeight="1">
      <c r="A483" s="259"/>
      <c r="E483" s="302"/>
    </row>
    <row r="484" ht="28.5" customHeight="1">
      <c r="A484" s="259"/>
      <c r="E484" s="302"/>
    </row>
    <row r="485" ht="28.5" customHeight="1">
      <c r="A485" s="259"/>
      <c r="E485" s="302"/>
    </row>
    <row r="486" ht="28.5" customHeight="1">
      <c r="A486" s="259"/>
      <c r="E486" s="302"/>
    </row>
    <row r="487" ht="28.5" customHeight="1">
      <c r="A487" s="259"/>
      <c r="E487" s="302"/>
    </row>
    <row r="488" ht="28.5" customHeight="1">
      <c r="A488" s="259"/>
      <c r="E488" s="302"/>
    </row>
    <row r="489" ht="28.5" customHeight="1">
      <c r="A489" s="259"/>
      <c r="E489" s="302"/>
    </row>
    <row r="490" ht="28.5" customHeight="1">
      <c r="A490" s="259"/>
      <c r="E490" s="302"/>
    </row>
    <row r="491" ht="28.5" customHeight="1">
      <c r="A491" s="259"/>
      <c r="E491" s="302"/>
    </row>
    <row r="492" ht="28.5" customHeight="1">
      <c r="A492" s="259"/>
      <c r="E492" s="302"/>
    </row>
    <row r="493" ht="28.5" customHeight="1">
      <c r="A493" s="259"/>
      <c r="E493" s="302"/>
    </row>
    <row r="494" ht="28.5" customHeight="1">
      <c r="A494" s="259"/>
      <c r="E494" s="302"/>
    </row>
    <row r="495" ht="28.5" customHeight="1">
      <c r="A495" s="259"/>
      <c r="E495" s="302"/>
    </row>
    <row r="496" ht="28.5" customHeight="1">
      <c r="A496" s="259"/>
      <c r="E496" s="302"/>
    </row>
    <row r="497" ht="28.5" customHeight="1">
      <c r="A497" s="259"/>
      <c r="E497" s="302"/>
    </row>
    <row r="498" ht="28.5" customHeight="1">
      <c r="A498" s="259"/>
      <c r="E498" s="302"/>
    </row>
    <row r="499" ht="28.5" customHeight="1">
      <c r="A499" s="259"/>
      <c r="E499" s="302"/>
    </row>
    <row r="500" ht="28.5" customHeight="1">
      <c r="A500" s="259"/>
      <c r="E500" s="302"/>
    </row>
    <row r="501" ht="28.5" customHeight="1">
      <c r="A501" s="259"/>
      <c r="E501" s="302"/>
    </row>
    <row r="502" ht="28.5" customHeight="1">
      <c r="A502" s="259"/>
      <c r="E502" s="302"/>
    </row>
    <row r="503" ht="28.5" customHeight="1">
      <c r="A503" s="259"/>
      <c r="E503" s="302"/>
    </row>
    <row r="504" ht="28.5" customHeight="1">
      <c r="A504" s="259"/>
      <c r="E504" s="302"/>
    </row>
    <row r="505" ht="28.5" customHeight="1">
      <c r="A505" s="259"/>
      <c r="E505" s="302"/>
    </row>
    <row r="506" ht="28.5" customHeight="1">
      <c r="A506" s="259"/>
      <c r="E506" s="302"/>
    </row>
    <row r="507" ht="28.5" customHeight="1">
      <c r="A507" s="259"/>
      <c r="E507" s="302"/>
    </row>
    <row r="508" ht="28.5" customHeight="1">
      <c r="A508" s="259"/>
      <c r="E508" s="302"/>
    </row>
    <row r="509" ht="28.5" customHeight="1">
      <c r="A509" s="259"/>
      <c r="E509" s="302"/>
    </row>
    <row r="510" ht="28.5" customHeight="1">
      <c r="A510" s="259"/>
      <c r="E510" s="302"/>
    </row>
    <row r="511" ht="28.5" customHeight="1">
      <c r="A511" s="259"/>
      <c r="E511" s="302"/>
    </row>
    <row r="512" ht="28.5" customHeight="1">
      <c r="A512" s="259"/>
      <c r="E512" s="302"/>
    </row>
    <row r="513" ht="28.5" customHeight="1">
      <c r="A513" s="259"/>
      <c r="E513" s="302"/>
    </row>
    <row r="514" ht="28.5" customHeight="1">
      <c r="A514" s="259"/>
      <c r="E514" s="302"/>
    </row>
    <row r="515" ht="28.5" customHeight="1">
      <c r="A515" s="259"/>
      <c r="E515" s="302"/>
    </row>
    <row r="516" ht="28.5" customHeight="1">
      <c r="A516" s="259"/>
      <c r="E516" s="302"/>
    </row>
    <row r="517" ht="28.5" customHeight="1">
      <c r="A517" s="259"/>
      <c r="E517" s="302"/>
    </row>
    <row r="518" ht="28.5" customHeight="1">
      <c r="A518" s="259"/>
      <c r="E518" s="302"/>
    </row>
    <row r="519" ht="28.5" customHeight="1">
      <c r="A519" s="259"/>
      <c r="E519" s="302"/>
    </row>
    <row r="520" ht="28.5" customHeight="1">
      <c r="A520" s="259"/>
      <c r="E520" s="302"/>
    </row>
    <row r="521" ht="28.5" customHeight="1">
      <c r="A521" s="259"/>
      <c r="E521" s="302"/>
    </row>
    <row r="522" ht="28.5" customHeight="1">
      <c r="A522" s="259"/>
      <c r="E522" s="302"/>
    </row>
    <row r="523" ht="28.5" customHeight="1">
      <c r="A523" s="259"/>
      <c r="E523" s="302"/>
    </row>
    <row r="524" ht="28.5" customHeight="1">
      <c r="A524" s="259"/>
      <c r="E524" s="302"/>
    </row>
    <row r="525" ht="28.5" customHeight="1">
      <c r="A525" s="259"/>
      <c r="E525" s="302"/>
    </row>
    <row r="526" ht="28.5" customHeight="1">
      <c r="A526" s="259"/>
      <c r="E526" s="302"/>
    </row>
    <row r="527" ht="28.5" customHeight="1">
      <c r="A527" s="259"/>
      <c r="E527" s="302"/>
    </row>
    <row r="528" ht="28.5" customHeight="1">
      <c r="A528" s="259"/>
      <c r="E528" s="302"/>
    </row>
    <row r="529" ht="28.5" customHeight="1">
      <c r="A529" s="259"/>
      <c r="E529" s="302"/>
    </row>
    <row r="530" ht="28.5" customHeight="1">
      <c r="A530" s="259"/>
      <c r="E530" s="302"/>
    </row>
    <row r="531" ht="28.5" customHeight="1">
      <c r="A531" s="259"/>
      <c r="E531" s="302"/>
    </row>
    <row r="532" ht="28.5" customHeight="1">
      <c r="A532" s="259"/>
      <c r="E532" s="302"/>
    </row>
    <row r="533" ht="28.5" customHeight="1">
      <c r="A533" s="259"/>
      <c r="E533" s="302"/>
    </row>
    <row r="534" ht="28.5" customHeight="1">
      <c r="A534" s="259"/>
      <c r="E534" s="302"/>
    </row>
    <row r="535" ht="28.5" customHeight="1">
      <c r="A535" s="259"/>
      <c r="E535" s="302"/>
    </row>
    <row r="536" ht="28.5" customHeight="1">
      <c r="A536" s="259"/>
      <c r="E536" s="302"/>
    </row>
    <row r="537" ht="28.5" customHeight="1">
      <c r="A537" s="259"/>
      <c r="E537" s="302"/>
    </row>
    <row r="538" ht="28.5" customHeight="1">
      <c r="A538" s="259"/>
      <c r="E538" s="302"/>
    </row>
    <row r="539" ht="28.5" customHeight="1">
      <c r="A539" s="259"/>
      <c r="E539" s="302"/>
    </row>
    <row r="540" ht="28.5" customHeight="1">
      <c r="A540" s="259"/>
      <c r="E540" s="302"/>
    </row>
    <row r="541" ht="28.5" customHeight="1">
      <c r="A541" s="259"/>
      <c r="E541" s="302"/>
    </row>
    <row r="542" ht="28.5" customHeight="1">
      <c r="A542" s="259"/>
      <c r="E542" s="302"/>
    </row>
    <row r="543" ht="28.5" customHeight="1">
      <c r="A543" s="259"/>
      <c r="E543" s="302"/>
    </row>
    <row r="544" ht="28.5" customHeight="1">
      <c r="A544" s="259"/>
      <c r="E544" s="302"/>
    </row>
    <row r="545" ht="28.5" customHeight="1">
      <c r="A545" s="259"/>
      <c r="E545" s="302"/>
    </row>
    <row r="546" ht="28.5" customHeight="1">
      <c r="A546" s="259"/>
      <c r="E546" s="302"/>
    </row>
    <row r="547" ht="28.5" customHeight="1">
      <c r="A547" s="259"/>
      <c r="E547" s="302"/>
    </row>
    <row r="548" ht="28.5" customHeight="1">
      <c r="A548" s="259"/>
      <c r="E548" s="302"/>
    </row>
    <row r="549" ht="28.5" customHeight="1">
      <c r="A549" s="259"/>
      <c r="E549" s="302"/>
    </row>
    <row r="550" ht="28.5" customHeight="1">
      <c r="A550" s="259"/>
      <c r="E550" s="302"/>
    </row>
    <row r="551" ht="28.5" customHeight="1">
      <c r="A551" s="259"/>
      <c r="E551" s="302"/>
    </row>
    <row r="552" ht="28.5" customHeight="1">
      <c r="A552" s="259"/>
      <c r="E552" s="302"/>
    </row>
    <row r="553" ht="28.5" customHeight="1">
      <c r="A553" s="259"/>
      <c r="E553" s="302"/>
    </row>
    <row r="554" ht="28.5" customHeight="1">
      <c r="A554" s="259"/>
      <c r="E554" s="302"/>
    </row>
    <row r="555" ht="28.5" customHeight="1">
      <c r="A555" s="259"/>
      <c r="E555" s="302"/>
    </row>
    <row r="556" ht="28.5" customHeight="1">
      <c r="A556" s="259"/>
      <c r="E556" s="302"/>
    </row>
    <row r="557" ht="28.5" customHeight="1">
      <c r="A557" s="259"/>
      <c r="E557" s="302"/>
    </row>
    <row r="558" ht="28.5" customHeight="1">
      <c r="A558" s="259"/>
      <c r="E558" s="302"/>
    </row>
    <row r="559" ht="28.5" customHeight="1">
      <c r="A559" s="259"/>
      <c r="E559" s="302"/>
    </row>
    <row r="560" ht="28.5" customHeight="1">
      <c r="A560" s="259"/>
      <c r="E560" s="302"/>
    </row>
    <row r="561" ht="28.5" customHeight="1">
      <c r="A561" s="259"/>
      <c r="E561" s="302"/>
    </row>
    <row r="562" ht="28.5" customHeight="1">
      <c r="A562" s="259"/>
      <c r="E562" s="302"/>
    </row>
    <row r="563" ht="28.5" customHeight="1">
      <c r="A563" s="259"/>
      <c r="E563" s="302"/>
    </row>
    <row r="564" ht="28.5" customHeight="1">
      <c r="A564" s="259"/>
      <c r="E564" s="302"/>
    </row>
    <row r="565" ht="28.5" customHeight="1">
      <c r="A565" s="259"/>
      <c r="E565" s="302"/>
    </row>
    <row r="566" ht="28.5" customHeight="1">
      <c r="A566" s="259"/>
      <c r="E566" s="302"/>
    </row>
    <row r="567" ht="28.5" customHeight="1">
      <c r="A567" s="259"/>
      <c r="E567" s="302"/>
    </row>
    <row r="568" ht="28.5" customHeight="1">
      <c r="A568" s="259"/>
      <c r="E568" s="302"/>
    </row>
    <row r="569" ht="28.5" customHeight="1">
      <c r="A569" s="259"/>
      <c r="E569" s="302"/>
    </row>
    <row r="570" ht="28.5" customHeight="1">
      <c r="A570" s="259"/>
      <c r="E570" s="302"/>
    </row>
    <row r="571" ht="28.5" customHeight="1">
      <c r="A571" s="259"/>
      <c r="E571" s="302"/>
    </row>
    <row r="572" ht="28.5" customHeight="1">
      <c r="A572" s="259"/>
      <c r="E572" s="302"/>
    </row>
    <row r="573" ht="28.5" customHeight="1">
      <c r="A573" s="259"/>
      <c r="E573" s="302"/>
    </row>
    <row r="574" ht="28.5" customHeight="1">
      <c r="A574" s="259"/>
      <c r="E574" s="302"/>
    </row>
    <row r="575" ht="28.5" customHeight="1">
      <c r="A575" s="259"/>
      <c r="E575" s="302"/>
    </row>
    <row r="576" ht="28.5" customHeight="1">
      <c r="A576" s="259"/>
      <c r="E576" s="302"/>
    </row>
    <row r="577" ht="28.5" customHeight="1">
      <c r="A577" s="259"/>
      <c r="E577" s="302"/>
    </row>
    <row r="578" ht="28.5" customHeight="1">
      <c r="A578" s="259"/>
      <c r="E578" s="302"/>
    </row>
    <row r="579" ht="28.5" customHeight="1">
      <c r="A579" s="259"/>
      <c r="E579" s="302"/>
    </row>
    <row r="580" ht="28.5" customHeight="1">
      <c r="A580" s="259"/>
      <c r="E580" s="302"/>
    </row>
    <row r="581" ht="28.5" customHeight="1">
      <c r="A581" s="259"/>
      <c r="E581" s="302"/>
    </row>
    <row r="582" ht="28.5" customHeight="1">
      <c r="A582" s="259"/>
      <c r="E582" s="302"/>
    </row>
    <row r="583" ht="28.5" customHeight="1">
      <c r="A583" s="259"/>
      <c r="E583" s="302"/>
    </row>
    <row r="584" ht="28.5" customHeight="1">
      <c r="A584" s="259"/>
      <c r="E584" s="302"/>
    </row>
    <row r="585" ht="28.5" customHeight="1">
      <c r="A585" s="259"/>
      <c r="E585" s="302"/>
    </row>
    <row r="586" ht="28.5" customHeight="1">
      <c r="A586" s="259"/>
      <c r="E586" s="302"/>
    </row>
    <row r="587" ht="28.5" customHeight="1">
      <c r="A587" s="259"/>
      <c r="E587" s="302"/>
    </row>
    <row r="588" ht="28.5" customHeight="1">
      <c r="A588" s="259"/>
      <c r="E588" s="302"/>
    </row>
    <row r="589" ht="28.5" customHeight="1">
      <c r="A589" s="259"/>
      <c r="E589" s="302"/>
    </row>
    <row r="590" ht="28.5" customHeight="1">
      <c r="A590" s="259"/>
      <c r="E590" s="302"/>
    </row>
    <row r="591" ht="28.5" customHeight="1">
      <c r="A591" s="259"/>
      <c r="E591" s="302"/>
    </row>
    <row r="592" ht="28.5" customHeight="1">
      <c r="A592" s="259"/>
      <c r="E592" s="302"/>
    </row>
    <row r="593" ht="28.5" customHeight="1">
      <c r="A593" s="259"/>
      <c r="E593" s="302"/>
    </row>
    <row r="594" ht="28.5" customHeight="1">
      <c r="A594" s="259"/>
      <c r="E594" s="302"/>
    </row>
    <row r="595" ht="28.5" customHeight="1">
      <c r="A595" s="259"/>
      <c r="E595" s="302"/>
    </row>
    <row r="596" ht="28.5" customHeight="1">
      <c r="A596" s="259"/>
      <c r="E596" s="302"/>
    </row>
    <row r="597" ht="28.5" customHeight="1">
      <c r="A597" s="259"/>
      <c r="E597" s="302"/>
    </row>
    <row r="598" ht="28.5" customHeight="1">
      <c r="A598" s="259"/>
      <c r="E598" s="302"/>
    </row>
    <row r="599" ht="28.5" customHeight="1">
      <c r="A599" s="259"/>
      <c r="E599" s="302"/>
    </row>
    <row r="600" ht="28.5" customHeight="1">
      <c r="A600" s="259"/>
      <c r="E600" s="302"/>
    </row>
    <row r="601" ht="28.5" customHeight="1">
      <c r="A601" s="259"/>
      <c r="E601" s="302"/>
    </row>
    <row r="602" ht="28.5" customHeight="1">
      <c r="A602" s="259"/>
      <c r="E602" s="302"/>
    </row>
    <row r="603" ht="28.5" customHeight="1">
      <c r="A603" s="259"/>
      <c r="E603" s="302"/>
    </row>
    <row r="604" ht="28.5" customHeight="1">
      <c r="A604" s="259"/>
      <c r="E604" s="302"/>
    </row>
    <row r="605" ht="28.5" customHeight="1">
      <c r="A605" s="259"/>
      <c r="E605" s="302"/>
    </row>
    <row r="606" ht="28.5" customHeight="1">
      <c r="A606" s="259"/>
      <c r="E606" s="302"/>
    </row>
    <row r="607" ht="28.5" customHeight="1">
      <c r="A607" s="259"/>
      <c r="E607" s="302"/>
    </row>
    <row r="608" ht="28.5" customHeight="1">
      <c r="A608" s="259"/>
      <c r="E608" s="302"/>
    </row>
    <row r="609" ht="28.5" customHeight="1">
      <c r="A609" s="259"/>
      <c r="E609" s="302"/>
    </row>
    <row r="610" ht="28.5" customHeight="1">
      <c r="A610" s="259"/>
      <c r="E610" s="302"/>
    </row>
    <row r="611" ht="28.5" customHeight="1">
      <c r="A611" s="259"/>
      <c r="E611" s="302"/>
    </row>
    <row r="612" ht="28.5" customHeight="1">
      <c r="A612" s="259"/>
      <c r="E612" s="302"/>
    </row>
    <row r="613" ht="28.5" customHeight="1">
      <c r="A613" s="259"/>
      <c r="E613" s="302"/>
    </row>
    <row r="614" ht="28.5" customHeight="1">
      <c r="A614" s="259"/>
      <c r="E614" s="302"/>
    </row>
    <row r="615" ht="28.5" customHeight="1">
      <c r="A615" s="259"/>
      <c r="E615" s="302"/>
    </row>
    <row r="616" ht="28.5" customHeight="1">
      <c r="A616" s="259"/>
      <c r="E616" s="302"/>
    </row>
    <row r="617" ht="28.5" customHeight="1">
      <c r="A617" s="259"/>
      <c r="E617" s="302"/>
    </row>
    <row r="618" ht="28.5" customHeight="1">
      <c r="A618" s="259"/>
      <c r="E618" s="302"/>
    </row>
    <row r="619" ht="28.5" customHeight="1">
      <c r="A619" s="259"/>
      <c r="E619" s="302"/>
    </row>
    <row r="620" ht="28.5" customHeight="1">
      <c r="A620" s="259"/>
      <c r="E620" s="302"/>
    </row>
    <row r="621" ht="28.5" customHeight="1">
      <c r="A621" s="259"/>
      <c r="E621" s="302"/>
    </row>
    <row r="622" ht="28.5" customHeight="1">
      <c r="A622" s="259"/>
      <c r="E622" s="302"/>
    </row>
    <row r="623" ht="28.5" customHeight="1">
      <c r="A623" s="259"/>
      <c r="E623" s="302"/>
    </row>
    <row r="624" ht="28.5" customHeight="1">
      <c r="A624" s="259"/>
      <c r="E624" s="302"/>
    </row>
    <row r="625" ht="28.5" customHeight="1">
      <c r="A625" s="259"/>
      <c r="E625" s="302"/>
    </row>
    <row r="626" ht="28.5" customHeight="1">
      <c r="A626" s="259"/>
      <c r="E626" s="302"/>
    </row>
    <row r="627" ht="28.5" customHeight="1">
      <c r="A627" s="259"/>
      <c r="E627" s="302"/>
    </row>
    <row r="628" ht="28.5" customHeight="1">
      <c r="A628" s="259"/>
      <c r="E628" s="302"/>
    </row>
    <row r="629" ht="28.5" customHeight="1">
      <c r="A629" s="259"/>
      <c r="E629" s="302"/>
    </row>
    <row r="630" ht="28.5" customHeight="1">
      <c r="A630" s="259"/>
      <c r="E630" s="302"/>
    </row>
    <row r="631" ht="28.5" customHeight="1">
      <c r="A631" s="259"/>
      <c r="E631" s="302"/>
    </row>
    <row r="632" ht="28.5" customHeight="1">
      <c r="A632" s="259"/>
      <c r="E632" s="302"/>
    </row>
    <row r="633" ht="28.5" customHeight="1">
      <c r="A633" s="259"/>
      <c r="E633" s="302"/>
    </row>
    <row r="634" ht="28.5" customHeight="1">
      <c r="A634" s="259"/>
      <c r="E634" s="302"/>
    </row>
    <row r="635" ht="28.5" customHeight="1">
      <c r="A635" s="259"/>
      <c r="E635" s="302"/>
    </row>
    <row r="636" ht="28.5" customHeight="1">
      <c r="A636" s="259"/>
      <c r="E636" s="302"/>
    </row>
    <row r="637" ht="28.5" customHeight="1">
      <c r="A637" s="259"/>
      <c r="E637" s="302"/>
    </row>
    <row r="638" ht="28.5" customHeight="1">
      <c r="A638" s="259"/>
      <c r="E638" s="302"/>
    </row>
    <row r="639" ht="28.5" customHeight="1">
      <c r="A639" s="259"/>
      <c r="E639" s="302"/>
    </row>
    <row r="640" ht="28.5" customHeight="1">
      <c r="A640" s="259"/>
      <c r="E640" s="302"/>
    </row>
    <row r="641" ht="28.5" customHeight="1">
      <c r="A641" s="259"/>
      <c r="E641" s="302"/>
    </row>
    <row r="642" ht="28.5" customHeight="1">
      <c r="A642" s="259"/>
      <c r="E642" s="302"/>
    </row>
    <row r="643" ht="28.5" customHeight="1">
      <c r="A643" s="259"/>
      <c r="E643" s="302"/>
    </row>
    <row r="644" ht="28.5" customHeight="1">
      <c r="A644" s="259"/>
      <c r="E644" s="302"/>
    </row>
    <row r="645" ht="28.5" customHeight="1">
      <c r="A645" s="259"/>
      <c r="E645" s="302"/>
    </row>
    <row r="646" ht="28.5" customHeight="1">
      <c r="A646" s="259"/>
      <c r="E646" s="302"/>
    </row>
    <row r="647" ht="28.5" customHeight="1">
      <c r="A647" s="259"/>
      <c r="E647" s="302"/>
    </row>
    <row r="648" ht="28.5" customHeight="1">
      <c r="A648" s="259"/>
      <c r="E648" s="302"/>
    </row>
    <row r="649" ht="28.5" customHeight="1">
      <c r="A649" s="259"/>
      <c r="E649" s="302"/>
    </row>
    <row r="650" ht="28.5" customHeight="1">
      <c r="A650" s="259"/>
      <c r="E650" s="302"/>
    </row>
    <row r="651" ht="28.5" customHeight="1">
      <c r="A651" s="259"/>
      <c r="E651" s="302"/>
    </row>
    <row r="652" ht="28.5" customHeight="1">
      <c r="A652" s="259"/>
      <c r="E652" s="302"/>
    </row>
    <row r="653" ht="28.5" customHeight="1">
      <c r="A653" s="259"/>
      <c r="E653" s="302"/>
    </row>
    <row r="654" ht="28.5" customHeight="1">
      <c r="A654" s="259"/>
      <c r="E654" s="302"/>
    </row>
    <row r="655" ht="28.5" customHeight="1">
      <c r="A655" s="259"/>
      <c r="E655" s="302"/>
    </row>
    <row r="656" ht="28.5" customHeight="1">
      <c r="A656" s="259"/>
      <c r="E656" s="302"/>
    </row>
    <row r="657" ht="28.5" customHeight="1">
      <c r="A657" s="259"/>
      <c r="E657" s="302"/>
    </row>
    <row r="658" ht="28.5" customHeight="1">
      <c r="A658" s="259"/>
      <c r="E658" s="302"/>
    </row>
    <row r="659" ht="28.5" customHeight="1">
      <c r="A659" s="259"/>
      <c r="E659" s="302"/>
    </row>
    <row r="660" ht="28.5" customHeight="1">
      <c r="A660" s="259"/>
      <c r="E660" s="302"/>
    </row>
    <row r="661" ht="28.5" customHeight="1">
      <c r="A661" s="259"/>
      <c r="E661" s="302"/>
    </row>
    <row r="662" ht="28.5" customHeight="1">
      <c r="A662" s="259"/>
      <c r="E662" s="302"/>
    </row>
    <row r="663" ht="28.5" customHeight="1">
      <c r="A663" s="259"/>
      <c r="E663" s="302"/>
    </row>
    <row r="664" ht="28.5" customHeight="1">
      <c r="A664" s="259"/>
      <c r="E664" s="302"/>
    </row>
    <row r="665" ht="28.5" customHeight="1">
      <c r="A665" s="259"/>
      <c r="E665" s="302"/>
    </row>
    <row r="666" ht="28.5" customHeight="1">
      <c r="A666" s="259"/>
      <c r="E666" s="302"/>
    </row>
    <row r="667" ht="28.5" customHeight="1">
      <c r="A667" s="259"/>
      <c r="E667" s="302"/>
    </row>
    <row r="668" ht="28.5" customHeight="1">
      <c r="A668" s="259"/>
      <c r="E668" s="302"/>
    </row>
    <row r="669" ht="28.5" customHeight="1">
      <c r="A669" s="259"/>
      <c r="E669" s="302"/>
    </row>
    <row r="670" ht="28.5" customHeight="1">
      <c r="A670" s="259"/>
      <c r="E670" s="302"/>
    </row>
    <row r="671" ht="28.5" customHeight="1">
      <c r="A671" s="259"/>
      <c r="E671" s="302"/>
    </row>
    <row r="672" ht="28.5" customHeight="1">
      <c r="A672" s="259"/>
      <c r="E672" s="302"/>
    </row>
    <row r="673" ht="28.5" customHeight="1">
      <c r="A673" s="259"/>
      <c r="E673" s="302"/>
    </row>
    <row r="674" ht="28.5" customHeight="1">
      <c r="A674" s="259"/>
      <c r="E674" s="302"/>
    </row>
    <row r="675" ht="28.5" customHeight="1">
      <c r="A675" s="259"/>
      <c r="E675" s="302"/>
    </row>
    <row r="676" ht="28.5" customHeight="1">
      <c r="A676" s="259"/>
      <c r="E676" s="302"/>
    </row>
    <row r="677" ht="28.5" customHeight="1">
      <c r="A677" s="259"/>
      <c r="E677" s="302"/>
    </row>
    <row r="678" ht="28.5" customHeight="1">
      <c r="A678" s="259"/>
      <c r="E678" s="302"/>
    </row>
    <row r="679" ht="28.5" customHeight="1">
      <c r="A679" s="259"/>
      <c r="E679" s="302"/>
    </row>
    <row r="680" ht="28.5" customHeight="1">
      <c r="A680" s="259"/>
      <c r="E680" s="302"/>
    </row>
    <row r="681" ht="28.5" customHeight="1">
      <c r="A681" s="259"/>
      <c r="E681" s="302"/>
    </row>
    <row r="682" ht="28.5" customHeight="1">
      <c r="A682" s="259"/>
      <c r="E682" s="302"/>
    </row>
    <row r="683" ht="28.5" customHeight="1">
      <c r="A683" s="259"/>
      <c r="E683" s="302"/>
    </row>
    <row r="684" ht="28.5" customHeight="1">
      <c r="A684" s="259"/>
      <c r="E684" s="302"/>
    </row>
    <row r="685" ht="28.5" customHeight="1">
      <c r="A685" s="259"/>
      <c r="E685" s="302"/>
    </row>
    <row r="686" ht="28.5" customHeight="1">
      <c r="A686" s="259"/>
      <c r="E686" s="302"/>
    </row>
    <row r="687" ht="28.5" customHeight="1">
      <c r="A687" s="259"/>
      <c r="E687" s="302"/>
    </row>
    <row r="688" ht="28.5" customHeight="1">
      <c r="A688" s="259"/>
      <c r="E688" s="302"/>
    </row>
    <row r="689" ht="28.5" customHeight="1">
      <c r="A689" s="259"/>
      <c r="E689" s="302"/>
    </row>
    <row r="690" ht="28.5" customHeight="1">
      <c r="A690" s="259"/>
      <c r="E690" s="302"/>
    </row>
    <row r="691" ht="28.5" customHeight="1">
      <c r="A691" s="259"/>
      <c r="E691" s="302"/>
    </row>
    <row r="692" ht="28.5" customHeight="1">
      <c r="A692" s="259"/>
      <c r="E692" s="302"/>
    </row>
    <row r="693" ht="28.5" customHeight="1">
      <c r="A693" s="259"/>
      <c r="E693" s="302"/>
    </row>
    <row r="694" ht="28.5" customHeight="1">
      <c r="A694" s="259"/>
      <c r="E694" s="302"/>
    </row>
    <row r="695" ht="28.5" customHeight="1">
      <c r="A695" s="259"/>
      <c r="E695" s="302"/>
    </row>
    <row r="696" ht="28.5" customHeight="1">
      <c r="A696" s="259"/>
      <c r="E696" s="302"/>
    </row>
    <row r="697" ht="28.5" customHeight="1">
      <c r="A697" s="259"/>
      <c r="E697" s="302"/>
    </row>
    <row r="698" ht="28.5" customHeight="1">
      <c r="A698" s="259"/>
      <c r="E698" s="302"/>
    </row>
    <row r="699" ht="28.5" customHeight="1">
      <c r="A699" s="259"/>
      <c r="E699" s="302"/>
    </row>
    <row r="700" ht="28.5" customHeight="1">
      <c r="A700" s="259"/>
      <c r="E700" s="302"/>
    </row>
    <row r="701" ht="28.5" customHeight="1">
      <c r="A701" s="259"/>
      <c r="E701" s="302"/>
    </row>
    <row r="702" ht="28.5" customHeight="1">
      <c r="A702" s="259"/>
      <c r="E702" s="302"/>
    </row>
    <row r="703" ht="28.5" customHeight="1">
      <c r="A703" s="259"/>
      <c r="E703" s="302"/>
    </row>
    <row r="704" ht="28.5" customHeight="1">
      <c r="A704" s="259"/>
      <c r="E704" s="302"/>
    </row>
    <row r="705" ht="28.5" customHeight="1">
      <c r="A705" s="259"/>
      <c r="E705" s="302"/>
    </row>
    <row r="706" ht="28.5" customHeight="1">
      <c r="A706" s="259"/>
      <c r="E706" s="302"/>
    </row>
    <row r="707" ht="28.5" customHeight="1">
      <c r="A707" s="259"/>
      <c r="E707" s="302"/>
    </row>
    <row r="708" ht="28.5" customHeight="1">
      <c r="A708" s="259"/>
      <c r="E708" s="302"/>
    </row>
    <row r="709" ht="28.5" customHeight="1">
      <c r="A709" s="259"/>
      <c r="E709" s="302"/>
    </row>
    <row r="710" ht="28.5" customHeight="1">
      <c r="A710" s="259"/>
      <c r="E710" s="302"/>
    </row>
    <row r="711" ht="28.5" customHeight="1">
      <c r="A711" s="259"/>
      <c r="E711" s="302"/>
    </row>
    <row r="712" ht="28.5" customHeight="1">
      <c r="A712" s="259"/>
      <c r="E712" s="302"/>
    </row>
    <row r="713" ht="28.5" customHeight="1">
      <c r="A713" s="259"/>
      <c r="E713" s="302"/>
    </row>
    <row r="714" ht="28.5" customHeight="1">
      <c r="A714" s="259"/>
      <c r="E714" s="302"/>
    </row>
    <row r="715" ht="28.5" customHeight="1">
      <c r="A715" s="259"/>
      <c r="E715" s="302"/>
    </row>
    <row r="716" ht="28.5" customHeight="1">
      <c r="A716" s="259"/>
      <c r="E716" s="302"/>
    </row>
    <row r="717" ht="28.5" customHeight="1">
      <c r="A717" s="259"/>
      <c r="E717" s="302"/>
    </row>
    <row r="718" ht="28.5" customHeight="1">
      <c r="A718" s="259"/>
      <c r="E718" s="302"/>
    </row>
    <row r="719" ht="28.5" customHeight="1">
      <c r="A719" s="259"/>
      <c r="E719" s="302"/>
    </row>
    <row r="720" ht="28.5" customHeight="1">
      <c r="A720" s="259"/>
      <c r="E720" s="302"/>
    </row>
    <row r="721" ht="28.5" customHeight="1">
      <c r="A721" s="259"/>
      <c r="E721" s="302"/>
    </row>
    <row r="722" ht="28.5" customHeight="1">
      <c r="A722" s="259"/>
      <c r="E722" s="302"/>
    </row>
    <row r="723" ht="28.5" customHeight="1">
      <c r="A723" s="259"/>
      <c r="E723" s="302"/>
    </row>
    <row r="724" ht="28.5" customHeight="1">
      <c r="A724" s="259"/>
      <c r="E724" s="302"/>
    </row>
    <row r="725" ht="28.5" customHeight="1">
      <c r="A725" s="259"/>
      <c r="E725" s="302"/>
    </row>
    <row r="726" ht="28.5" customHeight="1">
      <c r="A726" s="259"/>
      <c r="E726" s="302"/>
    </row>
    <row r="727" ht="28.5" customHeight="1">
      <c r="A727" s="259"/>
      <c r="E727" s="302"/>
    </row>
    <row r="728" ht="28.5" customHeight="1">
      <c r="A728" s="259"/>
      <c r="E728" s="302"/>
    </row>
    <row r="729" ht="28.5" customHeight="1">
      <c r="A729" s="259"/>
      <c r="E729" s="302"/>
    </row>
    <row r="730" ht="28.5" customHeight="1">
      <c r="A730" s="259"/>
      <c r="E730" s="302"/>
    </row>
    <row r="731" ht="28.5" customHeight="1">
      <c r="A731" s="259"/>
      <c r="E731" s="302"/>
    </row>
    <row r="732" ht="28.5" customHeight="1">
      <c r="A732" s="259"/>
      <c r="E732" s="302"/>
    </row>
    <row r="733" ht="28.5" customHeight="1">
      <c r="A733" s="259"/>
      <c r="E733" s="302"/>
    </row>
    <row r="734" ht="28.5" customHeight="1">
      <c r="A734" s="259"/>
      <c r="E734" s="302"/>
    </row>
    <row r="735" ht="28.5" customHeight="1">
      <c r="A735" s="259"/>
      <c r="E735" s="302"/>
    </row>
    <row r="736" ht="28.5" customHeight="1">
      <c r="A736" s="259"/>
      <c r="E736" s="302"/>
    </row>
    <row r="737" ht="28.5" customHeight="1">
      <c r="A737" s="259"/>
      <c r="E737" s="302"/>
    </row>
    <row r="738" ht="28.5" customHeight="1">
      <c r="A738" s="259"/>
      <c r="E738" s="302"/>
    </row>
    <row r="739" ht="28.5" customHeight="1">
      <c r="A739" s="259"/>
      <c r="E739" s="302"/>
    </row>
    <row r="740" ht="28.5" customHeight="1">
      <c r="A740" s="259"/>
      <c r="E740" s="302"/>
    </row>
    <row r="741" ht="28.5" customHeight="1">
      <c r="A741" s="259"/>
      <c r="E741" s="302"/>
    </row>
    <row r="742" ht="28.5" customHeight="1">
      <c r="A742" s="259"/>
      <c r="E742" s="302"/>
    </row>
    <row r="743" ht="28.5" customHeight="1">
      <c r="A743" s="259"/>
      <c r="E743" s="302"/>
    </row>
    <row r="744" ht="28.5" customHeight="1">
      <c r="A744" s="259"/>
      <c r="E744" s="302"/>
    </row>
    <row r="745" ht="28.5" customHeight="1">
      <c r="A745" s="259"/>
      <c r="E745" s="302"/>
    </row>
    <row r="746" ht="28.5" customHeight="1">
      <c r="A746" s="259"/>
      <c r="E746" s="302"/>
    </row>
    <row r="747" ht="28.5" customHeight="1">
      <c r="A747" s="259"/>
      <c r="E747" s="302"/>
    </row>
    <row r="748" ht="28.5" customHeight="1">
      <c r="A748" s="259"/>
      <c r="E748" s="302"/>
    </row>
    <row r="749" ht="28.5" customHeight="1">
      <c r="A749" s="259"/>
      <c r="E749" s="302"/>
    </row>
    <row r="750" ht="28.5" customHeight="1">
      <c r="A750" s="259"/>
      <c r="E750" s="302"/>
    </row>
    <row r="751" ht="28.5" customHeight="1">
      <c r="A751" s="259"/>
      <c r="E751" s="302"/>
    </row>
    <row r="752" ht="28.5" customHeight="1">
      <c r="A752" s="259"/>
      <c r="E752" s="302"/>
    </row>
    <row r="753" ht="28.5" customHeight="1">
      <c r="A753" s="259"/>
      <c r="E753" s="302"/>
    </row>
    <row r="754" ht="28.5" customHeight="1">
      <c r="A754" s="259"/>
      <c r="E754" s="302"/>
    </row>
    <row r="755" ht="28.5" customHeight="1">
      <c r="A755" s="259"/>
      <c r="E755" s="302"/>
    </row>
    <row r="756" ht="28.5" customHeight="1">
      <c r="A756" s="259"/>
      <c r="E756" s="302"/>
    </row>
    <row r="757" ht="28.5" customHeight="1">
      <c r="A757" s="259"/>
      <c r="E757" s="302"/>
    </row>
    <row r="758" ht="28.5" customHeight="1">
      <c r="A758" s="259"/>
      <c r="E758" s="302"/>
    </row>
    <row r="759" ht="28.5" customHeight="1">
      <c r="A759" s="259"/>
      <c r="E759" s="302"/>
    </row>
    <row r="760" ht="28.5" customHeight="1">
      <c r="A760" s="259"/>
      <c r="E760" s="302"/>
    </row>
    <row r="761" ht="28.5" customHeight="1">
      <c r="A761" s="259"/>
      <c r="E761" s="302"/>
    </row>
    <row r="762" ht="28.5" customHeight="1">
      <c r="A762" s="259"/>
      <c r="E762" s="302"/>
    </row>
    <row r="763" ht="28.5" customHeight="1">
      <c r="A763" s="259"/>
      <c r="E763" s="302"/>
    </row>
    <row r="764" ht="28.5" customHeight="1">
      <c r="A764" s="259"/>
      <c r="E764" s="302"/>
    </row>
    <row r="765" ht="28.5" customHeight="1">
      <c r="A765" s="259"/>
      <c r="E765" s="302"/>
    </row>
    <row r="766" ht="28.5" customHeight="1">
      <c r="A766" s="259"/>
      <c r="E766" s="302"/>
    </row>
    <row r="767" ht="28.5" customHeight="1">
      <c r="A767" s="259"/>
      <c r="E767" s="302"/>
    </row>
    <row r="768" ht="28.5" customHeight="1">
      <c r="A768" s="259"/>
      <c r="E768" s="302"/>
    </row>
    <row r="769" ht="28.5" customHeight="1">
      <c r="A769" s="259"/>
      <c r="E769" s="302"/>
    </row>
    <row r="770" ht="28.5" customHeight="1">
      <c r="A770" s="259"/>
      <c r="E770" s="302"/>
    </row>
    <row r="771" ht="28.5" customHeight="1">
      <c r="A771" s="259"/>
      <c r="E771" s="302"/>
    </row>
    <row r="772" ht="28.5" customHeight="1">
      <c r="A772" s="259"/>
      <c r="E772" s="302"/>
    </row>
    <row r="773" ht="28.5" customHeight="1">
      <c r="A773" s="259"/>
      <c r="E773" s="302"/>
    </row>
    <row r="774" ht="28.5" customHeight="1">
      <c r="A774" s="259"/>
      <c r="E774" s="302"/>
    </row>
    <row r="775" ht="28.5" customHeight="1">
      <c r="A775" s="259"/>
      <c r="E775" s="302"/>
    </row>
    <row r="776" ht="28.5" customHeight="1">
      <c r="A776" s="259"/>
      <c r="E776" s="302"/>
    </row>
    <row r="777" ht="28.5" customHeight="1">
      <c r="A777" s="259"/>
      <c r="E777" s="302"/>
    </row>
    <row r="778" ht="28.5" customHeight="1">
      <c r="A778" s="259"/>
      <c r="E778" s="302"/>
    </row>
    <row r="779" ht="28.5" customHeight="1">
      <c r="A779" s="259"/>
      <c r="E779" s="302"/>
    </row>
    <row r="780" ht="28.5" customHeight="1">
      <c r="A780" s="259"/>
      <c r="E780" s="302"/>
    </row>
    <row r="781" ht="28.5" customHeight="1">
      <c r="A781" s="259"/>
      <c r="E781" s="302"/>
    </row>
    <row r="782" ht="28.5" customHeight="1">
      <c r="A782" s="259"/>
      <c r="E782" s="302"/>
    </row>
    <row r="783" ht="28.5" customHeight="1">
      <c r="A783" s="259"/>
      <c r="E783" s="302"/>
    </row>
    <row r="784" ht="28.5" customHeight="1">
      <c r="A784" s="259"/>
      <c r="E784" s="302"/>
    </row>
    <row r="785" ht="28.5" customHeight="1">
      <c r="A785" s="259"/>
      <c r="E785" s="302"/>
    </row>
    <row r="786" ht="28.5" customHeight="1">
      <c r="A786" s="259"/>
      <c r="E786" s="302"/>
    </row>
    <row r="787" ht="28.5" customHeight="1">
      <c r="A787" s="259"/>
      <c r="E787" s="302"/>
    </row>
    <row r="788" ht="28.5" customHeight="1">
      <c r="A788" s="259"/>
      <c r="E788" s="302"/>
    </row>
    <row r="789" ht="28.5" customHeight="1">
      <c r="A789" s="259"/>
      <c r="E789" s="302"/>
    </row>
    <row r="790" ht="28.5" customHeight="1">
      <c r="A790" s="259"/>
      <c r="E790" s="302"/>
    </row>
    <row r="791" ht="28.5" customHeight="1">
      <c r="A791" s="259"/>
      <c r="E791" s="302"/>
    </row>
    <row r="792" ht="28.5" customHeight="1">
      <c r="A792" s="259"/>
      <c r="E792" s="302"/>
    </row>
    <row r="793" ht="28.5" customHeight="1">
      <c r="A793" s="259"/>
      <c r="E793" s="302"/>
    </row>
    <row r="794" ht="28.5" customHeight="1">
      <c r="A794" s="259"/>
      <c r="E794" s="302"/>
    </row>
    <row r="795" ht="28.5" customHeight="1">
      <c r="A795" s="259"/>
      <c r="E795" s="302"/>
    </row>
    <row r="796" ht="28.5" customHeight="1">
      <c r="A796" s="259"/>
      <c r="E796" s="302"/>
    </row>
    <row r="797" ht="28.5" customHeight="1">
      <c r="A797" s="259"/>
      <c r="E797" s="302"/>
    </row>
    <row r="798" ht="28.5" customHeight="1">
      <c r="A798" s="259"/>
      <c r="E798" s="302"/>
    </row>
    <row r="799" ht="28.5" customHeight="1">
      <c r="A799" s="259"/>
      <c r="E799" s="302"/>
    </row>
    <row r="800" ht="28.5" customHeight="1">
      <c r="A800" s="259"/>
      <c r="E800" s="302"/>
    </row>
    <row r="801" ht="28.5" customHeight="1">
      <c r="A801" s="259"/>
      <c r="E801" s="302"/>
    </row>
    <row r="802" ht="28.5" customHeight="1">
      <c r="A802" s="259"/>
      <c r="E802" s="302"/>
    </row>
    <row r="803" ht="28.5" customHeight="1">
      <c r="A803" s="259"/>
      <c r="E803" s="302"/>
    </row>
    <row r="804" ht="28.5" customHeight="1">
      <c r="A804" s="259"/>
      <c r="E804" s="302"/>
    </row>
    <row r="805" ht="28.5" customHeight="1">
      <c r="A805" s="259"/>
      <c r="E805" s="302"/>
    </row>
    <row r="806" ht="28.5" customHeight="1">
      <c r="A806" s="259"/>
      <c r="E806" s="302"/>
    </row>
    <row r="807" ht="28.5" customHeight="1">
      <c r="A807" s="259"/>
      <c r="E807" s="302"/>
    </row>
    <row r="808" ht="28.5" customHeight="1">
      <c r="A808" s="259"/>
      <c r="E808" s="302"/>
    </row>
    <row r="809" ht="28.5" customHeight="1">
      <c r="A809" s="259"/>
      <c r="E809" s="302"/>
    </row>
    <row r="810" ht="28.5" customHeight="1">
      <c r="A810" s="259"/>
      <c r="E810" s="302"/>
    </row>
    <row r="811" ht="28.5" customHeight="1">
      <c r="A811" s="259"/>
      <c r="E811" s="302"/>
    </row>
    <row r="812" ht="28.5" customHeight="1">
      <c r="A812" s="259"/>
      <c r="E812" s="302"/>
    </row>
    <row r="813" ht="28.5" customHeight="1">
      <c r="A813" s="259"/>
      <c r="E813" s="302"/>
    </row>
    <row r="814" ht="28.5" customHeight="1">
      <c r="A814" s="259"/>
      <c r="E814" s="302"/>
    </row>
    <row r="815" ht="28.5" customHeight="1">
      <c r="A815" s="259"/>
      <c r="E815" s="302"/>
    </row>
    <row r="816" ht="28.5" customHeight="1">
      <c r="A816" s="259"/>
      <c r="E816" s="302"/>
    </row>
    <row r="817" ht="28.5" customHeight="1">
      <c r="A817" s="259"/>
      <c r="E817" s="302"/>
    </row>
    <row r="818" ht="28.5" customHeight="1">
      <c r="A818" s="259"/>
      <c r="E818" s="302"/>
    </row>
    <row r="819" ht="28.5" customHeight="1">
      <c r="A819" s="259"/>
      <c r="E819" s="302"/>
    </row>
    <row r="820" ht="28.5" customHeight="1">
      <c r="A820" s="259"/>
      <c r="E820" s="302"/>
    </row>
    <row r="821" ht="28.5" customHeight="1">
      <c r="A821" s="259"/>
      <c r="E821" s="302"/>
    </row>
    <row r="822" ht="28.5" customHeight="1">
      <c r="A822" s="259"/>
      <c r="E822" s="302"/>
    </row>
    <row r="823" ht="28.5" customHeight="1">
      <c r="A823" s="259"/>
      <c r="E823" s="302"/>
    </row>
    <row r="824" ht="28.5" customHeight="1">
      <c r="A824" s="259"/>
      <c r="E824" s="302"/>
    </row>
    <row r="825" ht="28.5" customHeight="1">
      <c r="A825" s="259"/>
      <c r="E825" s="302"/>
    </row>
    <row r="826" ht="28.5" customHeight="1">
      <c r="A826" s="259"/>
      <c r="E826" s="302"/>
    </row>
    <row r="827" ht="28.5" customHeight="1">
      <c r="A827" s="259"/>
      <c r="E827" s="302"/>
    </row>
    <row r="828" ht="28.5" customHeight="1">
      <c r="A828" s="259"/>
      <c r="E828" s="302"/>
    </row>
    <row r="829" ht="28.5" customHeight="1">
      <c r="A829" s="259"/>
      <c r="E829" s="302"/>
    </row>
    <row r="830" ht="28.5" customHeight="1">
      <c r="A830" s="259"/>
      <c r="E830" s="302"/>
    </row>
    <row r="831" ht="28.5" customHeight="1">
      <c r="A831" s="259"/>
      <c r="E831" s="302"/>
    </row>
    <row r="832" ht="28.5" customHeight="1">
      <c r="A832" s="259"/>
      <c r="E832" s="302"/>
    </row>
    <row r="833" ht="28.5" customHeight="1">
      <c r="A833" s="259"/>
      <c r="E833" s="302"/>
    </row>
    <row r="834" ht="28.5" customHeight="1">
      <c r="A834" s="259"/>
      <c r="E834" s="302"/>
    </row>
    <row r="835" ht="28.5" customHeight="1">
      <c r="A835" s="259"/>
      <c r="E835" s="302"/>
    </row>
    <row r="836" ht="28.5" customHeight="1">
      <c r="A836" s="259"/>
      <c r="E836" s="302"/>
    </row>
    <row r="837" ht="28.5" customHeight="1">
      <c r="A837" s="259"/>
      <c r="E837" s="302"/>
    </row>
    <row r="838" ht="28.5" customHeight="1">
      <c r="A838" s="259"/>
      <c r="E838" s="302"/>
    </row>
    <row r="839" ht="28.5" customHeight="1">
      <c r="A839" s="259"/>
      <c r="E839" s="302"/>
    </row>
    <row r="840" ht="28.5" customHeight="1">
      <c r="A840" s="259"/>
      <c r="E840" s="302"/>
    </row>
    <row r="841" ht="28.5" customHeight="1">
      <c r="A841" s="259"/>
      <c r="E841" s="302"/>
    </row>
    <row r="842" ht="28.5" customHeight="1">
      <c r="A842" s="259"/>
      <c r="E842" s="302"/>
    </row>
    <row r="843" ht="28.5" customHeight="1">
      <c r="A843" s="259"/>
      <c r="E843" s="302"/>
    </row>
    <row r="844" ht="28.5" customHeight="1">
      <c r="A844" s="259"/>
      <c r="E844" s="302"/>
    </row>
    <row r="845" ht="28.5" customHeight="1">
      <c r="A845" s="259"/>
      <c r="E845" s="302"/>
    </row>
    <row r="846" ht="28.5" customHeight="1">
      <c r="A846" s="259"/>
      <c r="E846" s="302"/>
    </row>
    <row r="847" ht="28.5" customHeight="1">
      <c r="A847" s="259"/>
      <c r="E847" s="302"/>
    </row>
    <row r="848" ht="28.5" customHeight="1">
      <c r="A848" s="259"/>
      <c r="E848" s="302"/>
    </row>
    <row r="849" ht="28.5" customHeight="1">
      <c r="A849" s="259"/>
      <c r="E849" s="302"/>
    </row>
    <row r="850" ht="28.5" customHeight="1">
      <c r="A850" s="259"/>
      <c r="E850" s="302"/>
    </row>
    <row r="851" ht="28.5" customHeight="1">
      <c r="A851" s="259"/>
      <c r="E851" s="302"/>
    </row>
    <row r="852" ht="28.5" customHeight="1">
      <c r="A852" s="259"/>
      <c r="E852" s="302"/>
    </row>
    <row r="853" ht="28.5" customHeight="1">
      <c r="A853" s="259"/>
      <c r="E853" s="302"/>
    </row>
    <row r="854" ht="28.5" customHeight="1">
      <c r="A854" s="259"/>
      <c r="E854" s="302"/>
    </row>
    <row r="855" ht="28.5" customHeight="1">
      <c r="A855" s="259"/>
      <c r="E855" s="302"/>
    </row>
    <row r="856" ht="28.5" customHeight="1">
      <c r="A856" s="259"/>
      <c r="E856" s="302"/>
    </row>
    <row r="857" ht="28.5" customHeight="1">
      <c r="A857" s="259"/>
      <c r="E857" s="302"/>
    </row>
    <row r="858" ht="28.5" customHeight="1">
      <c r="A858" s="259"/>
      <c r="E858" s="302"/>
    </row>
    <row r="859" ht="28.5" customHeight="1">
      <c r="A859" s="259"/>
      <c r="E859" s="302"/>
    </row>
    <row r="860" ht="28.5" customHeight="1">
      <c r="A860" s="259"/>
      <c r="E860" s="302"/>
    </row>
    <row r="861" ht="28.5" customHeight="1">
      <c r="A861" s="259"/>
      <c r="E861" s="302"/>
    </row>
    <row r="862" ht="28.5" customHeight="1">
      <c r="A862" s="259"/>
      <c r="E862" s="302"/>
    </row>
    <row r="863" ht="28.5" customHeight="1">
      <c r="A863" s="259"/>
      <c r="E863" s="302"/>
    </row>
    <row r="864" ht="28.5" customHeight="1">
      <c r="A864" s="259"/>
      <c r="E864" s="302"/>
    </row>
    <row r="865" ht="28.5" customHeight="1">
      <c r="A865" s="259"/>
      <c r="E865" s="302"/>
    </row>
    <row r="866" ht="28.5" customHeight="1">
      <c r="A866" s="259"/>
      <c r="E866" s="302"/>
    </row>
    <row r="867" ht="28.5" customHeight="1">
      <c r="A867" s="259"/>
      <c r="E867" s="302"/>
    </row>
    <row r="868" ht="28.5" customHeight="1">
      <c r="A868" s="259"/>
      <c r="E868" s="302"/>
    </row>
    <row r="869" ht="28.5" customHeight="1">
      <c r="A869" s="259"/>
      <c r="E869" s="302"/>
    </row>
    <row r="870" ht="28.5" customHeight="1">
      <c r="A870" s="259"/>
      <c r="E870" s="302"/>
    </row>
    <row r="871" ht="28.5" customHeight="1">
      <c r="A871" s="259"/>
      <c r="E871" s="302"/>
    </row>
    <row r="872" ht="28.5" customHeight="1">
      <c r="A872" s="259"/>
      <c r="E872" s="302"/>
    </row>
    <row r="873" ht="28.5" customHeight="1">
      <c r="A873" s="259"/>
      <c r="E873" s="302"/>
    </row>
    <row r="874" ht="28.5" customHeight="1">
      <c r="A874" s="259"/>
      <c r="E874" s="302"/>
    </row>
    <row r="875" ht="28.5" customHeight="1">
      <c r="A875" s="259"/>
      <c r="E875" s="302"/>
    </row>
    <row r="876" ht="28.5" customHeight="1">
      <c r="A876" s="259"/>
      <c r="E876" s="302"/>
    </row>
    <row r="877" ht="28.5" customHeight="1">
      <c r="A877" s="259"/>
      <c r="E877" s="302"/>
    </row>
    <row r="878" ht="28.5" customHeight="1">
      <c r="A878" s="259"/>
      <c r="E878" s="302"/>
    </row>
    <row r="879" ht="28.5" customHeight="1">
      <c r="A879" s="259"/>
      <c r="E879" s="302"/>
    </row>
    <row r="880" ht="28.5" customHeight="1">
      <c r="A880" s="259"/>
      <c r="E880" s="302"/>
    </row>
    <row r="881" ht="28.5" customHeight="1">
      <c r="A881" s="259"/>
      <c r="E881" s="302"/>
    </row>
    <row r="882" ht="28.5" customHeight="1">
      <c r="A882" s="259"/>
      <c r="E882" s="302"/>
    </row>
    <row r="883" ht="28.5" customHeight="1">
      <c r="A883" s="259"/>
      <c r="E883" s="302"/>
    </row>
    <row r="884" ht="28.5" customHeight="1">
      <c r="A884" s="259"/>
      <c r="E884" s="302"/>
    </row>
    <row r="885" ht="28.5" customHeight="1">
      <c r="A885" s="259"/>
      <c r="E885" s="302"/>
    </row>
    <row r="886" ht="28.5" customHeight="1">
      <c r="A886" s="259"/>
      <c r="E886" s="302"/>
    </row>
    <row r="887" ht="28.5" customHeight="1">
      <c r="A887" s="259"/>
      <c r="E887" s="302"/>
    </row>
    <row r="888" ht="28.5" customHeight="1">
      <c r="A888" s="259"/>
      <c r="E888" s="302"/>
    </row>
    <row r="889" ht="28.5" customHeight="1">
      <c r="A889" s="259"/>
      <c r="E889" s="302"/>
    </row>
    <row r="890" ht="28.5" customHeight="1">
      <c r="A890" s="259"/>
      <c r="E890" s="302"/>
    </row>
    <row r="891" ht="28.5" customHeight="1">
      <c r="A891" s="259"/>
      <c r="E891" s="302"/>
    </row>
    <row r="892" ht="28.5" customHeight="1">
      <c r="A892" s="259"/>
      <c r="E892" s="302"/>
    </row>
    <row r="893" ht="28.5" customHeight="1">
      <c r="A893" s="259"/>
      <c r="E893" s="302"/>
    </row>
    <row r="894" ht="28.5" customHeight="1">
      <c r="A894" s="259"/>
      <c r="E894" s="302"/>
    </row>
    <row r="895" ht="28.5" customHeight="1">
      <c r="A895" s="259"/>
      <c r="E895" s="302"/>
    </row>
    <row r="896" ht="28.5" customHeight="1">
      <c r="A896" s="259"/>
      <c r="E896" s="302"/>
    </row>
    <row r="897" ht="28.5" customHeight="1">
      <c r="A897" s="259"/>
      <c r="E897" s="302"/>
    </row>
    <row r="898" ht="28.5" customHeight="1">
      <c r="A898" s="259"/>
      <c r="E898" s="302"/>
    </row>
    <row r="899" ht="28.5" customHeight="1">
      <c r="A899" s="259"/>
      <c r="E899" s="302"/>
    </row>
    <row r="900" ht="28.5" customHeight="1">
      <c r="A900" s="259"/>
      <c r="E900" s="302"/>
    </row>
    <row r="901" ht="28.5" customHeight="1">
      <c r="A901" s="259"/>
      <c r="E901" s="302"/>
    </row>
    <row r="902" ht="28.5" customHeight="1">
      <c r="A902" s="259"/>
      <c r="E902" s="302"/>
    </row>
    <row r="903" ht="28.5" customHeight="1">
      <c r="A903" s="259"/>
      <c r="E903" s="302"/>
    </row>
    <row r="904" ht="28.5" customHeight="1">
      <c r="A904" s="259"/>
      <c r="E904" s="302"/>
    </row>
    <row r="905" ht="28.5" customHeight="1">
      <c r="A905" s="259"/>
      <c r="E905" s="302"/>
    </row>
    <row r="906" ht="28.5" customHeight="1">
      <c r="A906" s="259"/>
      <c r="E906" s="302"/>
    </row>
    <row r="907" ht="28.5" customHeight="1">
      <c r="A907" s="259"/>
      <c r="E907" s="302"/>
    </row>
    <row r="908" ht="28.5" customHeight="1">
      <c r="A908" s="259"/>
      <c r="E908" s="302"/>
    </row>
    <row r="909" ht="28.5" customHeight="1">
      <c r="A909" s="259"/>
      <c r="E909" s="302"/>
    </row>
    <row r="910" ht="28.5" customHeight="1">
      <c r="A910" s="259"/>
      <c r="E910" s="302"/>
    </row>
    <row r="911" ht="28.5" customHeight="1">
      <c r="A911" s="259"/>
      <c r="E911" s="302"/>
    </row>
    <row r="912" ht="28.5" customHeight="1">
      <c r="A912" s="259"/>
      <c r="E912" s="302"/>
    </row>
    <row r="913" ht="28.5" customHeight="1">
      <c r="A913" s="259"/>
      <c r="E913" s="302"/>
    </row>
    <row r="914" ht="28.5" customHeight="1">
      <c r="A914" s="259"/>
      <c r="E914" s="302"/>
    </row>
    <row r="915" ht="28.5" customHeight="1">
      <c r="A915" s="259"/>
      <c r="E915" s="302"/>
    </row>
    <row r="916" ht="28.5" customHeight="1">
      <c r="A916" s="259"/>
      <c r="E916" s="302"/>
    </row>
    <row r="917" ht="28.5" customHeight="1">
      <c r="A917" s="259"/>
      <c r="E917" s="302"/>
    </row>
    <row r="918" ht="28.5" customHeight="1">
      <c r="A918" s="259"/>
      <c r="E918" s="302"/>
    </row>
    <row r="919" ht="28.5" customHeight="1">
      <c r="A919" s="259"/>
      <c r="E919" s="302"/>
    </row>
    <row r="920" ht="28.5" customHeight="1">
      <c r="A920" s="259"/>
      <c r="E920" s="302"/>
    </row>
    <row r="921" ht="28.5" customHeight="1">
      <c r="A921" s="259"/>
      <c r="E921" s="302"/>
    </row>
    <row r="922" ht="28.5" customHeight="1">
      <c r="A922" s="259"/>
      <c r="E922" s="302"/>
    </row>
    <row r="923" ht="28.5" customHeight="1">
      <c r="A923" s="259"/>
      <c r="E923" s="302"/>
    </row>
    <row r="924" ht="28.5" customHeight="1">
      <c r="A924" s="259"/>
      <c r="E924" s="302"/>
    </row>
    <row r="925" ht="28.5" customHeight="1">
      <c r="A925" s="259"/>
      <c r="E925" s="302"/>
    </row>
    <row r="926" ht="28.5" customHeight="1">
      <c r="A926" s="259"/>
      <c r="E926" s="302"/>
    </row>
    <row r="927" ht="28.5" customHeight="1">
      <c r="A927" s="259"/>
      <c r="E927" s="302"/>
    </row>
    <row r="928" ht="28.5" customHeight="1">
      <c r="A928" s="259"/>
      <c r="E928" s="302"/>
    </row>
    <row r="929" ht="28.5" customHeight="1">
      <c r="A929" s="259"/>
      <c r="E929" s="302"/>
    </row>
    <row r="930" ht="28.5" customHeight="1">
      <c r="A930" s="259"/>
      <c r="E930" s="302"/>
    </row>
    <row r="931" ht="28.5" customHeight="1">
      <c r="A931" s="259"/>
      <c r="E931" s="302"/>
    </row>
    <row r="932" ht="28.5" customHeight="1">
      <c r="A932" s="259"/>
      <c r="E932" s="302"/>
    </row>
    <row r="933" ht="28.5" customHeight="1">
      <c r="A933" s="259"/>
      <c r="E933" s="302"/>
    </row>
    <row r="934" ht="28.5" customHeight="1">
      <c r="A934" s="259"/>
      <c r="E934" s="302"/>
    </row>
    <row r="935" ht="28.5" customHeight="1">
      <c r="A935" s="259"/>
      <c r="E935" s="302"/>
    </row>
    <row r="936" ht="28.5" customHeight="1">
      <c r="A936" s="259"/>
      <c r="E936" s="302"/>
    </row>
    <row r="937" ht="28.5" customHeight="1">
      <c r="A937" s="259"/>
      <c r="E937" s="302"/>
    </row>
    <row r="938" ht="28.5" customHeight="1">
      <c r="A938" s="259"/>
      <c r="E938" s="302"/>
    </row>
    <row r="939" ht="28.5" customHeight="1">
      <c r="A939" s="259"/>
      <c r="E939" s="302"/>
    </row>
    <row r="940" ht="28.5" customHeight="1">
      <c r="A940" s="259"/>
      <c r="E940" s="302"/>
    </row>
    <row r="941" ht="28.5" customHeight="1">
      <c r="A941" s="259"/>
      <c r="E941" s="302"/>
    </row>
    <row r="942" ht="28.5" customHeight="1">
      <c r="A942" s="259"/>
      <c r="E942" s="302"/>
    </row>
    <row r="943" ht="28.5" customHeight="1">
      <c r="A943" s="259"/>
      <c r="E943" s="302"/>
    </row>
    <row r="944" ht="28.5" customHeight="1">
      <c r="A944" s="259"/>
      <c r="E944" s="302"/>
    </row>
    <row r="945" ht="28.5" customHeight="1">
      <c r="A945" s="259"/>
      <c r="E945" s="302"/>
    </row>
    <row r="946" ht="28.5" customHeight="1">
      <c r="A946" s="259"/>
      <c r="E946" s="302"/>
    </row>
    <row r="947" ht="28.5" customHeight="1">
      <c r="A947" s="259"/>
      <c r="E947" s="302"/>
    </row>
    <row r="948" ht="28.5" customHeight="1">
      <c r="A948" s="259"/>
      <c r="E948" s="302"/>
    </row>
    <row r="949" ht="28.5" customHeight="1">
      <c r="A949" s="259"/>
      <c r="E949" s="302"/>
    </row>
    <row r="950" ht="28.5" customHeight="1">
      <c r="A950" s="259"/>
      <c r="E950" s="302"/>
    </row>
    <row r="951" ht="28.5" customHeight="1">
      <c r="A951" s="259"/>
      <c r="E951" s="302"/>
    </row>
    <row r="952" ht="28.5" customHeight="1">
      <c r="A952" s="259"/>
      <c r="E952" s="302"/>
    </row>
    <row r="953" ht="28.5" customHeight="1">
      <c r="A953" s="259"/>
      <c r="E953" s="302"/>
    </row>
    <row r="954" ht="28.5" customHeight="1">
      <c r="A954" s="259"/>
      <c r="E954" s="302"/>
    </row>
    <row r="955" ht="28.5" customHeight="1">
      <c r="A955" s="259"/>
      <c r="E955" s="302"/>
    </row>
    <row r="956" ht="28.5" customHeight="1">
      <c r="A956" s="259"/>
      <c r="E956" s="302"/>
    </row>
    <row r="957" ht="28.5" customHeight="1">
      <c r="A957" s="259"/>
      <c r="E957" s="302"/>
    </row>
    <row r="958" ht="28.5" customHeight="1">
      <c r="A958" s="259"/>
      <c r="E958" s="302"/>
    </row>
    <row r="959" ht="28.5" customHeight="1">
      <c r="A959" s="259"/>
      <c r="E959" s="302"/>
    </row>
    <row r="960" ht="28.5" customHeight="1">
      <c r="A960" s="259"/>
      <c r="E960" s="302"/>
    </row>
    <row r="961" ht="28.5" customHeight="1">
      <c r="A961" s="259"/>
      <c r="E961" s="302"/>
    </row>
    <row r="962" ht="28.5" customHeight="1">
      <c r="A962" s="259"/>
      <c r="E962" s="302"/>
    </row>
    <row r="963" ht="28.5" customHeight="1">
      <c r="A963" s="259"/>
      <c r="E963" s="302"/>
    </row>
    <row r="964" ht="28.5" customHeight="1">
      <c r="A964" s="259"/>
      <c r="E964" s="302"/>
    </row>
    <row r="965" ht="28.5" customHeight="1">
      <c r="A965" s="259"/>
      <c r="E965" s="302"/>
    </row>
    <row r="966" ht="28.5" customHeight="1">
      <c r="A966" s="259"/>
      <c r="E966" s="302"/>
    </row>
    <row r="967" ht="28.5" customHeight="1">
      <c r="A967" s="259"/>
      <c r="E967" s="302"/>
    </row>
    <row r="968" ht="28.5" customHeight="1">
      <c r="A968" s="259"/>
      <c r="E968" s="302"/>
    </row>
    <row r="969" ht="28.5" customHeight="1">
      <c r="A969" s="259"/>
      <c r="E969" s="302"/>
    </row>
    <row r="970" ht="28.5" customHeight="1">
      <c r="A970" s="259"/>
      <c r="E970" s="302"/>
    </row>
    <row r="971" ht="28.5" customHeight="1">
      <c r="A971" s="259"/>
      <c r="E971" s="302"/>
    </row>
    <row r="972" ht="28.5" customHeight="1">
      <c r="A972" s="259"/>
      <c r="E972" s="302"/>
    </row>
    <row r="973" ht="28.5" customHeight="1">
      <c r="A973" s="259"/>
      <c r="E973" s="302"/>
    </row>
    <row r="974" ht="28.5" customHeight="1">
      <c r="A974" s="259"/>
      <c r="E974" s="302"/>
    </row>
    <row r="975" ht="28.5" customHeight="1">
      <c r="A975" s="259"/>
      <c r="E975" s="302"/>
    </row>
    <row r="976" ht="28.5" customHeight="1">
      <c r="A976" s="259"/>
      <c r="E976" s="302"/>
    </row>
    <row r="977" ht="28.5" customHeight="1">
      <c r="A977" s="259"/>
      <c r="E977" s="302"/>
    </row>
    <row r="978" ht="28.5" customHeight="1">
      <c r="A978" s="259"/>
      <c r="E978" s="302"/>
    </row>
    <row r="979" ht="28.5" customHeight="1">
      <c r="A979" s="259"/>
      <c r="E979" s="302"/>
    </row>
    <row r="980" ht="28.5" customHeight="1">
      <c r="A980" s="259"/>
      <c r="E980" s="302"/>
    </row>
    <row r="981" ht="28.5" customHeight="1">
      <c r="A981" s="259"/>
      <c r="E981" s="302"/>
    </row>
    <row r="982" ht="28.5" customHeight="1">
      <c r="A982" s="259"/>
      <c r="E982" s="302"/>
    </row>
    <row r="983" ht="28.5" customHeight="1">
      <c r="A983" s="259"/>
      <c r="E983" s="302"/>
    </row>
    <row r="984" ht="28.5" customHeight="1">
      <c r="A984" s="259"/>
      <c r="E984" s="302"/>
    </row>
    <row r="985" ht="28.5" customHeight="1">
      <c r="A985" s="259"/>
      <c r="E985" s="302"/>
    </row>
    <row r="986" ht="28.5" customHeight="1">
      <c r="A986" s="259"/>
      <c r="E986" s="302"/>
    </row>
    <row r="987" ht="28.5" customHeight="1">
      <c r="A987" s="259"/>
      <c r="E987" s="302"/>
    </row>
    <row r="988" ht="28.5" customHeight="1">
      <c r="A988" s="259"/>
      <c r="E988" s="302"/>
    </row>
    <row r="989" ht="28.5" customHeight="1">
      <c r="A989" s="259"/>
      <c r="E989" s="302"/>
    </row>
    <row r="990" ht="28.5" customHeight="1">
      <c r="A990" s="259"/>
      <c r="E990" s="302"/>
    </row>
    <row r="991" ht="28.5" customHeight="1">
      <c r="A991" s="259"/>
      <c r="E991" s="302"/>
    </row>
    <row r="992" ht="28.5" customHeight="1">
      <c r="A992" s="259"/>
      <c r="E992" s="302"/>
    </row>
    <row r="993" ht="28.5" customHeight="1">
      <c r="A993" s="259"/>
      <c r="E993" s="302"/>
    </row>
    <row r="994" ht="28.5" customHeight="1">
      <c r="A994" s="259"/>
      <c r="E994" s="302"/>
    </row>
    <row r="995" ht="28.5" customHeight="1">
      <c r="A995" s="259"/>
      <c r="E995" s="302"/>
    </row>
    <row r="996" ht="28.5" customHeight="1">
      <c r="A996" s="259"/>
      <c r="E996" s="302"/>
    </row>
    <row r="997" ht="28.5" customHeight="1">
      <c r="A997" s="259"/>
      <c r="E997" s="302"/>
    </row>
    <row r="998" ht="28.5" customHeight="1">
      <c r="A998" s="259"/>
      <c r="E998" s="302"/>
    </row>
    <row r="999" ht="28.5" customHeight="1">
      <c r="A999" s="259"/>
      <c r="E999" s="302"/>
    </row>
    <row r="1000" ht="28.5" customHeight="1">
      <c r="A1000" s="259"/>
      <c r="E1000" s="302"/>
    </row>
    <row r="1001" ht="28.5" customHeight="1">
      <c r="A1001" s="259"/>
      <c r="E1001" s="302"/>
    </row>
    <row r="1002" ht="28.5" customHeight="1">
      <c r="A1002" s="259"/>
      <c r="E1002" s="302"/>
    </row>
    <row r="1003" ht="28.5" customHeight="1">
      <c r="A1003" s="259"/>
      <c r="E1003" s="302"/>
    </row>
    <row r="1004" ht="28.5" customHeight="1">
      <c r="A1004" s="259"/>
      <c r="E1004" s="302"/>
    </row>
    <row r="1005" ht="28.5" customHeight="1">
      <c r="A1005" s="259"/>
      <c r="E1005" s="302"/>
    </row>
    <row r="1006" ht="28.5" customHeight="1">
      <c r="A1006" s="259"/>
      <c r="E1006" s="302"/>
    </row>
    <row r="1007" ht="28.5" customHeight="1">
      <c r="A1007" s="259"/>
      <c r="E1007" s="302"/>
    </row>
    <row r="1008" ht="28.5" customHeight="1">
      <c r="A1008" s="259"/>
      <c r="E1008" s="302"/>
    </row>
    <row r="1009" ht="28.5" customHeight="1">
      <c r="A1009" s="259"/>
      <c r="E1009" s="302"/>
    </row>
    <row r="1010" ht="28.5" customHeight="1">
      <c r="A1010" s="259"/>
      <c r="E1010" s="302"/>
    </row>
    <row r="1011" ht="28.5" customHeight="1">
      <c r="A1011" s="259"/>
      <c r="E1011" s="302"/>
    </row>
    <row r="1012" ht="28.5" customHeight="1">
      <c r="A1012" s="259"/>
      <c r="E1012" s="302"/>
    </row>
    <row r="1013" ht="28.5" customHeight="1">
      <c r="A1013" s="259"/>
      <c r="E1013" s="302"/>
    </row>
  </sheetData>
  <hyperlinks>
    <hyperlink r:id="rId1" ref="H4"/>
    <hyperlink r:id="rId2" ref="H5"/>
    <hyperlink r:id="rId3" ref="H6"/>
    <hyperlink r:id="rId4" ref="H7"/>
    <hyperlink r:id="rId5" ref="H8"/>
    <hyperlink r:id="rId6" ref="H9"/>
    <hyperlink r:id="rId7" ref="H10"/>
    <hyperlink r:id="rId8" ref="H11"/>
    <hyperlink r:id="rId9" ref="H13"/>
    <hyperlink r:id="rId10" ref="H14"/>
    <hyperlink r:id="rId11" ref="H15"/>
    <hyperlink r:id="rId12" ref="H17"/>
    <hyperlink r:id="rId13" ref="H18"/>
    <hyperlink r:id="rId14" ref="H26"/>
    <hyperlink r:id="rId15" ref="H27"/>
    <hyperlink r:id="rId16" ref="H28"/>
    <hyperlink r:id="rId17" ref="H30"/>
    <hyperlink r:id="rId18" ref="H31"/>
    <hyperlink r:id="rId19" ref="H33"/>
    <hyperlink r:id="rId20" ref="H34"/>
    <hyperlink r:id="rId21" ref="H35"/>
  </hyperlinks>
  <printOptions/>
  <pageMargins bottom="1.0" footer="0.0" header="0.0" left="0.75" right="0.75" top="1.0"/>
  <pageSetup orientation="landscape"/>
  <headerFooter>
    <oddHeader>&amp;L000000SOUTH AFRICAN UMAPS SCHOLARS</oddHeader>
    <oddFooter>&amp;C&amp;F&amp;F</oddFooter>
  </headerFooter>
  <drawing r:id="rId2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5" width="11.43"/>
    <col customWidth="1" min="6" max="6" width="7.29"/>
    <col customWidth="1" min="7" max="7" width="16.86"/>
    <col customWidth="1" min="8" max="8" width="24.86"/>
    <col customWidth="1" min="9" max="9" width="18.14"/>
    <col customWidth="1" min="10" max="10" width="33.29"/>
    <col customWidth="1" min="11" max="11" width="17.43"/>
    <col customWidth="1" min="12" max="12" width="22.43"/>
    <col customWidth="1" min="13" max="13" width="19.0"/>
    <col customWidth="1" min="14" max="14" width="18.71"/>
    <col customWidth="1" min="15" max="26" width="11.43"/>
  </cols>
  <sheetData>
    <row r="1" ht="58.5" customHeight="1">
      <c r="A1" s="237" t="s">
        <v>0</v>
      </c>
      <c r="B1" s="303" t="s">
        <v>2585</v>
      </c>
      <c r="C1" s="303" t="s">
        <v>2</v>
      </c>
      <c r="D1" s="235" t="s">
        <v>2807</v>
      </c>
      <c r="E1" s="235" t="s">
        <v>2808</v>
      </c>
      <c r="F1" s="303" t="s">
        <v>5</v>
      </c>
      <c r="G1" s="303" t="s">
        <v>6</v>
      </c>
      <c r="H1" s="303" t="s">
        <v>7</v>
      </c>
      <c r="I1" s="303" t="s">
        <v>2586</v>
      </c>
      <c r="J1" s="303" t="s">
        <v>10</v>
      </c>
      <c r="K1" s="303" t="s">
        <v>11</v>
      </c>
      <c r="L1" s="303" t="s">
        <v>12</v>
      </c>
      <c r="M1" s="303" t="s">
        <v>2587</v>
      </c>
      <c r="N1" s="303" t="s">
        <v>14</v>
      </c>
      <c r="O1" s="304"/>
      <c r="P1" s="304"/>
      <c r="Q1" s="304"/>
      <c r="R1" s="304"/>
      <c r="S1" s="304"/>
      <c r="T1" s="304"/>
      <c r="U1" s="304"/>
      <c r="V1" s="304"/>
      <c r="W1" s="304"/>
      <c r="X1" s="304"/>
      <c r="Y1" s="304"/>
      <c r="Z1" s="304"/>
    </row>
    <row r="2" ht="28.5" customHeight="1">
      <c r="A2" s="237">
        <v>1.0</v>
      </c>
      <c r="B2" s="238" t="s">
        <v>180</v>
      </c>
      <c r="C2" s="238" t="s">
        <v>181</v>
      </c>
      <c r="D2" s="238" t="s">
        <v>182</v>
      </c>
      <c r="E2" s="238"/>
      <c r="F2" s="238" t="s">
        <v>1027</v>
      </c>
      <c r="G2" s="238" t="s">
        <v>160</v>
      </c>
      <c r="H2" s="238" t="s">
        <v>184</v>
      </c>
      <c r="I2" s="238" t="s">
        <v>185</v>
      </c>
      <c r="J2" s="238" t="s">
        <v>186</v>
      </c>
      <c r="K2" s="240" t="s">
        <v>187</v>
      </c>
      <c r="L2" s="238" t="s">
        <v>188</v>
      </c>
      <c r="M2" s="238"/>
      <c r="N2" s="238" t="s">
        <v>189</v>
      </c>
    </row>
    <row r="3" ht="28.5" customHeight="1">
      <c r="A3" s="237">
        <v>2.0</v>
      </c>
      <c r="B3" s="238" t="s">
        <v>216</v>
      </c>
      <c r="C3" s="238" t="s">
        <v>216</v>
      </c>
      <c r="D3" s="238" t="s">
        <v>182</v>
      </c>
      <c r="E3" s="238"/>
      <c r="F3" s="238" t="s">
        <v>1027</v>
      </c>
      <c r="G3" s="238" t="s">
        <v>160</v>
      </c>
      <c r="H3" s="238" t="s">
        <v>217</v>
      </c>
      <c r="I3" s="238" t="s">
        <v>218</v>
      </c>
      <c r="J3" s="238" t="s">
        <v>219</v>
      </c>
      <c r="K3" s="240"/>
      <c r="L3" s="238" t="s">
        <v>220</v>
      </c>
      <c r="M3" s="238"/>
      <c r="N3" s="238" t="s">
        <v>221</v>
      </c>
    </row>
    <row r="4" ht="28.5" customHeight="1">
      <c r="A4" s="237">
        <v>3.0</v>
      </c>
      <c r="B4" s="238" t="s">
        <v>235</v>
      </c>
      <c r="C4" s="238" t="s">
        <v>236</v>
      </c>
      <c r="D4" s="238" t="s">
        <v>182</v>
      </c>
      <c r="E4" s="238"/>
      <c r="F4" s="238" t="s">
        <v>1027</v>
      </c>
      <c r="G4" s="238" t="s">
        <v>160</v>
      </c>
      <c r="H4" s="238" t="s">
        <v>237</v>
      </c>
      <c r="I4" s="238" t="s">
        <v>91</v>
      </c>
      <c r="J4" s="239" t="s">
        <v>238</v>
      </c>
      <c r="K4" s="240"/>
      <c r="L4" s="238" t="s">
        <v>239</v>
      </c>
      <c r="M4" s="238"/>
      <c r="N4" s="238"/>
    </row>
    <row r="5" ht="28.5" customHeight="1">
      <c r="A5" s="237">
        <v>4.0</v>
      </c>
      <c r="B5" s="238" t="s">
        <v>251</v>
      </c>
      <c r="C5" s="238" t="s">
        <v>252</v>
      </c>
      <c r="D5" s="238" t="s">
        <v>182</v>
      </c>
      <c r="E5" s="238"/>
      <c r="F5" s="238" t="s">
        <v>1027</v>
      </c>
      <c r="G5" s="238" t="s">
        <v>160</v>
      </c>
      <c r="H5" s="238" t="s">
        <v>253</v>
      </c>
      <c r="I5" s="238" t="s">
        <v>254</v>
      </c>
      <c r="J5" s="238" t="s">
        <v>2918</v>
      </c>
      <c r="K5" s="240">
        <v>2.317701177E10</v>
      </c>
      <c r="L5" s="238" t="s">
        <v>256</v>
      </c>
      <c r="M5" s="238"/>
      <c r="N5" s="238" t="s">
        <v>257</v>
      </c>
    </row>
    <row r="6" ht="28.5" customHeight="1">
      <c r="A6" s="237">
        <v>5.0</v>
      </c>
      <c r="B6" s="240" t="s">
        <v>354</v>
      </c>
      <c r="C6" s="240" t="s">
        <v>355</v>
      </c>
      <c r="D6" s="240" t="s">
        <v>182</v>
      </c>
      <c r="E6" s="240"/>
      <c r="F6" s="240" t="s">
        <v>1027</v>
      </c>
      <c r="G6" s="238" t="s">
        <v>320</v>
      </c>
      <c r="H6" s="240" t="s">
        <v>356</v>
      </c>
      <c r="I6" s="240" t="s">
        <v>357</v>
      </c>
      <c r="J6" s="249" t="s">
        <v>358</v>
      </c>
      <c r="K6" s="240">
        <v>2.316519229E9</v>
      </c>
      <c r="L6" s="240" t="s">
        <v>359</v>
      </c>
      <c r="M6" s="238"/>
      <c r="N6" s="238" t="s">
        <v>360</v>
      </c>
    </row>
    <row r="7" ht="28.5" customHeight="1">
      <c r="A7" s="237">
        <v>6.0</v>
      </c>
      <c r="B7" s="238" t="s">
        <v>363</v>
      </c>
      <c r="C7" s="238" t="s">
        <v>364</v>
      </c>
      <c r="D7" s="240" t="s">
        <v>182</v>
      </c>
      <c r="E7" s="240"/>
      <c r="F7" s="240" t="s">
        <v>1027</v>
      </c>
      <c r="G7" s="238" t="s">
        <v>320</v>
      </c>
      <c r="H7" s="240" t="s">
        <v>365</v>
      </c>
      <c r="I7" s="238" t="s">
        <v>366</v>
      </c>
      <c r="J7" s="249" t="s">
        <v>368</v>
      </c>
      <c r="K7" s="240">
        <v>2.316466687E9</v>
      </c>
      <c r="L7" s="240" t="s">
        <v>369</v>
      </c>
      <c r="M7" s="238" t="s">
        <v>2664</v>
      </c>
      <c r="N7" s="238" t="s">
        <v>371</v>
      </c>
    </row>
    <row r="8" ht="28.5" customHeight="1">
      <c r="A8" s="237">
        <v>7.0</v>
      </c>
      <c r="B8" s="245" t="s">
        <v>449</v>
      </c>
      <c r="C8" s="245" t="s">
        <v>450</v>
      </c>
      <c r="D8" s="238" t="s">
        <v>182</v>
      </c>
      <c r="E8" s="238"/>
      <c r="F8" s="238" t="s">
        <v>1027</v>
      </c>
      <c r="G8" s="238" t="s">
        <v>320</v>
      </c>
      <c r="H8" s="238" t="s">
        <v>452</v>
      </c>
      <c r="I8" s="238" t="s">
        <v>453</v>
      </c>
      <c r="J8" s="241" t="s">
        <v>454</v>
      </c>
      <c r="K8" s="240" t="s">
        <v>455</v>
      </c>
      <c r="L8" s="238" t="s">
        <v>2919</v>
      </c>
      <c r="M8" s="238"/>
      <c r="N8" s="238" t="s">
        <v>457</v>
      </c>
    </row>
    <row r="9" ht="28.5" customHeight="1">
      <c r="A9" s="305">
        <v>8.0</v>
      </c>
      <c r="B9" s="306" t="s">
        <v>475</v>
      </c>
      <c r="C9" s="306" t="s">
        <v>476</v>
      </c>
      <c r="D9" s="306" t="s">
        <v>182</v>
      </c>
      <c r="E9" s="307" t="s">
        <v>2920</v>
      </c>
      <c r="F9" s="306" t="s">
        <v>1027</v>
      </c>
      <c r="G9" s="306" t="s">
        <v>466</v>
      </c>
      <c r="H9" s="306" t="s">
        <v>184</v>
      </c>
      <c r="I9" s="308" t="s">
        <v>477</v>
      </c>
      <c r="J9" s="309" t="s">
        <v>478</v>
      </c>
      <c r="K9" s="308"/>
      <c r="L9" s="308" t="s">
        <v>479</v>
      </c>
      <c r="M9" s="306"/>
      <c r="N9" s="306" t="s">
        <v>457</v>
      </c>
      <c r="O9" s="79"/>
      <c r="P9" s="79"/>
      <c r="Q9" s="79"/>
      <c r="R9" s="79"/>
      <c r="S9" s="79"/>
      <c r="T9" s="79"/>
      <c r="U9" s="79"/>
      <c r="V9" s="79"/>
      <c r="W9" s="79"/>
      <c r="X9" s="79"/>
      <c r="Y9" s="79"/>
      <c r="Z9" s="79"/>
    </row>
    <row r="10" ht="28.5" customHeight="1">
      <c r="A10" s="305">
        <v>9.0</v>
      </c>
      <c r="B10" s="306" t="s">
        <v>2921</v>
      </c>
      <c r="C10" s="306" t="s">
        <v>495</v>
      </c>
      <c r="D10" s="306" t="s">
        <v>182</v>
      </c>
      <c r="E10" s="310" t="s">
        <v>2920</v>
      </c>
      <c r="F10" s="311" t="s">
        <v>1027</v>
      </c>
      <c r="G10" s="306" t="s">
        <v>466</v>
      </c>
      <c r="H10" s="311" t="s">
        <v>496</v>
      </c>
      <c r="I10" s="306" t="s">
        <v>497</v>
      </c>
      <c r="J10" s="312" t="s">
        <v>498</v>
      </c>
      <c r="K10" s="311"/>
      <c r="L10" s="311" t="s">
        <v>499</v>
      </c>
      <c r="M10" s="306"/>
      <c r="N10" s="306" t="s">
        <v>457</v>
      </c>
      <c r="O10" s="79"/>
      <c r="P10" s="79"/>
      <c r="Q10" s="79"/>
      <c r="R10" s="79"/>
      <c r="S10" s="79"/>
      <c r="T10" s="79"/>
      <c r="U10" s="79"/>
      <c r="V10" s="79"/>
      <c r="W10" s="79"/>
      <c r="X10" s="79"/>
      <c r="Y10" s="79"/>
      <c r="Z10" s="79"/>
    </row>
    <row r="11" ht="28.5" customHeight="1">
      <c r="A11" s="237">
        <v>10.0</v>
      </c>
      <c r="B11" s="238" t="s">
        <v>547</v>
      </c>
      <c r="C11" s="238" t="s">
        <v>548</v>
      </c>
      <c r="D11" s="238" t="s">
        <v>182</v>
      </c>
      <c r="E11" s="238"/>
      <c r="F11" s="238" t="s">
        <v>1027</v>
      </c>
      <c r="G11" s="238" t="s">
        <v>466</v>
      </c>
      <c r="H11" s="238" t="s">
        <v>184</v>
      </c>
      <c r="I11" s="238" t="s">
        <v>549</v>
      </c>
      <c r="J11" s="241" t="s">
        <v>550</v>
      </c>
      <c r="K11" s="240"/>
      <c r="L11" s="238" t="s">
        <v>2922</v>
      </c>
      <c r="M11" s="238"/>
      <c r="N11" s="238" t="s">
        <v>552</v>
      </c>
    </row>
    <row r="12" ht="28.5" customHeight="1">
      <c r="A12" s="237">
        <v>11.0</v>
      </c>
      <c r="B12" s="238" t="s">
        <v>576</v>
      </c>
      <c r="C12" s="238" t="s">
        <v>577</v>
      </c>
      <c r="D12" s="238" t="s">
        <v>182</v>
      </c>
      <c r="E12" s="238"/>
      <c r="F12" s="238" t="s">
        <v>1027</v>
      </c>
      <c r="G12" s="238" t="s">
        <v>466</v>
      </c>
      <c r="H12" s="238" t="s">
        <v>184</v>
      </c>
      <c r="I12" s="238" t="s">
        <v>578</v>
      </c>
      <c r="J12" s="313" t="s">
        <v>579</v>
      </c>
      <c r="K12" s="240"/>
      <c r="L12" s="238" t="s">
        <v>580</v>
      </c>
      <c r="M12" s="238"/>
      <c r="N12" s="238"/>
    </row>
    <row r="13" ht="28.5" customHeight="1">
      <c r="A13" s="237">
        <v>12.0</v>
      </c>
      <c r="B13" s="238" t="s">
        <v>643</v>
      </c>
      <c r="C13" s="238" t="s">
        <v>644</v>
      </c>
      <c r="D13" s="238" t="s">
        <v>182</v>
      </c>
      <c r="E13" s="238"/>
      <c r="F13" s="238" t="s">
        <v>1018</v>
      </c>
      <c r="G13" s="238" t="s">
        <v>599</v>
      </c>
      <c r="H13" s="238" t="s">
        <v>217</v>
      </c>
      <c r="I13" s="238" t="s">
        <v>226</v>
      </c>
      <c r="J13" s="238" t="s">
        <v>2923</v>
      </c>
      <c r="K13" s="240">
        <v>2.316982629E9</v>
      </c>
      <c r="L13" s="238" t="s">
        <v>646</v>
      </c>
      <c r="M13" s="238" t="s">
        <v>2924</v>
      </c>
      <c r="N13" s="238" t="s">
        <v>2925</v>
      </c>
    </row>
    <row r="14" ht="28.5" customHeight="1">
      <c r="A14" s="237">
        <v>13.0</v>
      </c>
      <c r="B14" s="238" t="s">
        <v>652</v>
      </c>
      <c r="C14" s="238" t="s">
        <v>653</v>
      </c>
      <c r="D14" s="238" t="s">
        <v>182</v>
      </c>
      <c r="E14" s="238"/>
      <c r="F14" s="238" t="s">
        <v>1027</v>
      </c>
      <c r="G14" s="238" t="s">
        <v>599</v>
      </c>
      <c r="H14" s="238" t="s">
        <v>654</v>
      </c>
      <c r="I14" s="238" t="s">
        <v>655</v>
      </c>
      <c r="J14" s="238" t="s">
        <v>656</v>
      </c>
      <c r="K14" s="240" t="s">
        <v>657</v>
      </c>
      <c r="L14" s="238" t="s">
        <v>658</v>
      </c>
      <c r="M14" s="238"/>
      <c r="N14" s="238" t="s">
        <v>659</v>
      </c>
    </row>
    <row r="15" ht="28.5" customHeight="1">
      <c r="A15" s="237">
        <v>14.0</v>
      </c>
      <c r="B15" s="238" t="s">
        <v>795</v>
      </c>
      <c r="C15" s="238" t="s">
        <v>796</v>
      </c>
      <c r="D15" s="238" t="s">
        <v>182</v>
      </c>
      <c r="E15" s="238"/>
      <c r="F15" s="238" t="s">
        <v>1027</v>
      </c>
      <c r="G15" s="238" t="s">
        <v>717</v>
      </c>
      <c r="H15" s="238" t="s">
        <v>797</v>
      </c>
      <c r="I15" s="238" t="s">
        <v>798</v>
      </c>
      <c r="J15" s="243" t="s">
        <v>799</v>
      </c>
      <c r="K15" s="244">
        <v>2.31886592341E11</v>
      </c>
      <c r="L15" s="238" t="s">
        <v>800</v>
      </c>
      <c r="M15" s="238" t="s">
        <v>2924</v>
      </c>
      <c r="N15" s="238" t="s">
        <v>2926</v>
      </c>
    </row>
    <row r="16" ht="28.5" customHeight="1">
      <c r="A16" s="237">
        <v>15.0</v>
      </c>
      <c r="B16" s="238" t="s">
        <v>834</v>
      </c>
      <c r="C16" s="238" t="s">
        <v>835</v>
      </c>
      <c r="D16" s="238" t="s">
        <v>182</v>
      </c>
      <c r="E16" s="238"/>
      <c r="F16" s="238" t="s">
        <v>1027</v>
      </c>
      <c r="G16" s="238" t="s">
        <v>717</v>
      </c>
      <c r="H16" s="238" t="s">
        <v>836</v>
      </c>
      <c r="I16" s="238" t="s">
        <v>837</v>
      </c>
      <c r="J16" s="241" t="s">
        <v>838</v>
      </c>
      <c r="K16" s="244"/>
      <c r="L16" s="238" t="s">
        <v>839</v>
      </c>
      <c r="M16" s="238"/>
      <c r="N16" s="238" t="s">
        <v>840</v>
      </c>
    </row>
    <row r="17" ht="28.5" customHeight="1">
      <c r="A17" s="237">
        <v>16.0</v>
      </c>
      <c r="B17" s="240" t="s">
        <v>900</v>
      </c>
      <c r="C17" s="240" t="s">
        <v>901</v>
      </c>
      <c r="D17" s="238" t="s">
        <v>182</v>
      </c>
      <c r="E17" s="238"/>
      <c r="F17" s="238" t="s">
        <v>1018</v>
      </c>
      <c r="G17" s="238" t="s">
        <v>845</v>
      </c>
      <c r="H17" s="238" t="s">
        <v>902</v>
      </c>
      <c r="I17" s="238" t="s">
        <v>903</v>
      </c>
      <c r="J17" s="247" t="s">
        <v>904</v>
      </c>
      <c r="K17" s="240"/>
      <c r="L17" s="238" t="s">
        <v>905</v>
      </c>
      <c r="M17" s="238"/>
      <c r="N17" s="238" t="s">
        <v>906</v>
      </c>
    </row>
    <row r="18" ht="28.5" customHeight="1">
      <c r="A18" s="237">
        <v>17.0</v>
      </c>
      <c r="B18" s="238" t="s">
        <v>920</v>
      </c>
      <c r="C18" s="238" t="s">
        <v>921</v>
      </c>
      <c r="D18" s="238" t="s">
        <v>182</v>
      </c>
      <c r="E18" s="238"/>
      <c r="F18" s="238" t="s">
        <v>1027</v>
      </c>
      <c r="G18" s="238" t="s">
        <v>845</v>
      </c>
      <c r="H18" s="238" t="s">
        <v>922</v>
      </c>
      <c r="I18" s="238" t="s">
        <v>923</v>
      </c>
      <c r="J18" s="314" t="s">
        <v>924</v>
      </c>
      <c r="K18" s="240"/>
      <c r="L18" s="238" t="s">
        <v>925</v>
      </c>
      <c r="M18" s="238"/>
      <c r="N18" s="238" t="s">
        <v>2927</v>
      </c>
    </row>
    <row r="19" ht="28.5" customHeight="1">
      <c r="A19" s="237">
        <v>18.0</v>
      </c>
      <c r="B19" s="240" t="s">
        <v>652</v>
      </c>
      <c r="C19" s="240" t="s">
        <v>158</v>
      </c>
      <c r="D19" s="240" t="s">
        <v>182</v>
      </c>
      <c r="E19" s="240"/>
      <c r="F19" s="240" t="s">
        <v>1027</v>
      </c>
      <c r="G19" s="238" t="s">
        <v>1197</v>
      </c>
      <c r="H19" s="240" t="s">
        <v>1238</v>
      </c>
      <c r="I19" s="238" t="s">
        <v>1239</v>
      </c>
      <c r="J19" s="250" t="s">
        <v>1240</v>
      </c>
      <c r="K19" s="240" t="s">
        <v>1241</v>
      </c>
      <c r="L19" s="240" t="s">
        <v>1242</v>
      </c>
      <c r="M19" s="238"/>
      <c r="N19" s="238" t="s">
        <v>457</v>
      </c>
    </row>
    <row r="20" ht="28.5" customHeight="1">
      <c r="A20" s="315">
        <v>19.0</v>
      </c>
      <c r="B20" s="251" t="s">
        <v>1348</v>
      </c>
      <c r="C20" s="240" t="s">
        <v>1349</v>
      </c>
      <c r="D20" s="252" t="s">
        <v>182</v>
      </c>
      <c r="E20" s="252"/>
      <c r="F20" s="252" t="s">
        <v>1027</v>
      </c>
      <c r="G20" s="239" t="s">
        <v>1318</v>
      </c>
      <c r="H20" s="238" t="s">
        <v>1350</v>
      </c>
      <c r="I20" s="238" t="s">
        <v>2928</v>
      </c>
      <c r="J20" s="238"/>
      <c r="K20" s="252"/>
      <c r="L20" s="238" t="s">
        <v>1354</v>
      </c>
      <c r="M20" s="238"/>
      <c r="N20" s="238"/>
    </row>
    <row r="21" ht="33.75" customHeight="1">
      <c r="A21" s="316">
        <v>20.0</v>
      </c>
      <c r="B21" s="317" t="s">
        <v>364</v>
      </c>
      <c r="C21" s="254" t="s">
        <v>1640</v>
      </c>
      <c r="D21" s="252" t="s">
        <v>182</v>
      </c>
      <c r="E21" s="254"/>
      <c r="F21" s="254" t="s">
        <v>1027</v>
      </c>
      <c r="G21" s="239" t="s">
        <v>1633</v>
      </c>
      <c r="H21" s="239" t="s">
        <v>2929</v>
      </c>
      <c r="I21" s="239" t="s">
        <v>1643</v>
      </c>
      <c r="J21" s="255" t="s">
        <v>2930</v>
      </c>
      <c r="K21" s="253"/>
      <c r="L21" s="243" t="s">
        <v>1645</v>
      </c>
      <c r="M21" s="253"/>
      <c r="N21" s="253"/>
    </row>
    <row r="22" ht="31.5" customHeight="1">
      <c r="A22" s="316">
        <v>21.0</v>
      </c>
      <c r="B22" s="317" t="s">
        <v>2931</v>
      </c>
      <c r="C22" s="254" t="s">
        <v>856</v>
      </c>
      <c r="D22" s="252" t="s">
        <v>182</v>
      </c>
      <c r="E22" s="254"/>
      <c r="F22" s="254" t="s">
        <v>1027</v>
      </c>
      <c r="G22" s="239" t="s">
        <v>1633</v>
      </c>
      <c r="H22" s="239" t="s">
        <v>1674</v>
      </c>
      <c r="I22" s="239" t="s">
        <v>1675</v>
      </c>
      <c r="J22" s="255" t="s">
        <v>1676</v>
      </c>
      <c r="K22" s="253"/>
      <c r="L22" s="243" t="s">
        <v>1677</v>
      </c>
      <c r="M22" s="253"/>
      <c r="N22" s="243" t="s">
        <v>2932</v>
      </c>
    </row>
    <row r="23" ht="28.5" customHeight="1">
      <c r="A23" s="316">
        <v>22.0</v>
      </c>
      <c r="B23" s="318" t="s">
        <v>1227</v>
      </c>
      <c r="C23" s="318" t="s">
        <v>1228</v>
      </c>
      <c r="D23" s="240" t="s">
        <v>1229</v>
      </c>
      <c r="E23" s="240"/>
      <c r="F23" s="240" t="s">
        <v>1027</v>
      </c>
      <c r="G23" s="238" t="s">
        <v>1197</v>
      </c>
      <c r="H23" s="240" t="s">
        <v>1230</v>
      </c>
      <c r="I23" s="238" t="s">
        <v>1231</v>
      </c>
      <c r="J23" s="250" t="s">
        <v>2933</v>
      </c>
      <c r="K23" s="240" t="s">
        <v>1233</v>
      </c>
      <c r="L23" s="240" t="s">
        <v>1234</v>
      </c>
      <c r="M23" s="238"/>
      <c r="N23" s="238" t="s">
        <v>1235</v>
      </c>
    </row>
    <row r="24" ht="28.5" customHeight="1">
      <c r="A24" s="259"/>
    </row>
    <row r="25" ht="28.5" customHeight="1">
      <c r="A25" s="259"/>
    </row>
    <row r="26" ht="28.5" customHeight="1">
      <c r="A26" s="259"/>
    </row>
    <row r="27" ht="28.5" customHeight="1">
      <c r="A27" s="259"/>
    </row>
    <row r="28" ht="28.5" customHeight="1">
      <c r="A28" s="259"/>
    </row>
    <row r="29" ht="28.5" customHeight="1">
      <c r="A29" s="259"/>
    </row>
    <row r="30" ht="28.5" customHeight="1">
      <c r="A30" s="259"/>
    </row>
    <row r="31" ht="28.5" customHeight="1">
      <c r="A31" s="259"/>
    </row>
    <row r="32" ht="28.5" customHeight="1">
      <c r="A32" s="259"/>
    </row>
    <row r="33" ht="28.5" customHeight="1">
      <c r="A33" s="259"/>
    </row>
    <row r="34" ht="28.5" customHeight="1">
      <c r="A34" s="259"/>
    </row>
    <row r="35" ht="28.5" customHeight="1">
      <c r="A35" s="259"/>
    </row>
    <row r="36" ht="28.5" customHeight="1">
      <c r="A36" s="259"/>
    </row>
    <row r="37" ht="28.5" customHeight="1">
      <c r="A37" s="259"/>
    </row>
    <row r="38" ht="28.5" customHeight="1">
      <c r="A38" s="259"/>
    </row>
    <row r="39" ht="28.5" customHeight="1">
      <c r="A39" s="259"/>
    </row>
    <row r="40" ht="28.5" customHeight="1">
      <c r="A40" s="259"/>
    </row>
    <row r="41" ht="28.5" customHeight="1">
      <c r="A41" s="259"/>
    </row>
    <row r="42" ht="28.5" customHeight="1">
      <c r="A42" s="259"/>
    </row>
    <row r="43" ht="28.5" customHeight="1">
      <c r="A43" s="259"/>
    </row>
    <row r="44" ht="28.5" customHeight="1">
      <c r="A44" s="259"/>
    </row>
    <row r="45" ht="28.5" customHeight="1">
      <c r="A45" s="259"/>
    </row>
    <row r="46" ht="28.5" customHeight="1">
      <c r="A46" s="259"/>
    </row>
    <row r="47" ht="28.5" customHeight="1">
      <c r="A47" s="259"/>
    </row>
    <row r="48" ht="28.5" customHeight="1">
      <c r="A48" s="259"/>
    </row>
    <row r="49" ht="28.5" customHeight="1">
      <c r="A49" s="259"/>
    </row>
    <row r="50" ht="28.5" customHeight="1">
      <c r="A50" s="259"/>
    </row>
    <row r="51" ht="28.5" customHeight="1">
      <c r="A51" s="259"/>
    </row>
    <row r="52" ht="28.5" customHeight="1">
      <c r="A52" s="259"/>
    </row>
    <row r="53" ht="28.5" customHeight="1">
      <c r="A53" s="259"/>
    </row>
    <row r="54" ht="28.5" customHeight="1">
      <c r="A54" s="259"/>
    </row>
    <row r="55" ht="28.5" customHeight="1">
      <c r="A55" s="259"/>
    </row>
    <row r="56" ht="28.5" customHeight="1">
      <c r="A56" s="259"/>
    </row>
    <row r="57" ht="28.5" customHeight="1">
      <c r="A57" s="259"/>
    </row>
    <row r="58" ht="28.5" customHeight="1">
      <c r="A58" s="259"/>
    </row>
    <row r="59" ht="28.5" customHeight="1">
      <c r="A59" s="259"/>
    </row>
    <row r="60" ht="28.5" customHeight="1">
      <c r="A60" s="259"/>
    </row>
    <row r="61" ht="28.5" customHeight="1">
      <c r="A61" s="259"/>
    </row>
    <row r="62" ht="28.5" customHeight="1">
      <c r="A62" s="259"/>
    </row>
    <row r="63" ht="28.5" customHeight="1">
      <c r="A63" s="259"/>
    </row>
    <row r="64" ht="28.5" customHeight="1">
      <c r="A64" s="259"/>
    </row>
    <row r="65" ht="28.5" customHeight="1">
      <c r="A65" s="259"/>
    </row>
    <row r="66" ht="28.5" customHeight="1">
      <c r="A66" s="259"/>
    </row>
    <row r="67" ht="28.5" customHeight="1">
      <c r="A67" s="259"/>
    </row>
    <row r="68" ht="28.5" customHeight="1">
      <c r="A68" s="259"/>
    </row>
    <row r="69" ht="28.5" customHeight="1">
      <c r="A69" s="259"/>
    </row>
    <row r="70" ht="28.5" customHeight="1">
      <c r="A70" s="259"/>
    </row>
    <row r="71" ht="28.5" customHeight="1">
      <c r="A71" s="259"/>
    </row>
    <row r="72" ht="28.5" customHeight="1">
      <c r="A72" s="259"/>
    </row>
    <row r="73" ht="28.5" customHeight="1">
      <c r="A73" s="259"/>
    </row>
    <row r="74" ht="28.5" customHeight="1">
      <c r="A74" s="259"/>
    </row>
    <row r="75" ht="28.5" customHeight="1">
      <c r="A75" s="259"/>
    </row>
    <row r="76" ht="28.5" customHeight="1">
      <c r="A76" s="259"/>
    </row>
    <row r="77" ht="28.5" customHeight="1">
      <c r="A77" s="259"/>
    </row>
    <row r="78" ht="28.5" customHeight="1">
      <c r="A78" s="259"/>
    </row>
    <row r="79" ht="28.5" customHeight="1">
      <c r="A79" s="259"/>
    </row>
    <row r="80" ht="28.5" customHeight="1">
      <c r="A80" s="259"/>
    </row>
    <row r="81" ht="28.5" customHeight="1">
      <c r="A81" s="259"/>
    </row>
    <row r="82" ht="28.5" customHeight="1">
      <c r="A82" s="259"/>
    </row>
    <row r="83" ht="28.5" customHeight="1">
      <c r="A83" s="259"/>
    </row>
    <row r="84" ht="28.5" customHeight="1">
      <c r="A84" s="259"/>
    </row>
    <row r="85" ht="28.5" customHeight="1">
      <c r="A85" s="259"/>
    </row>
    <row r="86" ht="28.5" customHeight="1">
      <c r="A86" s="259"/>
    </row>
    <row r="87" ht="28.5" customHeight="1">
      <c r="A87" s="259"/>
    </row>
    <row r="88" ht="28.5" customHeight="1">
      <c r="A88" s="259"/>
    </row>
    <row r="89" ht="28.5" customHeight="1">
      <c r="A89" s="259"/>
    </row>
    <row r="90" ht="28.5" customHeight="1">
      <c r="A90" s="259"/>
    </row>
    <row r="91" ht="28.5" customHeight="1">
      <c r="A91" s="259"/>
    </row>
    <row r="92" ht="28.5" customHeight="1">
      <c r="A92" s="259"/>
    </row>
    <row r="93" ht="28.5" customHeight="1">
      <c r="A93" s="259"/>
    </row>
    <row r="94" ht="28.5" customHeight="1">
      <c r="A94" s="259"/>
    </row>
    <row r="95" ht="28.5" customHeight="1">
      <c r="A95" s="259"/>
    </row>
    <row r="96" ht="28.5" customHeight="1">
      <c r="A96" s="259"/>
    </row>
    <row r="97" ht="28.5" customHeight="1">
      <c r="A97" s="259"/>
    </row>
    <row r="98" ht="28.5" customHeight="1">
      <c r="A98" s="259"/>
    </row>
    <row r="99" ht="28.5" customHeight="1">
      <c r="A99" s="259"/>
    </row>
    <row r="100" ht="28.5" customHeight="1">
      <c r="A100" s="259"/>
    </row>
    <row r="101" ht="28.5" customHeight="1">
      <c r="A101" s="259"/>
    </row>
    <row r="102" ht="28.5" customHeight="1">
      <c r="A102" s="259"/>
    </row>
    <row r="103" ht="28.5" customHeight="1">
      <c r="A103" s="259"/>
    </row>
    <row r="104" ht="28.5" customHeight="1">
      <c r="A104" s="259"/>
    </row>
    <row r="105" ht="28.5" customHeight="1">
      <c r="A105" s="259"/>
    </row>
    <row r="106" ht="28.5" customHeight="1">
      <c r="A106" s="259"/>
    </row>
    <row r="107" ht="28.5" customHeight="1">
      <c r="A107" s="259"/>
    </row>
    <row r="108" ht="28.5" customHeight="1">
      <c r="A108" s="259"/>
    </row>
    <row r="109" ht="28.5" customHeight="1">
      <c r="A109" s="259"/>
    </row>
    <row r="110" ht="28.5" customHeight="1">
      <c r="A110" s="259"/>
    </row>
    <row r="111" ht="28.5" customHeight="1">
      <c r="A111" s="259"/>
    </row>
    <row r="112" ht="28.5" customHeight="1">
      <c r="A112" s="259"/>
    </row>
    <row r="113" ht="28.5" customHeight="1">
      <c r="A113" s="259"/>
    </row>
    <row r="114" ht="28.5" customHeight="1">
      <c r="A114" s="259"/>
    </row>
    <row r="115" ht="28.5" customHeight="1">
      <c r="A115" s="259"/>
    </row>
    <row r="116" ht="28.5" customHeight="1">
      <c r="A116" s="259"/>
    </row>
    <row r="117" ht="28.5" customHeight="1">
      <c r="A117" s="259"/>
    </row>
    <row r="118" ht="28.5" customHeight="1">
      <c r="A118" s="259"/>
    </row>
    <row r="119" ht="28.5" customHeight="1">
      <c r="A119" s="259"/>
    </row>
    <row r="120" ht="28.5" customHeight="1">
      <c r="A120" s="259"/>
    </row>
    <row r="121" ht="28.5" customHeight="1">
      <c r="A121" s="259"/>
    </row>
    <row r="122" ht="28.5" customHeight="1">
      <c r="A122" s="259"/>
    </row>
    <row r="123" ht="28.5" customHeight="1">
      <c r="A123" s="259"/>
    </row>
    <row r="124" ht="28.5" customHeight="1">
      <c r="A124" s="259"/>
    </row>
    <row r="125" ht="28.5" customHeight="1">
      <c r="A125" s="259"/>
    </row>
    <row r="126" ht="28.5" customHeight="1">
      <c r="A126" s="259"/>
    </row>
    <row r="127" ht="28.5" customHeight="1">
      <c r="A127" s="259"/>
    </row>
    <row r="128" ht="28.5" customHeight="1">
      <c r="A128" s="259"/>
    </row>
    <row r="129" ht="28.5" customHeight="1">
      <c r="A129" s="259"/>
    </row>
    <row r="130" ht="28.5" customHeight="1">
      <c r="A130" s="259"/>
    </row>
    <row r="131" ht="28.5" customHeight="1">
      <c r="A131" s="259"/>
    </row>
    <row r="132" ht="28.5" customHeight="1">
      <c r="A132" s="259"/>
    </row>
    <row r="133" ht="28.5" customHeight="1">
      <c r="A133" s="259"/>
    </row>
    <row r="134" ht="28.5" customHeight="1">
      <c r="A134" s="259"/>
    </row>
    <row r="135" ht="28.5" customHeight="1">
      <c r="A135" s="259"/>
    </row>
    <row r="136" ht="28.5" customHeight="1">
      <c r="A136" s="259"/>
    </row>
    <row r="137" ht="28.5" customHeight="1">
      <c r="A137" s="259"/>
    </row>
    <row r="138" ht="28.5" customHeight="1">
      <c r="A138" s="259"/>
    </row>
    <row r="139" ht="28.5" customHeight="1">
      <c r="A139" s="259"/>
    </row>
    <row r="140" ht="28.5" customHeight="1">
      <c r="A140" s="259"/>
    </row>
    <row r="141" ht="28.5" customHeight="1">
      <c r="A141" s="259"/>
    </row>
    <row r="142" ht="28.5" customHeight="1">
      <c r="A142" s="259"/>
    </row>
    <row r="143" ht="28.5" customHeight="1">
      <c r="A143" s="259"/>
    </row>
    <row r="144" ht="28.5" customHeight="1">
      <c r="A144" s="259"/>
    </row>
    <row r="145" ht="28.5" customHeight="1">
      <c r="A145" s="259"/>
    </row>
    <row r="146" ht="28.5" customHeight="1">
      <c r="A146" s="259"/>
    </row>
    <row r="147" ht="28.5" customHeight="1">
      <c r="A147" s="259"/>
    </row>
    <row r="148" ht="28.5" customHeight="1">
      <c r="A148" s="259"/>
    </row>
    <row r="149" ht="28.5" customHeight="1">
      <c r="A149" s="259"/>
    </row>
    <row r="150" ht="28.5" customHeight="1">
      <c r="A150" s="259"/>
    </row>
    <row r="151" ht="28.5" customHeight="1">
      <c r="A151" s="259"/>
    </row>
    <row r="152" ht="28.5" customHeight="1">
      <c r="A152" s="259"/>
    </row>
    <row r="153" ht="28.5" customHeight="1">
      <c r="A153" s="259"/>
    </row>
    <row r="154" ht="28.5" customHeight="1">
      <c r="A154" s="259"/>
    </row>
    <row r="155" ht="28.5" customHeight="1">
      <c r="A155" s="259"/>
    </row>
    <row r="156" ht="28.5" customHeight="1">
      <c r="A156" s="259"/>
    </row>
    <row r="157" ht="28.5" customHeight="1">
      <c r="A157" s="259"/>
    </row>
    <row r="158" ht="28.5" customHeight="1">
      <c r="A158" s="259"/>
    </row>
    <row r="159" ht="28.5" customHeight="1">
      <c r="A159" s="259"/>
    </row>
    <row r="160" ht="28.5" customHeight="1">
      <c r="A160" s="259"/>
    </row>
    <row r="161" ht="28.5" customHeight="1">
      <c r="A161" s="259"/>
    </row>
    <row r="162" ht="28.5" customHeight="1">
      <c r="A162" s="259"/>
    </row>
    <row r="163" ht="28.5" customHeight="1">
      <c r="A163" s="259"/>
    </row>
    <row r="164" ht="28.5" customHeight="1">
      <c r="A164" s="259"/>
    </row>
    <row r="165" ht="28.5" customHeight="1">
      <c r="A165" s="259"/>
    </row>
    <row r="166" ht="28.5" customHeight="1">
      <c r="A166" s="259"/>
    </row>
    <row r="167" ht="28.5" customHeight="1">
      <c r="A167" s="259"/>
    </row>
    <row r="168" ht="28.5" customHeight="1">
      <c r="A168" s="259"/>
    </row>
    <row r="169" ht="28.5" customHeight="1">
      <c r="A169" s="259"/>
    </row>
    <row r="170" ht="28.5" customHeight="1">
      <c r="A170" s="259"/>
    </row>
    <row r="171" ht="28.5" customHeight="1">
      <c r="A171" s="259"/>
    </row>
    <row r="172" ht="28.5" customHeight="1">
      <c r="A172" s="259"/>
    </row>
    <row r="173" ht="28.5" customHeight="1">
      <c r="A173" s="259"/>
    </row>
    <row r="174" ht="28.5" customHeight="1">
      <c r="A174" s="259"/>
    </row>
    <row r="175" ht="28.5" customHeight="1">
      <c r="A175" s="259"/>
    </row>
    <row r="176" ht="28.5" customHeight="1">
      <c r="A176" s="259"/>
    </row>
    <row r="177" ht="28.5" customHeight="1">
      <c r="A177" s="259"/>
    </row>
    <row r="178" ht="28.5" customHeight="1">
      <c r="A178" s="259"/>
    </row>
    <row r="179" ht="28.5" customHeight="1">
      <c r="A179" s="259"/>
    </row>
    <row r="180" ht="28.5" customHeight="1">
      <c r="A180" s="259"/>
    </row>
    <row r="181" ht="28.5" customHeight="1">
      <c r="A181" s="259"/>
    </row>
    <row r="182" ht="28.5" customHeight="1">
      <c r="A182" s="259"/>
    </row>
    <row r="183" ht="28.5" customHeight="1">
      <c r="A183" s="259"/>
    </row>
    <row r="184" ht="28.5" customHeight="1">
      <c r="A184" s="259"/>
    </row>
    <row r="185" ht="28.5" customHeight="1">
      <c r="A185" s="259"/>
    </row>
    <row r="186" ht="28.5" customHeight="1">
      <c r="A186" s="259"/>
    </row>
    <row r="187" ht="28.5" customHeight="1">
      <c r="A187" s="259"/>
    </row>
    <row r="188" ht="28.5" customHeight="1">
      <c r="A188" s="259"/>
    </row>
    <row r="189" ht="28.5" customHeight="1">
      <c r="A189" s="259"/>
    </row>
    <row r="190" ht="28.5" customHeight="1">
      <c r="A190" s="259"/>
    </row>
    <row r="191" ht="28.5" customHeight="1">
      <c r="A191" s="259"/>
    </row>
    <row r="192" ht="28.5" customHeight="1">
      <c r="A192" s="259"/>
    </row>
    <row r="193" ht="28.5" customHeight="1">
      <c r="A193" s="259"/>
    </row>
    <row r="194" ht="28.5" customHeight="1">
      <c r="A194" s="259"/>
    </row>
    <row r="195" ht="28.5" customHeight="1">
      <c r="A195" s="259"/>
    </row>
    <row r="196" ht="28.5" customHeight="1">
      <c r="A196" s="259"/>
    </row>
    <row r="197" ht="28.5" customHeight="1">
      <c r="A197" s="259"/>
    </row>
    <row r="198" ht="28.5" customHeight="1">
      <c r="A198" s="259"/>
    </row>
    <row r="199" ht="28.5" customHeight="1">
      <c r="A199" s="259"/>
    </row>
    <row r="200" ht="28.5" customHeight="1">
      <c r="A200" s="259"/>
    </row>
    <row r="201" ht="28.5" customHeight="1">
      <c r="A201" s="259"/>
    </row>
    <row r="202" ht="28.5" customHeight="1">
      <c r="A202" s="259"/>
    </row>
    <row r="203" ht="28.5" customHeight="1">
      <c r="A203" s="259"/>
    </row>
    <row r="204" ht="28.5" customHeight="1">
      <c r="A204" s="259"/>
    </row>
    <row r="205" ht="28.5" customHeight="1">
      <c r="A205" s="259"/>
    </row>
    <row r="206" ht="28.5" customHeight="1">
      <c r="A206" s="259"/>
    </row>
    <row r="207" ht="28.5" customHeight="1">
      <c r="A207" s="259"/>
    </row>
    <row r="208" ht="28.5" customHeight="1">
      <c r="A208" s="259"/>
    </row>
    <row r="209" ht="28.5" customHeight="1">
      <c r="A209" s="259"/>
    </row>
    <row r="210" ht="28.5" customHeight="1">
      <c r="A210" s="259"/>
    </row>
    <row r="211" ht="28.5" customHeight="1">
      <c r="A211" s="259"/>
    </row>
    <row r="212" ht="28.5" customHeight="1">
      <c r="A212" s="259"/>
    </row>
    <row r="213" ht="28.5" customHeight="1">
      <c r="A213" s="259"/>
    </row>
    <row r="214" ht="28.5" customHeight="1">
      <c r="A214" s="259"/>
    </row>
    <row r="215" ht="28.5" customHeight="1">
      <c r="A215" s="259"/>
    </row>
    <row r="216" ht="28.5" customHeight="1">
      <c r="A216" s="259"/>
    </row>
    <row r="217" ht="28.5" customHeight="1">
      <c r="A217" s="259"/>
    </row>
    <row r="218" ht="28.5" customHeight="1">
      <c r="A218" s="259"/>
    </row>
    <row r="219" ht="28.5" customHeight="1">
      <c r="A219" s="259"/>
    </row>
    <row r="220" ht="28.5" customHeight="1">
      <c r="A220" s="259"/>
    </row>
    <row r="221" ht="28.5" customHeight="1">
      <c r="A221" s="259"/>
    </row>
    <row r="222" ht="28.5" customHeight="1">
      <c r="A222" s="259"/>
    </row>
    <row r="223" ht="28.5" customHeight="1">
      <c r="A223" s="259"/>
    </row>
    <row r="224" ht="28.5" customHeight="1">
      <c r="A224" s="259"/>
    </row>
    <row r="225" ht="28.5" customHeight="1">
      <c r="A225" s="259"/>
    </row>
    <row r="226" ht="28.5" customHeight="1">
      <c r="A226" s="259"/>
    </row>
    <row r="227" ht="28.5" customHeight="1">
      <c r="A227" s="259"/>
    </row>
    <row r="228" ht="28.5" customHeight="1">
      <c r="A228" s="259"/>
    </row>
    <row r="229" ht="28.5" customHeight="1">
      <c r="A229" s="259"/>
    </row>
    <row r="230" ht="28.5" customHeight="1">
      <c r="A230" s="259"/>
    </row>
    <row r="231" ht="28.5" customHeight="1">
      <c r="A231" s="259"/>
    </row>
    <row r="232" ht="28.5" customHeight="1">
      <c r="A232" s="259"/>
    </row>
    <row r="233" ht="28.5" customHeight="1">
      <c r="A233" s="259"/>
    </row>
    <row r="234" ht="28.5" customHeight="1">
      <c r="A234" s="259"/>
    </row>
    <row r="235" ht="28.5" customHeight="1">
      <c r="A235" s="259"/>
    </row>
    <row r="236" ht="28.5" customHeight="1">
      <c r="A236" s="259"/>
    </row>
    <row r="237" ht="28.5" customHeight="1">
      <c r="A237" s="259"/>
    </row>
    <row r="238" ht="28.5" customHeight="1">
      <c r="A238" s="259"/>
    </row>
    <row r="239" ht="28.5" customHeight="1">
      <c r="A239" s="259"/>
    </row>
    <row r="240" ht="28.5" customHeight="1">
      <c r="A240" s="259"/>
    </row>
    <row r="241" ht="28.5" customHeight="1">
      <c r="A241" s="259"/>
    </row>
    <row r="242" ht="28.5" customHeight="1">
      <c r="A242" s="259"/>
    </row>
    <row r="243" ht="28.5" customHeight="1">
      <c r="A243" s="259"/>
    </row>
    <row r="244" ht="28.5" customHeight="1">
      <c r="A244" s="259"/>
    </row>
    <row r="245" ht="28.5" customHeight="1">
      <c r="A245" s="259"/>
    </row>
    <row r="246" ht="28.5" customHeight="1">
      <c r="A246" s="259"/>
    </row>
    <row r="247" ht="28.5" customHeight="1">
      <c r="A247" s="259"/>
    </row>
    <row r="248" ht="28.5" customHeight="1">
      <c r="A248" s="259"/>
    </row>
    <row r="249" ht="28.5" customHeight="1">
      <c r="A249" s="259"/>
    </row>
    <row r="250" ht="28.5" customHeight="1">
      <c r="A250" s="259"/>
    </row>
    <row r="251" ht="28.5" customHeight="1">
      <c r="A251" s="259"/>
    </row>
    <row r="252" ht="28.5" customHeight="1">
      <c r="A252" s="259"/>
    </row>
    <row r="253" ht="28.5" customHeight="1">
      <c r="A253" s="259"/>
    </row>
    <row r="254" ht="28.5" customHeight="1">
      <c r="A254" s="259"/>
    </row>
    <row r="255" ht="28.5" customHeight="1">
      <c r="A255" s="259"/>
    </row>
    <row r="256" ht="28.5" customHeight="1">
      <c r="A256" s="259"/>
    </row>
    <row r="257" ht="28.5" customHeight="1">
      <c r="A257" s="259"/>
    </row>
    <row r="258" ht="28.5" customHeight="1">
      <c r="A258" s="259"/>
    </row>
    <row r="259" ht="28.5" customHeight="1">
      <c r="A259" s="259"/>
    </row>
    <row r="260" ht="28.5" customHeight="1">
      <c r="A260" s="259"/>
    </row>
    <row r="261" ht="28.5" customHeight="1">
      <c r="A261" s="259"/>
    </row>
    <row r="262" ht="28.5" customHeight="1">
      <c r="A262" s="259"/>
    </row>
    <row r="263" ht="28.5" customHeight="1">
      <c r="A263" s="259"/>
    </row>
    <row r="264" ht="28.5" customHeight="1">
      <c r="A264" s="259"/>
    </row>
    <row r="265" ht="28.5" customHeight="1">
      <c r="A265" s="259"/>
    </row>
    <row r="266" ht="28.5" customHeight="1">
      <c r="A266" s="259"/>
    </row>
    <row r="267" ht="28.5" customHeight="1">
      <c r="A267" s="259"/>
    </row>
    <row r="268" ht="28.5" customHeight="1">
      <c r="A268" s="259"/>
    </row>
    <row r="269" ht="28.5" customHeight="1">
      <c r="A269" s="259"/>
    </row>
    <row r="270" ht="28.5" customHeight="1">
      <c r="A270" s="259"/>
    </row>
    <row r="271" ht="28.5" customHeight="1">
      <c r="A271" s="259"/>
    </row>
    <row r="272" ht="28.5" customHeight="1">
      <c r="A272" s="259"/>
    </row>
    <row r="273" ht="28.5" customHeight="1">
      <c r="A273" s="259"/>
    </row>
    <row r="274" ht="28.5" customHeight="1">
      <c r="A274" s="259"/>
    </row>
    <row r="275" ht="28.5" customHeight="1">
      <c r="A275" s="259"/>
    </row>
    <row r="276" ht="28.5" customHeight="1">
      <c r="A276" s="259"/>
    </row>
    <row r="277" ht="28.5" customHeight="1">
      <c r="A277" s="259"/>
    </row>
    <row r="278" ht="28.5" customHeight="1">
      <c r="A278" s="259"/>
    </row>
    <row r="279" ht="28.5" customHeight="1">
      <c r="A279" s="259"/>
    </row>
    <row r="280" ht="28.5" customHeight="1">
      <c r="A280" s="259"/>
    </row>
    <row r="281" ht="28.5" customHeight="1">
      <c r="A281" s="259"/>
    </row>
    <row r="282" ht="28.5" customHeight="1">
      <c r="A282" s="259"/>
    </row>
    <row r="283" ht="28.5" customHeight="1">
      <c r="A283" s="259"/>
    </row>
    <row r="284" ht="28.5" customHeight="1">
      <c r="A284" s="259"/>
    </row>
    <row r="285" ht="28.5" customHeight="1">
      <c r="A285" s="259"/>
    </row>
    <row r="286" ht="28.5" customHeight="1">
      <c r="A286" s="259"/>
    </row>
    <row r="287" ht="28.5" customHeight="1">
      <c r="A287" s="259"/>
    </row>
    <row r="288" ht="28.5" customHeight="1">
      <c r="A288" s="259"/>
    </row>
    <row r="289" ht="28.5" customHeight="1">
      <c r="A289" s="259"/>
    </row>
    <row r="290" ht="28.5" customHeight="1">
      <c r="A290" s="259"/>
    </row>
    <row r="291" ht="28.5" customHeight="1">
      <c r="A291" s="259"/>
    </row>
    <row r="292" ht="28.5" customHeight="1">
      <c r="A292" s="259"/>
    </row>
    <row r="293" ht="28.5" customHeight="1">
      <c r="A293" s="259"/>
    </row>
    <row r="294" ht="28.5" customHeight="1">
      <c r="A294" s="259"/>
    </row>
    <row r="295" ht="28.5" customHeight="1">
      <c r="A295" s="259"/>
    </row>
    <row r="296" ht="28.5" customHeight="1">
      <c r="A296" s="259"/>
    </row>
    <row r="297" ht="28.5" customHeight="1">
      <c r="A297" s="259"/>
    </row>
    <row r="298" ht="28.5" customHeight="1">
      <c r="A298" s="259"/>
    </row>
    <row r="299" ht="28.5" customHeight="1">
      <c r="A299" s="259"/>
    </row>
    <row r="300" ht="28.5" customHeight="1">
      <c r="A300" s="259"/>
    </row>
    <row r="301" ht="28.5" customHeight="1">
      <c r="A301" s="259"/>
    </row>
    <row r="302" ht="28.5" customHeight="1">
      <c r="A302" s="259"/>
    </row>
    <row r="303" ht="28.5" customHeight="1">
      <c r="A303" s="259"/>
    </row>
    <row r="304" ht="28.5" customHeight="1">
      <c r="A304" s="259"/>
    </row>
    <row r="305" ht="28.5" customHeight="1">
      <c r="A305" s="259"/>
    </row>
    <row r="306" ht="28.5" customHeight="1">
      <c r="A306" s="259"/>
    </row>
    <row r="307" ht="28.5" customHeight="1">
      <c r="A307" s="259"/>
    </row>
    <row r="308" ht="28.5" customHeight="1">
      <c r="A308" s="259"/>
    </row>
    <row r="309" ht="28.5" customHeight="1">
      <c r="A309" s="259"/>
    </row>
    <row r="310" ht="28.5" customHeight="1">
      <c r="A310" s="259"/>
    </row>
    <row r="311" ht="28.5" customHeight="1">
      <c r="A311" s="259"/>
    </row>
    <row r="312" ht="28.5" customHeight="1">
      <c r="A312" s="259"/>
    </row>
    <row r="313" ht="28.5" customHeight="1">
      <c r="A313" s="259"/>
    </row>
    <row r="314" ht="28.5" customHeight="1">
      <c r="A314" s="259"/>
    </row>
    <row r="315" ht="28.5" customHeight="1">
      <c r="A315" s="259"/>
    </row>
    <row r="316" ht="28.5" customHeight="1">
      <c r="A316" s="259"/>
    </row>
    <row r="317" ht="28.5" customHeight="1">
      <c r="A317" s="259"/>
    </row>
    <row r="318" ht="28.5" customHeight="1">
      <c r="A318" s="259"/>
    </row>
    <row r="319" ht="28.5" customHeight="1">
      <c r="A319" s="259"/>
    </row>
    <row r="320" ht="28.5" customHeight="1">
      <c r="A320" s="259"/>
    </row>
    <row r="321" ht="28.5" customHeight="1">
      <c r="A321" s="259"/>
    </row>
    <row r="322" ht="28.5" customHeight="1">
      <c r="A322" s="259"/>
    </row>
    <row r="323" ht="28.5" customHeight="1">
      <c r="A323" s="259"/>
    </row>
    <row r="324" ht="28.5" customHeight="1">
      <c r="A324" s="259"/>
    </row>
    <row r="325" ht="28.5" customHeight="1">
      <c r="A325" s="259"/>
    </row>
    <row r="326" ht="28.5" customHeight="1">
      <c r="A326" s="259"/>
    </row>
    <row r="327" ht="28.5" customHeight="1">
      <c r="A327" s="259"/>
    </row>
    <row r="328" ht="28.5" customHeight="1">
      <c r="A328" s="259"/>
    </row>
    <row r="329" ht="28.5" customHeight="1">
      <c r="A329" s="259"/>
    </row>
    <row r="330" ht="28.5" customHeight="1">
      <c r="A330" s="259"/>
    </row>
    <row r="331" ht="28.5" customHeight="1">
      <c r="A331" s="259"/>
    </row>
    <row r="332" ht="28.5" customHeight="1">
      <c r="A332" s="259"/>
    </row>
    <row r="333" ht="28.5" customHeight="1">
      <c r="A333" s="259"/>
    </row>
    <row r="334" ht="28.5" customHeight="1">
      <c r="A334" s="259"/>
    </row>
    <row r="335" ht="28.5" customHeight="1">
      <c r="A335" s="259"/>
    </row>
    <row r="336" ht="28.5" customHeight="1">
      <c r="A336" s="259"/>
    </row>
    <row r="337" ht="28.5" customHeight="1">
      <c r="A337" s="259"/>
    </row>
    <row r="338" ht="28.5" customHeight="1">
      <c r="A338" s="259"/>
    </row>
    <row r="339" ht="28.5" customHeight="1">
      <c r="A339" s="259"/>
    </row>
    <row r="340" ht="28.5" customHeight="1">
      <c r="A340" s="259"/>
    </row>
    <row r="341" ht="28.5" customHeight="1">
      <c r="A341" s="259"/>
    </row>
    <row r="342" ht="28.5" customHeight="1">
      <c r="A342" s="259"/>
    </row>
    <row r="343" ht="28.5" customHeight="1">
      <c r="A343" s="259"/>
    </row>
    <row r="344" ht="28.5" customHeight="1">
      <c r="A344" s="259"/>
    </row>
    <row r="345" ht="28.5" customHeight="1">
      <c r="A345" s="259"/>
    </row>
    <row r="346" ht="28.5" customHeight="1">
      <c r="A346" s="259"/>
    </row>
    <row r="347" ht="28.5" customHeight="1">
      <c r="A347" s="259"/>
    </row>
    <row r="348" ht="28.5" customHeight="1">
      <c r="A348" s="259"/>
    </row>
    <row r="349" ht="28.5" customHeight="1">
      <c r="A349" s="259"/>
    </row>
    <row r="350" ht="28.5" customHeight="1">
      <c r="A350" s="259"/>
    </row>
    <row r="351" ht="28.5" customHeight="1">
      <c r="A351" s="259"/>
    </row>
    <row r="352" ht="28.5" customHeight="1">
      <c r="A352" s="259"/>
    </row>
    <row r="353" ht="28.5" customHeight="1">
      <c r="A353" s="259"/>
    </row>
    <row r="354" ht="28.5" customHeight="1">
      <c r="A354" s="259"/>
    </row>
    <row r="355" ht="28.5" customHeight="1">
      <c r="A355" s="259"/>
    </row>
    <row r="356" ht="28.5" customHeight="1">
      <c r="A356" s="259"/>
    </row>
    <row r="357" ht="28.5" customHeight="1">
      <c r="A357" s="259"/>
    </row>
    <row r="358" ht="28.5" customHeight="1">
      <c r="A358" s="259"/>
    </row>
    <row r="359" ht="28.5" customHeight="1">
      <c r="A359" s="259"/>
    </row>
    <row r="360" ht="28.5" customHeight="1">
      <c r="A360" s="259"/>
    </row>
    <row r="361" ht="28.5" customHeight="1">
      <c r="A361" s="259"/>
    </row>
    <row r="362" ht="28.5" customHeight="1">
      <c r="A362" s="259"/>
    </row>
    <row r="363" ht="28.5" customHeight="1">
      <c r="A363" s="259"/>
    </row>
    <row r="364" ht="28.5" customHeight="1">
      <c r="A364" s="259"/>
    </row>
    <row r="365" ht="28.5" customHeight="1">
      <c r="A365" s="259"/>
    </row>
    <row r="366" ht="28.5" customHeight="1">
      <c r="A366" s="259"/>
    </row>
    <row r="367" ht="28.5" customHeight="1">
      <c r="A367" s="259"/>
    </row>
    <row r="368" ht="28.5" customHeight="1">
      <c r="A368" s="259"/>
    </row>
    <row r="369" ht="28.5" customHeight="1">
      <c r="A369" s="259"/>
    </row>
    <row r="370" ht="28.5" customHeight="1">
      <c r="A370" s="259"/>
    </row>
    <row r="371" ht="28.5" customHeight="1">
      <c r="A371" s="259"/>
    </row>
    <row r="372" ht="28.5" customHeight="1">
      <c r="A372" s="259"/>
    </row>
    <row r="373" ht="28.5" customHeight="1">
      <c r="A373" s="259"/>
    </row>
    <row r="374" ht="28.5" customHeight="1">
      <c r="A374" s="259"/>
    </row>
    <row r="375" ht="28.5" customHeight="1">
      <c r="A375" s="259"/>
    </row>
    <row r="376" ht="28.5" customHeight="1">
      <c r="A376" s="259"/>
    </row>
    <row r="377" ht="28.5" customHeight="1">
      <c r="A377" s="259"/>
    </row>
    <row r="378" ht="28.5" customHeight="1">
      <c r="A378" s="259"/>
    </row>
    <row r="379" ht="28.5" customHeight="1">
      <c r="A379" s="259"/>
    </row>
    <row r="380" ht="28.5" customHeight="1">
      <c r="A380" s="259"/>
    </row>
    <row r="381" ht="28.5" customHeight="1">
      <c r="A381" s="259"/>
    </row>
    <row r="382" ht="28.5" customHeight="1">
      <c r="A382" s="259"/>
    </row>
    <row r="383" ht="28.5" customHeight="1">
      <c r="A383" s="259"/>
    </row>
    <row r="384" ht="28.5" customHeight="1">
      <c r="A384" s="259"/>
    </row>
    <row r="385" ht="28.5" customHeight="1">
      <c r="A385" s="259"/>
    </row>
    <row r="386" ht="28.5" customHeight="1">
      <c r="A386" s="259"/>
    </row>
    <row r="387" ht="28.5" customHeight="1">
      <c r="A387" s="259"/>
    </row>
    <row r="388" ht="28.5" customHeight="1">
      <c r="A388" s="259"/>
    </row>
    <row r="389" ht="28.5" customHeight="1">
      <c r="A389" s="259"/>
    </row>
    <row r="390" ht="28.5" customHeight="1">
      <c r="A390" s="259"/>
    </row>
    <row r="391" ht="28.5" customHeight="1">
      <c r="A391" s="259"/>
    </row>
    <row r="392" ht="28.5" customHeight="1">
      <c r="A392" s="259"/>
    </row>
    <row r="393" ht="28.5" customHeight="1">
      <c r="A393" s="259"/>
    </row>
    <row r="394" ht="28.5" customHeight="1">
      <c r="A394" s="259"/>
    </row>
    <row r="395" ht="28.5" customHeight="1">
      <c r="A395" s="259"/>
    </row>
    <row r="396" ht="28.5" customHeight="1">
      <c r="A396" s="259"/>
    </row>
    <row r="397" ht="28.5" customHeight="1">
      <c r="A397" s="259"/>
    </row>
    <row r="398" ht="28.5" customHeight="1">
      <c r="A398" s="259"/>
    </row>
    <row r="399" ht="28.5" customHeight="1">
      <c r="A399" s="259"/>
    </row>
    <row r="400" ht="28.5" customHeight="1">
      <c r="A400" s="259"/>
    </row>
    <row r="401" ht="28.5" customHeight="1">
      <c r="A401" s="259"/>
    </row>
    <row r="402" ht="28.5" customHeight="1">
      <c r="A402" s="259"/>
    </row>
    <row r="403" ht="28.5" customHeight="1">
      <c r="A403" s="259"/>
    </row>
    <row r="404" ht="28.5" customHeight="1">
      <c r="A404" s="259"/>
    </row>
    <row r="405" ht="28.5" customHeight="1">
      <c r="A405" s="259"/>
    </row>
    <row r="406" ht="28.5" customHeight="1">
      <c r="A406" s="259"/>
    </row>
    <row r="407" ht="28.5" customHeight="1">
      <c r="A407" s="259"/>
    </row>
    <row r="408" ht="28.5" customHeight="1">
      <c r="A408" s="259"/>
    </row>
    <row r="409" ht="28.5" customHeight="1">
      <c r="A409" s="259"/>
    </row>
    <row r="410" ht="28.5" customHeight="1">
      <c r="A410" s="259"/>
    </row>
    <row r="411" ht="28.5" customHeight="1">
      <c r="A411" s="259"/>
    </row>
    <row r="412" ht="28.5" customHeight="1">
      <c r="A412" s="259"/>
    </row>
    <row r="413" ht="28.5" customHeight="1">
      <c r="A413" s="259"/>
    </row>
    <row r="414" ht="28.5" customHeight="1">
      <c r="A414" s="259"/>
    </row>
    <row r="415" ht="28.5" customHeight="1">
      <c r="A415" s="259"/>
    </row>
    <row r="416" ht="28.5" customHeight="1">
      <c r="A416" s="259"/>
    </row>
    <row r="417" ht="28.5" customHeight="1">
      <c r="A417" s="259"/>
    </row>
    <row r="418" ht="28.5" customHeight="1">
      <c r="A418" s="259"/>
    </row>
    <row r="419" ht="28.5" customHeight="1">
      <c r="A419" s="259"/>
    </row>
    <row r="420" ht="28.5" customHeight="1">
      <c r="A420" s="259"/>
    </row>
    <row r="421" ht="28.5" customHeight="1">
      <c r="A421" s="259"/>
    </row>
    <row r="422" ht="28.5" customHeight="1">
      <c r="A422" s="259"/>
    </row>
    <row r="423" ht="28.5" customHeight="1">
      <c r="A423" s="259"/>
    </row>
    <row r="424" ht="28.5" customHeight="1">
      <c r="A424" s="259"/>
    </row>
    <row r="425" ht="28.5" customHeight="1">
      <c r="A425" s="259"/>
    </row>
    <row r="426" ht="28.5" customHeight="1">
      <c r="A426" s="259"/>
    </row>
    <row r="427" ht="28.5" customHeight="1">
      <c r="A427" s="259"/>
    </row>
    <row r="428" ht="28.5" customHeight="1">
      <c r="A428" s="259"/>
    </row>
    <row r="429" ht="28.5" customHeight="1">
      <c r="A429" s="259"/>
    </row>
    <row r="430" ht="28.5" customHeight="1">
      <c r="A430" s="259"/>
    </row>
    <row r="431" ht="28.5" customHeight="1">
      <c r="A431" s="259"/>
    </row>
    <row r="432" ht="28.5" customHeight="1">
      <c r="A432" s="259"/>
    </row>
    <row r="433" ht="28.5" customHeight="1">
      <c r="A433" s="259"/>
    </row>
    <row r="434" ht="28.5" customHeight="1">
      <c r="A434" s="259"/>
    </row>
    <row r="435" ht="28.5" customHeight="1">
      <c r="A435" s="259"/>
    </row>
    <row r="436" ht="28.5" customHeight="1">
      <c r="A436" s="259"/>
    </row>
    <row r="437" ht="28.5" customHeight="1">
      <c r="A437" s="259"/>
    </row>
    <row r="438" ht="28.5" customHeight="1">
      <c r="A438" s="259"/>
    </row>
    <row r="439" ht="28.5" customHeight="1">
      <c r="A439" s="259"/>
    </row>
    <row r="440" ht="28.5" customHeight="1">
      <c r="A440" s="259"/>
    </row>
    <row r="441" ht="28.5" customHeight="1">
      <c r="A441" s="259"/>
    </row>
    <row r="442" ht="28.5" customHeight="1">
      <c r="A442" s="259"/>
    </row>
    <row r="443" ht="28.5" customHeight="1">
      <c r="A443" s="259"/>
    </row>
    <row r="444" ht="28.5" customHeight="1">
      <c r="A444" s="259"/>
    </row>
    <row r="445" ht="28.5" customHeight="1">
      <c r="A445" s="259"/>
    </row>
    <row r="446" ht="28.5" customHeight="1">
      <c r="A446" s="259"/>
    </row>
    <row r="447" ht="28.5" customHeight="1">
      <c r="A447" s="259"/>
    </row>
    <row r="448" ht="28.5" customHeight="1">
      <c r="A448" s="259"/>
    </row>
    <row r="449" ht="28.5" customHeight="1">
      <c r="A449" s="259"/>
    </row>
    <row r="450" ht="28.5" customHeight="1">
      <c r="A450" s="259"/>
    </row>
    <row r="451" ht="28.5" customHeight="1">
      <c r="A451" s="259"/>
    </row>
    <row r="452" ht="28.5" customHeight="1">
      <c r="A452" s="259"/>
    </row>
    <row r="453" ht="28.5" customHeight="1">
      <c r="A453" s="259"/>
    </row>
    <row r="454" ht="28.5" customHeight="1">
      <c r="A454" s="259"/>
    </row>
    <row r="455" ht="28.5" customHeight="1">
      <c r="A455" s="259"/>
    </row>
    <row r="456" ht="28.5" customHeight="1">
      <c r="A456" s="259"/>
    </row>
    <row r="457" ht="28.5" customHeight="1">
      <c r="A457" s="259"/>
    </row>
    <row r="458" ht="28.5" customHeight="1">
      <c r="A458" s="259"/>
    </row>
    <row r="459" ht="28.5" customHeight="1">
      <c r="A459" s="259"/>
    </row>
    <row r="460" ht="28.5" customHeight="1">
      <c r="A460" s="259"/>
    </row>
    <row r="461" ht="28.5" customHeight="1">
      <c r="A461" s="259"/>
    </row>
    <row r="462" ht="28.5" customHeight="1">
      <c r="A462" s="259"/>
    </row>
    <row r="463" ht="28.5" customHeight="1">
      <c r="A463" s="259"/>
    </row>
    <row r="464" ht="28.5" customHeight="1">
      <c r="A464" s="259"/>
    </row>
    <row r="465" ht="28.5" customHeight="1">
      <c r="A465" s="259"/>
    </row>
    <row r="466" ht="28.5" customHeight="1">
      <c r="A466" s="259"/>
    </row>
    <row r="467" ht="28.5" customHeight="1">
      <c r="A467" s="259"/>
    </row>
    <row r="468" ht="28.5" customHeight="1">
      <c r="A468" s="259"/>
    </row>
    <row r="469" ht="28.5" customHeight="1">
      <c r="A469" s="259"/>
    </row>
    <row r="470" ht="28.5" customHeight="1">
      <c r="A470" s="259"/>
    </row>
    <row r="471" ht="28.5" customHeight="1">
      <c r="A471" s="259"/>
    </row>
    <row r="472" ht="28.5" customHeight="1">
      <c r="A472" s="259"/>
    </row>
    <row r="473" ht="28.5" customHeight="1">
      <c r="A473" s="259"/>
    </row>
    <row r="474" ht="28.5" customHeight="1">
      <c r="A474" s="259"/>
    </row>
    <row r="475" ht="28.5" customHeight="1">
      <c r="A475" s="259"/>
    </row>
    <row r="476" ht="28.5" customHeight="1">
      <c r="A476" s="259"/>
    </row>
    <row r="477" ht="28.5" customHeight="1">
      <c r="A477" s="259"/>
    </row>
    <row r="478" ht="28.5" customHeight="1">
      <c r="A478" s="259"/>
    </row>
    <row r="479" ht="28.5" customHeight="1">
      <c r="A479" s="259"/>
    </row>
    <row r="480" ht="28.5" customHeight="1">
      <c r="A480" s="259"/>
    </row>
    <row r="481" ht="28.5" customHeight="1">
      <c r="A481" s="259"/>
    </row>
    <row r="482" ht="28.5" customHeight="1">
      <c r="A482" s="259"/>
    </row>
    <row r="483" ht="28.5" customHeight="1">
      <c r="A483" s="259"/>
    </row>
    <row r="484" ht="28.5" customHeight="1">
      <c r="A484" s="259"/>
    </row>
    <row r="485" ht="28.5" customHeight="1">
      <c r="A485" s="259"/>
    </row>
    <row r="486" ht="28.5" customHeight="1">
      <c r="A486" s="259"/>
    </row>
    <row r="487" ht="28.5" customHeight="1">
      <c r="A487" s="259"/>
    </row>
    <row r="488" ht="28.5" customHeight="1">
      <c r="A488" s="259"/>
    </row>
    <row r="489" ht="28.5" customHeight="1">
      <c r="A489" s="259"/>
    </row>
    <row r="490" ht="28.5" customHeight="1">
      <c r="A490" s="259"/>
    </row>
    <row r="491" ht="28.5" customHeight="1">
      <c r="A491" s="259"/>
    </row>
    <row r="492" ht="28.5" customHeight="1">
      <c r="A492" s="259"/>
    </row>
    <row r="493" ht="28.5" customHeight="1">
      <c r="A493" s="259"/>
    </row>
    <row r="494" ht="28.5" customHeight="1">
      <c r="A494" s="259"/>
    </row>
    <row r="495" ht="28.5" customHeight="1">
      <c r="A495" s="259"/>
    </row>
    <row r="496" ht="28.5" customHeight="1">
      <c r="A496" s="259"/>
    </row>
    <row r="497" ht="28.5" customHeight="1">
      <c r="A497" s="259"/>
    </row>
    <row r="498" ht="28.5" customHeight="1">
      <c r="A498" s="259"/>
    </row>
    <row r="499" ht="28.5" customHeight="1">
      <c r="A499" s="259"/>
    </row>
    <row r="500" ht="28.5" customHeight="1">
      <c r="A500" s="259"/>
    </row>
    <row r="501" ht="28.5" customHeight="1">
      <c r="A501" s="259"/>
    </row>
    <row r="502" ht="28.5" customHeight="1">
      <c r="A502" s="259"/>
    </row>
    <row r="503" ht="28.5" customHeight="1">
      <c r="A503" s="259"/>
    </row>
    <row r="504" ht="28.5" customHeight="1">
      <c r="A504" s="259"/>
    </row>
    <row r="505" ht="28.5" customHeight="1">
      <c r="A505" s="259"/>
    </row>
    <row r="506" ht="28.5" customHeight="1">
      <c r="A506" s="259"/>
    </row>
    <row r="507" ht="28.5" customHeight="1">
      <c r="A507" s="259"/>
    </row>
    <row r="508" ht="28.5" customHeight="1">
      <c r="A508" s="259"/>
    </row>
    <row r="509" ht="28.5" customHeight="1">
      <c r="A509" s="259"/>
    </row>
    <row r="510" ht="28.5" customHeight="1">
      <c r="A510" s="259"/>
    </row>
    <row r="511" ht="28.5" customHeight="1">
      <c r="A511" s="259"/>
    </row>
    <row r="512" ht="28.5" customHeight="1">
      <c r="A512" s="259"/>
    </row>
    <row r="513" ht="28.5" customHeight="1">
      <c r="A513" s="259"/>
    </row>
    <row r="514" ht="28.5" customHeight="1">
      <c r="A514" s="259"/>
    </row>
    <row r="515" ht="28.5" customHeight="1">
      <c r="A515" s="259"/>
    </row>
    <row r="516" ht="28.5" customHeight="1">
      <c r="A516" s="259"/>
    </row>
    <row r="517" ht="28.5" customHeight="1">
      <c r="A517" s="259"/>
    </row>
    <row r="518" ht="28.5" customHeight="1">
      <c r="A518" s="259"/>
    </row>
    <row r="519" ht="28.5" customHeight="1">
      <c r="A519" s="259"/>
    </row>
    <row r="520" ht="28.5" customHeight="1">
      <c r="A520" s="259"/>
    </row>
    <row r="521" ht="28.5" customHeight="1">
      <c r="A521" s="259"/>
    </row>
    <row r="522" ht="28.5" customHeight="1">
      <c r="A522" s="259"/>
    </row>
    <row r="523" ht="28.5" customHeight="1">
      <c r="A523" s="259"/>
    </row>
    <row r="524" ht="28.5" customHeight="1">
      <c r="A524" s="259"/>
    </row>
    <row r="525" ht="28.5" customHeight="1">
      <c r="A525" s="259"/>
    </row>
    <row r="526" ht="28.5" customHeight="1">
      <c r="A526" s="259"/>
    </row>
    <row r="527" ht="28.5" customHeight="1">
      <c r="A527" s="259"/>
    </row>
    <row r="528" ht="28.5" customHeight="1">
      <c r="A528" s="259"/>
    </row>
    <row r="529" ht="28.5" customHeight="1">
      <c r="A529" s="259"/>
    </row>
    <row r="530" ht="28.5" customHeight="1">
      <c r="A530" s="259"/>
    </row>
    <row r="531" ht="28.5" customHeight="1">
      <c r="A531" s="259"/>
    </row>
    <row r="532" ht="28.5" customHeight="1">
      <c r="A532" s="259"/>
    </row>
    <row r="533" ht="28.5" customHeight="1">
      <c r="A533" s="259"/>
    </row>
    <row r="534" ht="28.5" customHeight="1">
      <c r="A534" s="259"/>
    </row>
    <row r="535" ht="28.5" customHeight="1">
      <c r="A535" s="259"/>
    </row>
    <row r="536" ht="28.5" customHeight="1">
      <c r="A536" s="259"/>
    </row>
    <row r="537" ht="28.5" customHeight="1">
      <c r="A537" s="259"/>
    </row>
    <row r="538" ht="28.5" customHeight="1">
      <c r="A538" s="259"/>
    </row>
    <row r="539" ht="28.5" customHeight="1">
      <c r="A539" s="259"/>
    </row>
    <row r="540" ht="28.5" customHeight="1">
      <c r="A540" s="259"/>
    </row>
    <row r="541" ht="28.5" customHeight="1">
      <c r="A541" s="259"/>
    </row>
    <row r="542" ht="28.5" customHeight="1">
      <c r="A542" s="259"/>
    </row>
    <row r="543" ht="28.5" customHeight="1">
      <c r="A543" s="259"/>
    </row>
    <row r="544" ht="28.5" customHeight="1">
      <c r="A544" s="259"/>
    </row>
    <row r="545" ht="28.5" customHeight="1">
      <c r="A545" s="259"/>
    </row>
    <row r="546" ht="28.5" customHeight="1">
      <c r="A546" s="259"/>
    </row>
    <row r="547" ht="28.5" customHeight="1">
      <c r="A547" s="259"/>
    </row>
    <row r="548" ht="28.5" customHeight="1">
      <c r="A548" s="259"/>
    </row>
    <row r="549" ht="28.5" customHeight="1">
      <c r="A549" s="259"/>
    </row>
    <row r="550" ht="28.5" customHeight="1">
      <c r="A550" s="259"/>
    </row>
    <row r="551" ht="28.5" customHeight="1">
      <c r="A551" s="259"/>
    </row>
    <row r="552" ht="28.5" customHeight="1">
      <c r="A552" s="259"/>
    </row>
    <row r="553" ht="28.5" customHeight="1">
      <c r="A553" s="259"/>
    </row>
    <row r="554" ht="28.5" customHeight="1">
      <c r="A554" s="259"/>
    </row>
    <row r="555" ht="28.5" customHeight="1">
      <c r="A555" s="259"/>
    </row>
    <row r="556" ht="28.5" customHeight="1">
      <c r="A556" s="259"/>
    </row>
    <row r="557" ht="28.5" customHeight="1">
      <c r="A557" s="259"/>
    </row>
    <row r="558" ht="28.5" customHeight="1">
      <c r="A558" s="259"/>
    </row>
    <row r="559" ht="28.5" customHeight="1">
      <c r="A559" s="259"/>
    </row>
    <row r="560" ht="28.5" customHeight="1">
      <c r="A560" s="259"/>
    </row>
    <row r="561" ht="28.5" customHeight="1">
      <c r="A561" s="259"/>
    </row>
    <row r="562" ht="28.5" customHeight="1">
      <c r="A562" s="259"/>
    </row>
    <row r="563" ht="28.5" customHeight="1">
      <c r="A563" s="259"/>
    </row>
    <row r="564" ht="28.5" customHeight="1">
      <c r="A564" s="259"/>
    </row>
    <row r="565" ht="28.5" customHeight="1">
      <c r="A565" s="259"/>
    </row>
    <row r="566" ht="28.5" customHeight="1">
      <c r="A566" s="259"/>
    </row>
    <row r="567" ht="28.5" customHeight="1">
      <c r="A567" s="259"/>
    </row>
    <row r="568" ht="28.5" customHeight="1">
      <c r="A568" s="259"/>
    </row>
    <row r="569" ht="28.5" customHeight="1">
      <c r="A569" s="259"/>
    </row>
    <row r="570" ht="28.5" customHeight="1">
      <c r="A570" s="259"/>
    </row>
    <row r="571" ht="28.5" customHeight="1">
      <c r="A571" s="259"/>
    </row>
    <row r="572" ht="28.5" customHeight="1">
      <c r="A572" s="259"/>
    </row>
    <row r="573" ht="28.5" customHeight="1">
      <c r="A573" s="259"/>
    </row>
    <row r="574" ht="28.5" customHeight="1">
      <c r="A574" s="259"/>
    </row>
    <row r="575" ht="28.5" customHeight="1">
      <c r="A575" s="259"/>
    </row>
    <row r="576" ht="28.5" customHeight="1">
      <c r="A576" s="259"/>
    </row>
    <row r="577" ht="28.5" customHeight="1">
      <c r="A577" s="259"/>
    </row>
    <row r="578" ht="28.5" customHeight="1">
      <c r="A578" s="259"/>
    </row>
    <row r="579" ht="28.5" customHeight="1">
      <c r="A579" s="259"/>
    </row>
    <row r="580" ht="28.5" customHeight="1">
      <c r="A580" s="259"/>
    </row>
    <row r="581" ht="28.5" customHeight="1">
      <c r="A581" s="259"/>
    </row>
    <row r="582" ht="28.5" customHeight="1">
      <c r="A582" s="259"/>
    </row>
    <row r="583" ht="28.5" customHeight="1">
      <c r="A583" s="259"/>
    </row>
    <row r="584" ht="28.5" customHeight="1">
      <c r="A584" s="259"/>
    </row>
    <row r="585" ht="28.5" customHeight="1">
      <c r="A585" s="259"/>
    </row>
    <row r="586" ht="28.5" customHeight="1">
      <c r="A586" s="259"/>
    </row>
    <row r="587" ht="28.5" customHeight="1">
      <c r="A587" s="259"/>
    </row>
    <row r="588" ht="28.5" customHeight="1">
      <c r="A588" s="259"/>
    </row>
    <row r="589" ht="28.5" customHeight="1">
      <c r="A589" s="259"/>
    </row>
    <row r="590" ht="28.5" customHeight="1">
      <c r="A590" s="259"/>
    </row>
    <row r="591" ht="28.5" customHeight="1">
      <c r="A591" s="259"/>
    </row>
    <row r="592" ht="28.5" customHeight="1">
      <c r="A592" s="259"/>
    </row>
    <row r="593" ht="28.5" customHeight="1">
      <c r="A593" s="259"/>
    </row>
    <row r="594" ht="28.5" customHeight="1">
      <c r="A594" s="259"/>
    </row>
    <row r="595" ht="28.5" customHeight="1">
      <c r="A595" s="259"/>
    </row>
    <row r="596" ht="28.5" customHeight="1">
      <c r="A596" s="259"/>
    </row>
    <row r="597" ht="28.5" customHeight="1">
      <c r="A597" s="259"/>
    </row>
    <row r="598" ht="28.5" customHeight="1">
      <c r="A598" s="259"/>
    </row>
    <row r="599" ht="28.5" customHeight="1">
      <c r="A599" s="259"/>
    </row>
    <row r="600" ht="28.5" customHeight="1">
      <c r="A600" s="259"/>
    </row>
    <row r="601" ht="28.5" customHeight="1">
      <c r="A601" s="259"/>
    </row>
    <row r="602" ht="28.5" customHeight="1">
      <c r="A602" s="259"/>
    </row>
    <row r="603" ht="28.5" customHeight="1">
      <c r="A603" s="259"/>
    </row>
    <row r="604" ht="28.5" customHeight="1">
      <c r="A604" s="259"/>
    </row>
    <row r="605" ht="28.5" customHeight="1">
      <c r="A605" s="259"/>
    </row>
    <row r="606" ht="28.5" customHeight="1">
      <c r="A606" s="259"/>
    </row>
    <row r="607" ht="28.5" customHeight="1">
      <c r="A607" s="259"/>
    </row>
    <row r="608" ht="28.5" customHeight="1">
      <c r="A608" s="259"/>
    </row>
    <row r="609" ht="28.5" customHeight="1">
      <c r="A609" s="259"/>
    </row>
    <row r="610" ht="28.5" customHeight="1">
      <c r="A610" s="259"/>
    </row>
    <row r="611" ht="28.5" customHeight="1">
      <c r="A611" s="259"/>
    </row>
    <row r="612" ht="28.5" customHeight="1">
      <c r="A612" s="259"/>
    </row>
    <row r="613" ht="28.5" customHeight="1">
      <c r="A613" s="259"/>
    </row>
    <row r="614" ht="28.5" customHeight="1">
      <c r="A614" s="259"/>
    </row>
    <row r="615" ht="28.5" customHeight="1">
      <c r="A615" s="259"/>
    </row>
    <row r="616" ht="28.5" customHeight="1">
      <c r="A616" s="259"/>
    </row>
    <row r="617" ht="28.5" customHeight="1">
      <c r="A617" s="259"/>
    </row>
    <row r="618" ht="28.5" customHeight="1">
      <c r="A618" s="259"/>
    </row>
    <row r="619" ht="28.5" customHeight="1">
      <c r="A619" s="259"/>
    </row>
    <row r="620" ht="28.5" customHeight="1">
      <c r="A620" s="259"/>
    </row>
    <row r="621" ht="28.5" customHeight="1">
      <c r="A621" s="259"/>
    </row>
    <row r="622" ht="28.5" customHeight="1">
      <c r="A622" s="259"/>
    </row>
    <row r="623" ht="28.5" customHeight="1">
      <c r="A623" s="259"/>
    </row>
    <row r="624" ht="28.5" customHeight="1">
      <c r="A624" s="259"/>
    </row>
    <row r="625" ht="28.5" customHeight="1">
      <c r="A625" s="259"/>
    </row>
    <row r="626" ht="28.5" customHeight="1">
      <c r="A626" s="259"/>
    </row>
    <row r="627" ht="28.5" customHeight="1">
      <c r="A627" s="259"/>
    </row>
    <row r="628" ht="28.5" customHeight="1">
      <c r="A628" s="259"/>
    </row>
    <row r="629" ht="28.5" customHeight="1">
      <c r="A629" s="259"/>
    </row>
    <row r="630" ht="28.5" customHeight="1">
      <c r="A630" s="259"/>
    </row>
    <row r="631" ht="28.5" customHeight="1">
      <c r="A631" s="259"/>
    </row>
    <row r="632" ht="28.5" customHeight="1">
      <c r="A632" s="259"/>
    </row>
    <row r="633" ht="28.5" customHeight="1">
      <c r="A633" s="259"/>
    </row>
    <row r="634" ht="28.5" customHeight="1">
      <c r="A634" s="259"/>
    </row>
    <row r="635" ht="28.5" customHeight="1">
      <c r="A635" s="259"/>
    </row>
    <row r="636" ht="28.5" customHeight="1">
      <c r="A636" s="259"/>
    </row>
    <row r="637" ht="28.5" customHeight="1">
      <c r="A637" s="259"/>
    </row>
    <row r="638" ht="28.5" customHeight="1">
      <c r="A638" s="259"/>
    </row>
    <row r="639" ht="28.5" customHeight="1">
      <c r="A639" s="259"/>
    </row>
    <row r="640" ht="28.5" customHeight="1">
      <c r="A640" s="259"/>
    </row>
    <row r="641" ht="28.5" customHeight="1">
      <c r="A641" s="259"/>
    </row>
    <row r="642" ht="28.5" customHeight="1">
      <c r="A642" s="259"/>
    </row>
    <row r="643" ht="28.5" customHeight="1">
      <c r="A643" s="259"/>
    </row>
    <row r="644" ht="28.5" customHeight="1">
      <c r="A644" s="259"/>
    </row>
    <row r="645" ht="28.5" customHeight="1">
      <c r="A645" s="259"/>
    </row>
    <row r="646" ht="28.5" customHeight="1">
      <c r="A646" s="259"/>
    </row>
    <row r="647" ht="28.5" customHeight="1">
      <c r="A647" s="259"/>
    </row>
    <row r="648" ht="28.5" customHeight="1">
      <c r="A648" s="259"/>
    </row>
    <row r="649" ht="28.5" customHeight="1">
      <c r="A649" s="259"/>
    </row>
    <row r="650" ht="28.5" customHeight="1">
      <c r="A650" s="259"/>
    </row>
    <row r="651" ht="28.5" customHeight="1">
      <c r="A651" s="259"/>
    </row>
    <row r="652" ht="28.5" customHeight="1">
      <c r="A652" s="259"/>
    </row>
    <row r="653" ht="28.5" customHeight="1">
      <c r="A653" s="259"/>
    </row>
    <row r="654" ht="28.5" customHeight="1">
      <c r="A654" s="259"/>
    </row>
    <row r="655" ht="28.5" customHeight="1">
      <c r="A655" s="259"/>
    </row>
    <row r="656" ht="28.5" customHeight="1">
      <c r="A656" s="259"/>
    </row>
    <row r="657" ht="28.5" customHeight="1">
      <c r="A657" s="259"/>
    </row>
    <row r="658" ht="28.5" customHeight="1">
      <c r="A658" s="259"/>
    </row>
    <row r="659" ht="28.5" customHeight="1">
      <c r="A659" s="259"/>
    </row>
    <row r="660" ht="28.5" customHeight="1">
      <c r="A660" s="259"/>
    </row>
    <row r="661" ht="28.5" customHeight="1">
      <c r="A661" s="259"/>
    </row>
    <row r="662" ht="28.5" customHeight="1">
      <c r="A662" s="259"/>
    </row>
    <row r="663" ht="28.5" customHeight="1">
      <c r="A663" s="259"/>
    </row>
    <row r="664" ht="28.5" customHeight="1">
      <c r="A664" s="259"/>
    </row>
    <row r="665" ht="28.5" customHeight="1">
      <c r="A665" s="259"/>
    </row>
    <row r="666" ht="28.5" customHeight="1">
      <c r="A666" s="259"/>
    </row>
    <row r="667" ht="28.5" customHeight="1">
      <c r="A667" s="259"/>
    </row>
    <row r="668" ht="28.5" customHeight="1">
      <c r="A668" s="259"/>
    </row>
    <row r="669" ht="28.5" customHeight="1">
      <c r="A669" s="259"/>
    </row>
    <row r="670" ht="28.5" customHeight="1">
      <c r="A670" s="259"/>
    </row>
    <row r="671" ht="28.5" customHeight="1">
      <c r="A671" s="259"/>
    </row>
    <row r="672" ht="28.5" customHeight="1">
      <c r="A672" s="259"/>
    </row>
    <row r="673" ht="28.5" customHeight="1">
      <c r="A673" s="259"/>
    </row>
    <row r="674" ht="28.5" customHeight="1">
      <c r="A674" s="259"/>
    </row>
    <row r="675" ht="28.5" customHeight="1">
      <c r="A675" s="259"/>
    </row>
    <row r="676" ht="28.5" customHeight="1">
      <c r="A676" s="259"/>
    </row>
    <row r="677" ht="28.5" customHeight="1">
      <c r="A677" s="259"/>
    </row>
    <row r="678" ht="28.5" customHeight="1">
      <c r="A678" s="259"/>
    </row>
    <row r="679" ht="28.5" customHeight="1">
      <c r="A679" s="259"/>
    </row>
    <row r="680" ht="28.5" customHeight="1">
      <c r="A680" s="259"/>
    </row>
    <row r="681" ht="28.5" customHeight="1">
      <c r="A681" s="259"/>
    </row>
    <row r="682" ht="28.5" customHeight="1">
      <c r="A682" s="259"/>
    </row>
    <row r="683" ht="28.5" customHeight="1">
      <c r="A683" s="259"/>
    </row>
    <row r="684" ht="28.5" customHeight="1">
      <c r="A684" s="259"/>
    </row>
    <row r="685" ht="28.5" customHeight="1">
      <c r="A685" s="259"/>
    </row>
    <row r="686" ht="28.5" customHeight="1">
      <c r="A686" s="259"/>
    </row>
    <row r="687" ht="28.5" customHeight="1">
      <c r="A687" s="259"/>
    </row>
    <row r="688" ht="28.5" customHeight="1">
      <c r="A688" s="259"/>
    </row>
    <row r="689" ht="28.5" customHeight="1">
      <c r="A689" s="259"/>
    </row>
    <row r="690" ht="28.5" customHeight="1">
      <c r="A690" s="259"/>
    </row>
    <row r="691" ht="28.5" customHeight="1">
      <c r="A691" s="259"/>
    </row>
    <row r="692" ht="28.5" customHeight="1">
      <c r="A692" s="259"/>
    </row>
    <row r="693" ht="28.5" customHeight="1">
      <c r="A693" s="259"/>
    </row>
    <row r="694" ht="28.5" customHeight="1">
      <c r="A694" s="259"/>
    </row>
    <row r="695" ht="28.5" customHeight="1">
      <c r="A695" s="259"/>
    </row>
    <row r="696" ht="28.5" customHeight="1">
      <c r="A696" s="259"/>
    </row>
    <row r="697" ht="28.5" customHeight="1">
      <c r="A697" s="259"/>
    </row>
    <row r="698" ht="28.5" customHeight="1">
      <c r="A698" s="259"/>
    </row>
    <row r="699" ht="28.5" customHeight="1">
      <c r="A699" s="259"/>
    </row>
    <row r="700" ht="28.5" customHeight="1">
      <c r="A700" s="259"/>
    </row>
    <row r="701" ht="28.5" customHeight="1">
      <c r="A701" s="259"/>
    </row>
    <row r="702" ht="28.5" customHeight="1">
      <c r="A702" s="259"/>
    </row>
    <row r="703" ht="28.5" customHeight="1">
      <c r="A703" s="259"/>
    </row>
    <row r="704" ht="28.5" customHeight="1">
      <c r="A704" s="259"/>
    </row>
    <row r="705" ht="28.5" customHeight="1">
      <c r="A705" s="259"/>
    </row>
    <row r="706" ht="28.5" customHeight="1">
      <c r="A706" s="259"/>
    </row>
    <row r="707" ht="28.5" customHeight="1">
      <c r="A707" s="259"/>
    </row>
    <row r="708" ht="28.5" customHeight="1">
      <c r="A708" s="259"/>
    </row>
    <row r="709" ht="28.5" customHeight="1">
      <c r="A709" s="259"/>
    </row>
    <row r="710" ht="28.5" customHeight="1">
      <c r="A710" s="259"/>
    </row>
    <row r="711" ht="28.5" customHeight="1">
      <c r="A711" s="259"/>
    </row>
    <row r="712" ht="28.5" customHeight="1">
      <c r="A712" s="259"/>
    </row>
    <row r="713" ht="28.5" customHeight="1">
      <c r="A713" s="259"/>
    </row>
    <row r="714" ht="28.5" customHeight="1">
      <c r="A714" s="259"/>
    </row>
    <row r="715" ht="28.5" customHeight="1">
      <c r="A715" s="259"/>
    </row>
    <row r="716" ht="28.5" customHeight="1">
      <c r="A716" s="259"/>
    </row>
    <row r="717" ht="28.5" customHeight="1">
      <c r="A717" s="259"/>
    </row>
    <row r="718" ht="28.5" customHeight="1">
      <c r="A718" s="259"/>
    </row>
    <row r="719" ht="28.5" customHeight="1">
      <c r="A719" s="259"/>
    </row>
    <row r="720" ht="28.5" customHeight="1">
      <c r="A720" s="259"/>
    </row>
    <row r="721" ht="28.5" customHeight="1">
      <c r="A721" s="259"/>
    </row>
    <row r="722" ht="28.5" customHeight="1">
      <c r="A722" s="259"/>
    </row>
    <row r="723" ht="28.5" customHeight="1">
      <c r="A723" s="259"/>
    </row>
    <row r="724" ht="28.5" customHeight="1">
      <c r="A724" s="259"/>
    </row>
    <row r="725" ht="28.5" customHeight="1">
      <c r="A725" s="259"/>
    </row>
    <row r="726" ht="28.5" customHeight="1">
      <c r="A726" s="259"/>
    </row>
    <row r="727" ht="28.5" customHeight="1">
      <c r="A727" s="259"/>
    </row>
    <row r="728" ht="28.5" customHeight="1">
      <c r="A728" s="259"/>
    </row>
    <row r="729" ht="28.5" customHeight="1">
      <c r="A729" s="259"/>
    </row>
    <row r="730" ht="28.5" customHeight="1">
      <c r="A730" s="259"/>
    </row>
    <row r="731" ht="28.5" customHeight="1">
      <c r="A731" s="259"/>
    </row>
    <row r="732" ht="28.5" customHeight="1">
      <c r="A732" s="259"/>
    </row>
    <row r="733" ht="28.5" customHeight="1">
      <c r="A733" s="259"/>
    </row>
    <row r="734" ht="28.5" customHeight="1">
      <c r="A734" s="259"/>
    </row>
    <row r="735" ht="28.5" customHeight="1">
      <c r="A735" s="259"/>
    </row>
    <row r="736" ht="28.5" customHeight="1">
      <c r="A736" s="259"/>
    </row>
    <row r="737" ht="28.5" customHeight="1">
      <c r="A737" s="259"/>
    </row>
    <row r="738" ht="28.5" customHeight="1">
      <c r="A738" s="259"/>
    </row>
    <row r="739" ht="28.5" customHeight="1">
      <c r="A739" s="259"/>
    </row>
    <row r="740" ht="28.5" customHeight="1">
      <c r="A740" s="259"/>
    </row>
    <row r="741" ht="28.5" customHeight="1">
      <c r="A741" s="259"/>
    </row>
    <row r="742" ht="28.5" customHeight="1">
      <c r="A742" s="259"/>
    </row>
    <row r="743" ht="28.5" customHeight="1">
      <c r="A743" s="259"/>
    </row>
    <row r="744" ht="28.5" customHeight="1">
      <c r="A744" s="259"/>
    </row>
    <row r="745" ht="28.5" customHeight="1">
      <c r="A745" s="259"/>
    </row>
    <row r="746" ht="28.5" customHeight="1">
      <c r="A746" s="259"/>
    </row>
    <row r="747" ht="28.5" customHeight="1">
      <c r="A747" s="259"/>
    </row>
    <row r="748" ht="28.5" customHeight="1">
      <c r="A748" s="259"/>
    </row>
    <row r="749" ht="28.5" customHeight="1">
      <c r="A749" s="259"/>
    </row>
    <row r="750" ht="28.5" customHeight="1">
      <c r="A750" s="259"/>
    </row>
    <row r="751" ht="28.5" customHeight="1">
      <c r="A751" s="259"/>
    </row>
    <row r="752" ht="28.5" customHeight="1">
      <c r="A752" s="259"/>
    </row>
    <row r="753" ht="28.5" customHeight="1">
      <c r="A753" s="259"/>
    </row>
    <row r="754" ht="28.5" customHeight="1">
      <c r="A754" s="259"/>
    </row>
    <row r="755" ht="28.5" customHeight="1">
      <c r="A755" s="259"/>
    </row>
    <row r="756" ht="28.5" customHeight="1">
      <c r="A756" s="259"/>
    </row>
    <row r="757" ht="28.5" customHeight="1">
      <c r="A757" s="259"/>
    </row>
    <row r="758" ht="28.5" customHeight="1">
      <c r="A758" s="259"/>
    </row>
    <row r="759" ht="28.5" customHeight="1">
      <c r="A759" s="259"/>
    </row>
    <row r="760" ht="28.5" customHeight="1">
      <c r="A760" s="259"/>
    </row>
    <row r="761" ht="28.5" customHeight="1">
      <c r="A761" s="259"/>
    </row>
    <row r="762" ht="28.5" customHeight="1">
      <c r="A762" s="259"/>
    </row>
    <row r="763" ht="28.5" customHeight="1">
      <c r="A763" s="259"/>
    </row>
    <row r="764" ht="28.5" customHeight="1">
      <c r="A764" s="259"/>
    </row>
    <row r="765" ht="28.5" customHeight="1">
      <c r="A765" s="259"/>
    </row>
    <row r="766" ht="28.5" customHeight="1">
      <c r="A766" s="259"/>
    </row>
    <row r="767" ht="28.5" customHeight="1">
      <c r="A767" s="259"/>
    </row>
    <row r="768" ht="28.5" customHeight="1">
      <c r="A768" s="259"/>
    </row>
    <row r="769" ht="28.5" customHeight="1">
      <c r="A769" s="259"/>
    </row>
    <row r="770" ht="28.5" customHeight="1">
      <c r="A770" s="259"/>
    </row>
    <row r="771" ht="28.5" customHeight="1">
      <c r="A771" s="259"/>
    </row>
    <row r="772" ht="28.5" customHeight="1">
      <c r="A772" s="259"/>
    </row>
    <row r="773" ht="28.5" customHeight="1">
      <c r="A773" s="259"/>
    </row>
    <row r="774" ht="28.5" customHeight="1">
      <c r="A774" s="259"/>
    </row>
    <row r="775" ht="28.5" customHeight="1">
      <c r="A775" s="259"/>
    </row>
    <row r="776" ht="28.5" customHeight="1">
      <c r="A776" s="259"/>
    </row>
    <row r="777" ht="28.5" customHeight="1">
      <c r="A777" s="259"/>
    </row>
    <row r="778" ht="28.5" customHeight="1">
      <c r="A778" s="259"/>
    </row>
    <row r="779" ht="28.5" customHeight="1">
      <c r="A779" s="259"/>
    </row>
    <row r="780" ht="28.5" customHeight="1">
      <c r="A780" s="259"/>
    </row>
    <row r="781" ht="28.5" customHeight="1">
      <c r="A781" s="259"/>
    </row>
    <row r="782" ht="28.5" customHeight="1">
      <c r="A782" s="259"/>
    </row>
    <row r="783" ht="28.5" customHeight="1">
      <c r="A783" s="259"/>
    </row>
    <row r="784" ht="28.5" customHeight="1">
      <c r="A784" s="259"/>
    </row>
    <row r="785" ht="28.5" customHeight="1">
      <c r="A785" s="259"/>
    </row>
    <row r="786" ht="28.5" customHeight="1">
      <c r="A786" s="259"/>
    </row>
    <row r="787" ht="28.5" customHeight="1">
      <c r="A787" s="259"/>
    </row>
    <row r="788" ht="28.5" customHeight="1">
      <c r="A788" s="259"/>
    </row>
    <row r="789" ht="28.5" customHeight="1">
      <c r="A789" s="259"/>
    </row>
    <row r="790" ht="28.5" customHeight="1">
      <c r="A790" s="259"/>
    </row>
    <row r="791" ht="28.5" customHeight="1">
      <c r="A791" s="259"/>
    </row>
    <row r="792" ht="28.5" customHeight="1">
      <c r="A792" s="259"/>
    </row>
    <row r="793" ht="28.5" customHeight="1">
      <c r="A793" s="259"/>
    </row>
    <row r="794" ht="28.5" customHeight="1">
      <c r="A794" s="259"/>
    </row>
    <row r="795" ht="28.5" customHeight="1">
      <c r="A795" s="259"/>
    </row>
    <row r="796" ht="28.5" customHeight="1">
      <c r="A796" s="259"/>
    </row>
    <row r="797" ht="28.5" customHeight="1">
      <c r="A797" s="259"/>
    </row>
    <row r="798" ht="28.5" customHeight="1">
      <c r="A798" s="259"/>
    </row>
    <row r="799" ht="28.5" customHeight="1">
      <c r="A799" s="259"/>
    </row>
    <row r="800" ht="28.5" customHeight="1">
      <c r="A800" s="259"/>
    </row>
    <row r="801" ht="28.5" customHeight="1">
      <c r="A801" s="259"/>
    </row>
    <row r="802" ht="28.5" customHeight="1">
      <c r="A802" s="259"/>
    </row>
    <row r="803" ht="28.5" customHeight="1">
      <c r="A803" s="259"/>
    </row>
    <row r="804" ht="28.5" customHeight="1">
      <c r="A804" s="259"/>
    </row>
    <row r="805" ht="28.5" customHeight="1">
      <c r="A805" s="259"/>
    </row>
    <row r="806" ht="28.5" customHeight="1">
      <c r="A806" s="259"/>
    </row>
    <row r="807" ht="28.5" customHeight="1">
      <c r="A807" s="259"/>
    </row>
    <row r="808" ht="28.5" customHeight="1">
      <c r="A808" s="259"/>
    </row>
    <row r="809" ht="28.5" customHeight="1">
      <c r="A809" s="259"/>
    </row>
    <row r="810" ht="28.5" customHeight="1">
      <c r="A810" s="259"/>
    </row>
    <row r="811" ht="28.5" customHeight="1">
      <c r="A811" s="259"/>
    </row>
    <row r="812" ht="28.5" customHeight="1">
      <c r="A812" s="259"/>
    </row>
    <row r="813" ht="28.5" customHeight="1">
      <c r="A813" s="259"/>
    </row>
    <row r="814" ht="28.5" customHeight="1">
      <c r="A814" s="259"/>
    </row>
    <row r="815" ht="28.5" customHeight="1">
      <c r="A815" s="259"/>
    </row>
    <row r="816" ht="28.5" customHeight="1">
      <c r="A816" s="259"/>
    </row>
    <row r="817" ht="28.5" customHeight="1">
      <c r="A817" s="259"/>
    </row>
    <row r="818" ht="28.5" customHeight="1">
      <c r="A818" s="259"/>
    </row>
    <row r="819" ht="28.5" customHeight="1">
      <c r="A819" s="259"/>
    </row>
    <row r="820" ht="28.5" customHeight="1">
      <c r="A820" s="259"/>
    </row>
    <row r="821" ht="28.5" customHeight="1">
      <c r="A821" s="259"/>
    </row>
    <row r="822" ht="28.5" customHeight="1">
      <c r="A822" s="259"/>
    </row>
    <row r="823" ht="28.5" customHeight="1">
      <c r="A823" s="259"/>
    </row>
    <row r="824" ht="28.5" customHeight="1">
      <c r="A824" s="259"/>
    </row>
    <row r="825" ht="28.5" customHeight="1">
      <c r="A825" s="259"/>
    </row>
    <row r="826" ht="28.5" customHeight="1">
      <c r="A826" s="259"/>
    </row>
    <row r="827" ht="28.5" customHeight="1">
      <c r="A827" s="259"/>
    </row>
    <row r="828" ht="28.5" customHeight="1">
      <c r="A828" s="259"/>
    </row>
    <row r="829" ht="28.5" customHeight="1">
      <c r="A829" s="259"/>
    </row>
    <row r="830" ht="28.5" customHeight="1">
      <c r="A830" s="259"/>
    </row>
    <row r="831" ht="28.5" customHeight="1">
      <c r="A831" s="259"/>
    </row>
    <row r="832" ht="28.5" customHeight="1">
      <c r="A832" s="259"/>
    </row>
    <row r="833" ht="28.5" customHeight="1">
      <c r="A833" s="259"/>
    </row>
    <row r="834" ht="28.5" customHeight="1">
      <c r="A834" s="259"/>
    </row>
    <row r="835" ht="28.5" customHeight="1">
      <c r="A835" s="259"/>
    </row>
    <row r="836" ht="28.5" customHeight="1">
      <c r="A836" s="259"/>
    </row>
    <row r="837" ht="28.5" customHeight="1">
      <c r="A837" s="259"/>
    </row>
    <row r="838" ht="28.5" customHeight="1">
      <c r="A838" s="259"/>
    </row>
    <row r="839" ht="28.5" customHeight="1">
      <c r="A839" s="259"/>
    </row>
    <row r="840" ht="28.5" customHeight="1">
      <c r="A840" s="259"/>
    </row>
    <row r="841" ht="28.5" customHeight="1">
      <c r="A841" s="259"/>
    </row>
    <row r="842" ht="28.5" customHeight="1">
      <c r="A842" s="259"/>
    </row>
    <row r="843" ht="28.5" customHeight="1">
      <c r="A843" s="259"/>
    </row>
    <row r="844" ht="28.5" customHeight="1">
      <c r="A844" s="259"/>
    </row>
    <row r="845" ht="28.5" customHeight="1">
      <c r="A845" s="259"/>
    </row>
    <row r="846" ht="28.5" customHeight="1">
      <c r="A846" s="259"/>
    </row>
    <row r="847" ht="28.5" customHeight="1">
      <c r="A847" s="259"/>
    </row>
    <row r="848" ht="28.5" customHeight="1">
      <c r="A848" s="259"/>
    </row>
    <row r="849" ht="28.5" customHeight="1">
      <c r="A849" s="259"/>
    </row>
    <row r="850" ht="28.5" customHeight="1">
      <c r="A850" s="259"/>
    </row>
    <row r="851" ht="28.5" customHeight="1">
      <c r="A851" s="259"/>
    </row>
    <row r="852" ht="28.5" customHeight="1">
      <c r="A852" s="259"/>
    </row>
    <row r="853" ht="28.5" customHeight="1">
      <c r="A853" s="259"/>
    </row>
    <row r="854" ht="28.5" customHeight="1">
      <c r="A854" s="259"/>
    </row>
    <row r="855" ht="28.5" customHeight="1">
      <c r="A855" s="259"/>
    </row>
    <row r="856" ht="28.5" customHeight="1">
      <c r="A856" s="259"/>
    </row>
    <row r="857" ht="28.5" customHeight="1">
      <c r="A857" s="259"/>
    </row>
    <row r="858" ht="28.5" customHeight="1">
      <c r="A858" s="259"/>
    </row>
    <row r="859" ht="28.5" customHeight="1">
      <c r="A859" s="259"/>
    </row>
    <row r="860" ht="28.5" customHeight="1">
      <c r="A860" s="259"/>
    </row>
    <row r="861" ht="28.5" customHeight="1">
      <c r="A861" s="259"/>
    </row>
    <row r="862" ht="28.5" customHeight="1">
      <c r="A862" s="259"/>
    </row>
    <row r="863" ht="28.5" customHeight="1">
      <c r="A863" s="259"/>
    </row>
    <row r="864" ht="28.5" customHeight="1">
      <c r="A864" s="259"/>
    </row>
    <row r="865" ht="28.5" customHeight="1">
      <c r="A865" s="259"/>
    </row>
    <row r="866" ht="28.5" customHeight="1">
      <c r="A866" s="259"/>
    </row>
    <row r="867" ht="28.5" customHeight="1">
      <c r="A867" s="259"/>
    </row>
    <row r="868" ht="28.5" customHeight="1">
      <c r="A868" s="259"/>
    </row>
    <row r="869" ht="28.5" customHeight="1">
      <c r="A869" s="259"/>
    </row>
    <row r="870" ht="28.5" customHeight="1">
      <c r="A870" s="259"/>
    </row>
    <row r="871" ht="28.5" customHeight="1">
      <c r="A871" s="259"/>
    </row>
    <row r="872" ht="28.5" customHeight="1">
      <c r="A872" s="259"/>
    </row>
    <row r="873" ht="28.5" customHeight="1">
      <c r="A873" s="259"/>
    </row>
    <row r="874" ht="28.5" customHeight="1">
      <c r="A874" s="259"/>
    </row>
    <row r="875" ht="28.5" customHeight="1">
      <c r="A875" s="259"/>
    </row>
    <row r="876" ht="28.5" customHeight="1">
      <c r="A876" s="259"/>
    </row>
    <row r="877" ht="28.5" customHeight="1">
      <c r="A877" s="259"/>
    </row>
    <row r="878" ht="28.5" customHeight="1">
      <c r="A878" s="259"/>
    </row>
    <row r="879" ht="28.5" customHeight="1">
      <c r="A879" s="259"/>
    </row>
    <row r="880" ht="28.5" customHeight="1">
      <c r="A880" s="259"/>
    </row>
    <row r="881" ht="28.5" customHeight="1">
      <c r="A881" s="259"/>
    </row>
    <row r="882" ht="28.5" customHeight="1">
      <c r="A882" s="259"/>
    </row>
    <row r="883" ht="28.5" customHeight="1">
      <c r="A883" s="259"/>
    </row>
    <row r="884" ht="28.5" customHeight="1">
      <c r="A884" s="259"/>
    </row>
    <row r="885" ht="28.5" customHeight="1">
      <c r="A885" s="259"/>
    </row>
    <row r="886" ht="28.5" customHeight="1">
      <c r="A886" s="259"/>
    </row>
    <row r="887" ht="28.5" customHeight="1">
      <c r="A887" s="259"/>
    </row>
    <row r="888" ht="28.5" customHeight="1">
      <c r="A888" s="259"/>
    </row>
    <row r="889" ht="28.5" customHeight="1">
      <c r="A889" s="259"/>
    </row>
    <row r="890" ht="28.5" customHeight="1">
      <c r="A890" s="259"/>
    </row>
    <row r="891" ht="28.5" customHeight="1">
      <c r="A891" s="259"/>
    </row>
    <row r="892" ht="28.5" customHeight="1">
      <c r="A892" s="259"/>
    </row>
    <row r="893" ht="28.5" customHeight="1">
      <c r="A893" s="259"/>
    </row>
    <row r="894" ht="28.5" customHeight="1">
      <c r="A894" s="259"/>
    </row>
    <row r="895" ht="28.5" customHeight="1">
      <c r="A895" s="259"/>
    </row>
    <row r="896" ht="28.5" customHeight="1">
      <c r="A896" s="259"/>
    </row>
    <row r="897" ht="28.5" customHeight="1">
      <c r="A897" s="259"/>
    </row>
    <row r="898" ht="28.5" customHeight="1">
      <c r="A898" s="259"/>
    </row>
    <row r="899" ht="28.5" customHeight="1">
      <c r="A899" s="259"/>
    </row>
    <row r="900" ht="28.5" customHeight="1">
      <c r="A900" s="259"/>
    </row>
    <row r="901" ht="28.5" customHeight="1">
      <c r="A901" s="259"/>
    </row>
    <row r="902" ht="28.5" customHeight="1">
      <c r="A902" s="259"/>
    </row>
    <row r="903" ht="28.5" customHeight="1">
      <c r="A903" s="259"/>
    </row>
    <row r="904" ht="28.5" customHeight="1">
      <c r="A904" s="259"/>
    </row>
    <row r="905" ht="28.5" customHeight="1">
      <c r="A905" s="259"/>
    </row>
    <row r="906" ht="28.5" customHeight="1">
      <c r="A906" s="259"/>
    </row>
    <row r="907" ht="28.5" customHeight="1">
      <c r="A907" s="259"/>
    </row>
    <row r="908" ht="28.5" customHeight="1">
      <c r="A908" s="259"/>
    </row>
    <row r="909" ht="28.5" customHeight="1">
      <c r="A909" s="259"/>
    </row>
    <row r="910" ht="28.5" customHeight="1">
      <c r="A910" s="259"/>
    </row>
    <row r="911" ht="28.5" customHeight="1">
      <c r="A911" s="259"/>
    </row>
    <row r="912" ht="28.5" customHeight="1">
      <c r="A912" s="259"/>
    </row>
    <row r="913" ht="28.5" customHeight="1">
      <c r="A913" s="259"/>
    </row>
    <row r="914" ht="28.5" customHeight="1">
      <c r="A914" s="259"/>
    </row>
    <row r="915" ht="28.5" customHeight="1">
      <c r="A915" s="259"/>
    </row>
    <row r="916" ht="28.5" customHeight="1">
      <c r="A916" s="259"/>
    </row>
    <row r="917" ht="28.5" customHeight="1">
      <c r="A917" s="259"/>
    </row>
    <row r="918" ht="28.5" customHeight="1">
      <c r="A918" s="259"/>
    </row>
    <row r="919" ht="28.5" customHeight="1">
      <c r="A919" s="259"/>
    </row>
    <row r="920" ht="28.5" customHeight="1">
      <c r="A920" s="259"/>
    </row>
    <row r="921" ht="28.5" customHeight="1">
      <c r="A921" s="259"/>
    </row>
    <row r="922" ht="28.5" customHeight="1">
      <c r="A922" s="259"/>
    </row>
    <row r="923" ht="28.5" customHeight="1">
      <c r="A923" s="259"/>
    </row>
    <row r="924" ht="28.5" customHeight="1">
      <c r="A924" s="259"/>
    </row>
    <row r="925" ht="28.5" customHeight="1">
      <c r="A925" s="259"/>
    </row>
    <row r="926" ht="28.5" customHeight="1">
      <c r="A926" s="259"/>
    </row>
    <row r="927" ht="28.5" customHeight="1">
      <c r="A927" s="259"/>
    </row>
    <row r="928" ht="28.5" customHeight="1">
      <c r="A928" s="259"/>
    </row>
    <row r="929" ht="28.5" customHeight="1">
      <c r="A929" s="259"/>
    </row>
    <row r="930" ht="28.5" customHeight="1">
      <c r="A930" s="259"/>
    </row>
    <row r="931" ht="28.5" customHeight="1">
      <c r="A931" s="259"/>
    </row>
    <row r="932" ht="28.5" customHeight="1">
      <c r="A932" s="259"/>
    </row>
    <row r="933" ht="28.5" customHeight="1">
      <c r="A933" s="259"/>
    </row>
    <row r="934" ht="28.5" customHeight="1">
      <c r="A934" s="259"/>
    </row>
    <row r="935" ht="28.5" customHeight="1">
      <c r="A935" s="259"/>
    </row>
    <row r="936" ht="28.5" customHeight="1">
      <c r="A936" s="259"/>
    </row>
    <row r="937" ht="28.5" customHeight="1">
      <c r="A937" s="259"/>
    </row>
    <row r="938" ht="28.5" customHeight="1">
      <c r="A938" s="259"/>
    </row>
    <row r="939" ht="28.5" customHeight="1">
      <c r="A939" s="259"/>
    </row>
    <row r="940" ht="28.5" customHeight="1">
      <c r="A940" s="259"/>
    </row>
    <row r="941" ht="28.5" customHeight="1">
      <c r="A941" s="259"/>
    </row>
    <row r="942" ht="28.5" customHeight="1">
      <c r="A942" s="259"/>
    </row>
    <row r="943" ht="28.5" customHeight="1">
      <c r="A943" s="259"/>
    </row>
    <row r="944" ht="28.5" customHeight="1">
      <c r="A944" s="259"/>
    </row>
    <row r="945" ht="28.5" customHeight="1">
      <c r="A945" s="259"/>
    </row>
    <row r="946" ht="28.5" customHeight="1">
      <c r="A946" s="259"/>
    </row>
    <row r="947" ht="28.5" customHeight="1">
      <c r="A947" s="259"/>
    </row>
    <row r="948" ht="28.5" customHeight="1">
      <c r="A948" s="259"/>
    </row>
    <row r="949" ht="28.5" customHeight="1">
      <c r="A949" s="259"/>
    </row>
    <row r="950" ht="28.5" customHeight="1">
      <c r="A950" s="259"/>
    </row>
    <row r="951" ht="28.5" customHeight="1">
      <c r="A951" s="259"/>
    </row>
    <row r="952" ht="28.5" customHeight="1">
      <c r="A952" s="259"/>
    </row>
    <row r="953" ht="28.5" customHeight="1">
      <c r="A953" s="259"/>
    </row>
    <row r="954" ht="28.5" customHeight="1">
      <c r="A954" s="259"/>
    </row>
    <row r="955" ht="28.5" customHeight="1">
      <c r="A955" s="259"/>
    </row>
    <row r="956" ht="28.5" customHeight="1">
      <c r="A956" s="259"/>
    </row>
    <row r="957" ht="28.5" customHeight="1">
      <c r="A957" s="259"/>
    </row>
    <row r="958" ht="28.5" customHeight="1">
      <c r="A958" s="259"/>
    </row>
    <row r="959" ht="28.5" customHeight="1">
      <c r="A959" s="259"/>
    </row>
    <row r="960" ht="28.5" customHeight="1">
      <c r="A960" s="259"/>
    </row>
    <row r="961" ht="28.5" customHeight="1">
      <c r="A961" s="259"/>
    </row>
    <row r="962" ht="28.5" customHeight="1">
      <c r="A962" s="259"/>
    </row>
    <row r="963" ht="28.5" customHeight="1">
      <c r="A963" s="259"/>
    </row>
    <row r="964" ht="28.5" customHeight="1">
      <c r="A964" s="259"/>
    </row>
    <row r="965" ht="28.5" customHeight="1">
      <c r="A965" s="259"/>
    </row>
    <row r="966" ht="28.5" customHeight="1">
      <c r="A966" s="259"/>
    </row>
    <row r="967" ht="28.5" customHeight="1">
      <c r="A967" s="259"/>
    </row>
    <row r="968" ht="28.5" customHeight="1">
      <c r="A968" s="259"/>
    </row>
    <row r="969" ht="28.5" customHeight="1">
      <c r="A969" s="259"/>
    </row>
    <row r="970" ht="28.5" customHeight="1">
      <c r="A970" s="259"/>
    </row>
    <row r="971" ht="28.5" customHeight="1">
      <c r="A971" s="259"/>
    </row>
    <row r="972" ht="28.5" customHeight="1">
      <c r="A972" s="259"/>
    </row>
    <row r="973" ht="28.5" customHeight="1">
      <c r="A973" s="259"/>
    </row>
    <row r="974" ht="28.5" customHeight="1">
      <c r="A974" s="259"/>
    </row>
    <row r="975" ht="28.5" customHeight="1">
      <c r="A975" s="259"/>
    </row>
    <row r="976" ht="28.5" customHeight="1">
      <c r="A976" s="259"/>
    </row>
    <row r="977" ht="28.5" customHeight="1">
      <c r="A977" s="259"/>
    </row>
    <row r="978" ht="28.5" customHeight="1">
      <c r="A978" s="259"/>
    </row>
    <row r="979" ht="28.5" customHeight="1">
      <c r="A979" s="259"/>
    </row>
    <row r="980" ht="28.5" customHeight="1">
      <c r="A980" s="259"/>
    </row>
    <row r="981" ht="28.5" customHeight="1">
      <c r="A981" s="259"/>
    </row>
    <row r="982" ht="28.5" customHeight="1">
      <c r="A982" s="259"/>
    </row>
    <row r="983" ht="28.5" customHeight="1">
      <c r="A983" s="259"/>
    </row>
    <row r="984" ht="28.5" customHeight="1">
      <c r="A984" s="259"/>
    </row>
    <row r="985" ht="28.5" customHeight="1">
      <c r="A985" s="259"/>
    </row>
    <row r="986" ht="28.5" customHeight="1">
      <c r="A986" s="259"/>
    </row>
    <row r="987" ht="28.5" customHeight="1">
      <c r="A987" s="259"/>
    </row>
    <row r="988" ht="28.5" customHeight="1">
      <c r="A988" s="259"/>
    </row>
    <row r="989" ht="28.5" customHeight="1">
      <c r="A989" s="259"/>
    </row>
    <row r="990" ht="28.5" customHeight="1">
      <c r="A990" s="259"/>
    </row>
    <row r="991" ht="28.5" customHeight="1">
      <c r="A991" s="259"/>
    </row>
    <row r="992" ht="28.5" customHeight="1">
      <c r="A992" s="259"/>
    </row>
    <row r="993" ht="28.5" customHeight="1">
      <c r="A993" s="259"/>
    </row>
    <row r="994" ht="28.5" customHeight="1">
      <c r="A994" s="259"/>
    </row>
    <row r="995" ht="28.5" customHeight="1">
      <c r="A995" s="259"/>
    </row>
    <row r="996" ht="28.5" customHeight="1">
      <c r="A996" s="259"/>
    </row>
    <row r="997" ht="28.5" customHeight="1">
      <c r="A997" s="259"/>
    </row>
    <row r="998" ht="28.5" customHeight="1">
      <c r="A998" s="259"/>
    </row>
    <row r="999" ht="28.5" customHeight="1">
      <c r="A999" s="259"/>
    </row>
    <row r="1000" ht="28.5" customHeight="1">
      <c r="A1000" s="259"/>
    </row>
    <row r="1001" ht="28.5" customHeight="1">
      <c r="A1001" s="259"/>
    </row>
  </sheetData>
  <hyperlinks>
    <hyperlink r:id="rId1" ref="J6"/>
    <hyperlink r:id="rId2" ref="J7"/>
    <hyperlink r:id="rId3" ref="J8"/>
    <hyperlink r:id="rId4" ref="J9"/>
    <hyperlink r:id="rId5" ref="J10"/>
    <hyperlink r:id="rId6" ref="J11"/>
    <hyperlink r:id="rId7" ref="J16"/>
    <hyperlink r:id="rId8" ref="J17"/>
  </hyperlinks>
  <printOptions/>
  <pageMargins bottom="1.0" footer="0.0" header="0.0" left="0.75" right="0.75" top="1.0"/>
  <pageSetup orientation="landscape"/>
  <headerFooter>
    <oddHeader>&amp;L000000LIBERIAN UMAPS SCHOLARS, 2008-14</oddHeader>
  </headerFooter>
  <drawing r:id="rId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20.86"/>
    <col customWidth="1" min="3" max="3" width="13.29"/>
    <col customWidth="1" min="4" max="4" width="13.14"/>
    <col customWidth="1" min="5" max="5" width="18.0"/>
    <col customWidth="1" min="6" max="6" width="11.43"/>
    <col customWidth="1" min="7" max="7" width="18.14"/>
    <col customWidth="1" min="8" max="8" width="21.43"/>
    <col customWidth="1" min="9" max="9" width="26.43"/>
    <col customWidth="1" min="10" max="10" width="40.0"/>
    <col customWidth="1" min="11" max="11" width="28.71"/>
    <col customWidth="1" min="12" max="12" width="31.29"/>
    <col customWidth="1" min="13" max="13" width="18.29"/>
    <col customWidth="1" min="14" max="14" width="49.86"/>
    <col customWidth="1" min="15" max="26" width="11.43"/>
  </cols>
  <sheetData>
    <row r="1" ht="58.5" customHeight="1">
      <c r="A1" s="319" t="s">
        <v>0</v>
      </c>
      <c r="B1" s="262" t="s">
        <v>2585</v>
      </c>
      <c r="C1" s="262" t="s">
        <v>2</v>
      </c>
      <c r="D1" s="262" t="s">
        <v>2807</v>
      </c>
      <c r="E1" s="262" t="s">
        <v>2808</v>
      </c>
      <c r="F1" s="262" t="s">
        <v>5</v>
      </c>
      <c r="G1" s="262" t="s">
        <v>6</v>
      </c>
      <c r="H1" s="262" t="s">
        <v>7</v>
      </c>
      <c r="I1" s="262" t="s">
        <v>2586</v>
      </c>
      <c r="J1" s="262" t="s">
        <v>10</v>
      </c>
      <c r="K1" s="320" t="s">
        <v>11</v>
      </c>
      <c r="L1" s="262" t="s">
        <v>12</v>
      </c>
      <c r="M1" s="262" t="s">
        <v>2587</v>
      </c>
      <c r="N1" s="262" t="s">
        <v>14</v>
      </c>
      <c r="O1" s="321"/>
      <c r="P1" s="321"/>
      <c r="Q1" s="321"/>
      <c r="R1" s="321"/>
      <c r="S1" s="321"/>
    </row>
    <row r="2" ht="63.75" customHeight="1">
      <c r="A2" s="319">
        <v>1.0</v>
      </c>
      <c r="B2" s="279" t="s">
        <v>1826</v>
      </c>
      <c r="C2" s="279" t="s">
        <v>1827</v>
      </c>
      <c r="D2" s="279" t="s">
        <v>2934</v>
      </c>
      <c r="E2" s="279" t="s">
        <v>465</v>
      </c>
      <c r="F2" s="279" t="s">
        <v>1018</v>
      </c>
      <c r="G2" s="279" t="s">
        <v>1737</v>
      </c>
      <c r="H2" s="285" t="s">
        <v>1829</v>
      </c>
      <c r="I2" s="279" t="s">
        <v>1830</v>
      </c>
      <c r="J2" s="286"/>
      <c r="K2" s="276"/>
      <c r="L2" s="274"/>
      <c r="M2" s="274"/>
      <c r="N2" s="274"/>
      <c r="O2" s="175"/>
    </row>
    <row r="3" ht="63.75" customHeight="1">
      <c r="A3" s="290">
        <v>2.0</v>
      </c>
      <c r="B3" s="274" t="s">
        <v>462</v>
      </c>
      <c r="C3" s="274" t="s">
        <v>463</v>
      </c>
      <c r="D3" s="280" t="s">
        <v>1852</v>
      </c>
      <c r="E3" s="274"/>
      <c r="F3" s="274" t="s">
        <v>1018</v>
      </c>
      <c r="G3" s="274" t="s">
        <v>466</v>
      </c>
      <c r="H3" s="274" t="s">
        <v>467</v>
      </c>
      <c r="I3" s="274" t="s">
        <v>468</v>
      </c>
      <c r="J3" s="278" t="s">
        <v>469</v>
      </c>
      <c r="K3" s="276" t="s">
        <v>470</v>
      </c>
      <c r="L3" s="274" t="s">
        <v>471</v>
      </c>
      <c r="M3" s="274"/>
      <c r="N3" s="274"/>
      <c r="O3" s="175"/>
    </row>
    <row r="4" ht="54.0" customHeight="1">
      <c r="A4" s="290">
        <v>3.0</v>
      </c>
      <c r="B4" s="274" t="s">
        <v>537</v>
      </c>
      <c r="C4" s="274" t="s">
        <v>538</v>
      </c>
      <c r="D4" s="274" t="s">
        <v>464</v>
      </c>
      <c r="E4" s="274"/>
      <c r="F4" s="274" t="s">
        <v>1027</v>
      </c>
      <c r="G4" s="274" t="s">
        <v>466</v>
      </c>
      <c r="H4" s="274" t="s">
        <v>539</v>
      </c>
      <c r="I4" s="274" t="s">
        <v>540</v>
      </c>
      <c r="J4" s="283" t="s">
        <v>2935</v>
      </c>
      <c r="K4" s="276" t="s">
        <v>542</v>
      </c>
      <c r="L4" s="274" t="s">
        <v>543</v>
      </c>
      <c r="M4" s="274"/>
      <c r="N4" s="274" t="s">
        <v>544</v>
      </c>
    </row>
    <row r="5" ht="66.0" customHeight="1">
      <c r="A5" s="290">
        <v>4.0</v>
      </c>
      <c r="B5" s="274" t="s">
        <v>564</v>
      </c>
      <c r="C5" s="274" t="s">
        <v>565</v>
      </c>
      <c r="D5" s="274" t="s">
        <v>464</v>
      </c>
      <c r="E5" s="274"/>
      <c r="F5" s="274" t="s">
        <v>1027</v>
      </c>
      <c r="G5" s="274" t="s">
        <v>466</v>
      </c>
      <c r="H5" s="274" t="s">
        <v>566</v>
      </c>
      <c r="I5" s="274" t="s">
        <v>2936</v>
      </c>
      <c r="J5" s="322" t="s">
        <v>569</v>
      </c>
      <c r="K5" s="276" t="s">
        <v>570</v>
      </c>
      <c r="L5" s="274" t="s">
        <v>571</v>
      </c>
      <c r="M5" s="274"/>
      <c r="N5" s="274" t="s">
        <v>572</v>
      </c>
    </row>
    <row r="6" ht="54.75" customHeight="1">
      <c r="A6" s="290">
        <v>5.0</v>
      </c>
      <c r="B6" s="274" t="s">
        <v>632</v>
      </c>
      <c r="C6" s="280" t="s">
        <v>2937</v>
      </c>
      <c r="D6" s="274" t="s">
        <v>464</v>
      </c>
      <c r="E6" s="274"/>
      <c r="F6" s="274" t="s">
        <v>1027</v>
      </c>
      <c r="G6" s="274" t="s">
        <v>599</v>
      </c>
      <c r="H6" s="274" t="s">
        <v>633</v>
      </c>
      <c r="I6" s="274" t="s">
        <v>634</v>
      </c>
      <c r="J6" s="278" t="s">
        <v>636</v>
      </c>
      <c r="K6" s="276" t="s">
        <v>637</v>
      </c>
      <c r="L6" s="274" t="s">
        <v>638</v>
      </c>
      <c r="M6" s="274"/>
      <c r="N6" s="274"/>
    </row>
    <row r="7" ht="65.25" customHeight="1">
      <c r="A7" s="290">
        <v>6.0</v>
      </c>
      <c r="B7" s="274" t="s">
        <v>685</v>
      </c>
      <c r="C7" s="274" t="s">
        <v>686</v>
      </c>
      <c r="D7" s="274" t="s">
        <v>464</v>
      </c>
      <c r="E7" s="274"/>
      <c r="F7" s="274" t="s">
        <v>1018</v>
      </c>
      <c r="G7" s="274" t="s">
        <v>599</v>
      </c>
      <c r="H7" s="274" t="s">
        <v>687</v>
      </c>
      <c r="I7" s="274" t="s">
        <v>688</v>
      </c>
      <c r="J7" s="278" t="s">
        <v>689</v>
      </c>
      <c r="K7" s="276" t="s">
        <v>690</v>
      </c>
      <c r="L7" s="274" t="s">
        <v>691</v>
      </c>
      <c r="M7" s="274" t="s">
        <v>2938</v>
      </c>
      <c r="N7" s="274" t="s">
        <v>693</v>
      </c>
    </row>
    <row r="8" ht="64.5" customHeight="1">
      <c r="A8" s="290">
        <v>7.0</v>
      </c>
      <c r="B8" s="274" t="s">
        <v>804</v>
      </c>
      <c r="C8" s="274" t="s">
        <v>331</v>
      </c>
      <c r="D8" s="274" t="s">
        <v>464</v>
      </c>
      <c r="E8" s="274"/>
      <c r="F8" s="274" t="s">
        <v>1018</v>
      </c>
      <c r="G8" s="274" t="s">
        <v>717</v>
      </c>
      <c r="H8" s="274" t="s">
        <v>805</v>
      </c>
      <c r="I8" s="274" t="s">
        <v>806</v>
      </c>
      <c r="J8" s="274" t="s">
        <v>2939</v>
      </c>
      <c r="K8" s="289">
        <v>2.56772407885E11</v>
      </c>
      <c r="L8" s="274" t="s">
        <v>808</v>
      </c>
      <c r="M8" s="274"/>
      <c r="N8" s="274" t="s">
        <v>2940</v>
      </c>
    </row>
    <row r="9" ht="71.25" customHeight="1">
      <c r="A9" s="290">
        <v>8.0</v>
      </c>
      <c r="B9" s="274" t="s">
        <v>1095</v>
      </c>
      <c r="C9" s="274" t="s">
        <v>1096</v>
      </c>
      <c r="D9" s="274" t="s">
        <v>464</v>
      </c>
      <c r="E9" s="274"/>
      <c r="F9" s="274" t="s">
        <v>1018</v>
      </c>
      <c r="G9" s="274" t="s">
        <v>1019</v>
      </c>
      <c r="H9" s="274"/>
      <c r="I9" s="274" t="s">
        <v>1097</v>
      </c>
      <c r="J9" s="278" t="s">
        <v>1098</v>
      </c>
      <c r="K9" s="274"/>
      <c r="L9" s="274" t="s">
        <v>1099</v>
      </c>
      <c r="M9" s="274"/>
      <c r="N9" s="274" t="s">
        <v>2941</v>
      </c>
    </row>
    <row r="10" ht="73.5" customHeight="1">
      <c r="A10" s="290">
        <v>9.0</v>
      </c>
      <c r="B10" s="274" t="s">
        <v>1115</v>
      </c>
      <c r="C10" s="274" t="s">
        <v>192</v>
      </c>
      <c r="D10" s="274" t="s">
        <v>464</v>
      </c>
      <c r="E10" s="274"/>
      <c r="F10" s="274" t="s">
        <v>1027</v>
      </c>
      <c r="G10" s="274" t="s">
        <v>1019</v>
      </c>
      <c r="H10" s="274" t="s">
        <v>1116</v>
      </c>
      <c r="I10" s="274" t="s">
        <v>1117</v>
      </c>
      <c r="J10" s="278" t="s">
        <v>1119</v>
      </c>
      <c r="K10" s="274"/>
      <c r="L10" s="274" t="s">
        <v>1120</v>
      </c>
      <c r="M10" s="274"/>
      <c r="N10" s="274" t="s">
        <v>2942</v>
      </c>
    </row>
    <row r="11" ht="72.0" customHeight="1">
      <c r="A11" s="290">
        <v>10.0</v>
      </c>
      <c r="B11" s="274" t="s">
        <v>1124</v>
      </c>
      <c r="C11" s="274" t="s">
        <v>1125</v>
      </c>
      <c r="D11" s="274" t="s">
        <v>464</v>
      </c>
      <c r="E11" s="274"/>
      <c r="F11" s="274" t="s">
        <v>1018</v>
      </c>
      <c r="G11" s="274" t="s">
        <v>1019</v>
      </c>
      <c r="H11" s="274" t="s">
        <v>1126</v>
      </c>
      <c r="I11" s="274" t="s">
        <v>1127</v>
      </c>
      <c r="J11" s="278" t="s">
        <v>1129</v>
      </c>
      <c r="K11" s="274"/>
      <c r="L11" s="274" t="s">
        <v>1130</v>
      </c>
      <c r="M11" s="274" t="s">
        <v>2943</v>
      </c>
      <c r="N11" s="274" t="s">
        <v>1132</v>
      </c>
    </row>
    <row r="12" ht="63.75" customHeight="1">
      <c r="A12" s="290">
        <v>11.0</v>
      </c>
      <c r="B12" s="276" t="s">
        <v>1285</v>
      </c>
      <c r="C12" s="276" t="s">
        <v>1286</v>
      </c>
      <c r="D12" s="276" t="s">
        <v>464</v>
      </c>
      <c r="E12" s="276"/>
      <c r="F12" s="276" t="s">
        <v>1027</v>
      </c>
      <c r="G12" s="274" t="s">
        <v>1197</v>
      </c>
      <c r="H12" s="276" t="s">
        <v>1287</v>
      </c>
      <c r="I12" s="276" t="s">
        <v>1288</v>
      </c>
      <c r="J12" s="277" t="s">
        <v>1289</v>
      </c>
      <c r="K12" s="323" t="s">
        <v>1290</v>
      </c>
      <c r="L12" s="276" t="s">
        <v>1291</v>
      </c>
      <c r="M12" s="274"/>
      <c r="N12" s="274" t="s">
        <v>2944</v>
      </c>
    </row>
    <row r="13" ht="28.5" customHeight="1">
      <c r="A13" s="290">
        <v>12.0</v>
      </c>
      <c r="B13" s="324" t="s">
        <v>1338</v>
      </c>
      <c r="C13" s="324" t="s">
        <v>1339</v>
      </c>
      <c r="D13" s="288" t="s">
        <v>464</v>
      </c>
      <c r="E13" s="288"/>
      <c r="F13" s="288" t="s">
        <v>1027</v>
      </c>
      <c r="G13" s="274" t="s">
        <v>1318</v>
      </c>
      <c r="H13" s="274" t="s">
        <v>1340</v>
      </c>
      <c r="I13" s="274" t="s">
        <v>2945</v>
      </c>
      <c r="J13" s="278" t="s">
        <v>2946</v>
      </c>
      <c r="K13" s="288"/>
      <c r="L13" s="274" t="s">
        <v>1344</v>
      </c>
      <c r="M13" s="274"/>
      <c r="N13" s="274"/>
    </row>
    <row r="14" ht="28.5" customHeight="1">
      <c r="A14" s="290">
        <v>13.0</v>
      </c>
      <c r="B14" s="324" t="s">
        <v>1393</v>
      </c>
      <c r="C14" s="324" t="s">
        <v>1394</v>
      </c>
      <c r="D14" s="288" t="s">
        <v>464</v>
      </c>
      <c r="E14" s="288"/>
      <c r="F14" s="288" t="s">
        <v>1018</v>
      </c>
      <c r="G14" s="274" t="s">
        <v>1318</v>
      </c>
      <c r="H14" s="274" t="s">
        <v>2947</v>
      </c>
      <c r="I14" s="274" t="s">
        <v>540</v>
      </c>
      <c r="J14" s="325" t="s">
        <v>1396</v>
      </c>
      <c r="K14" s="288"/>
      <c r="L14" s="274" t="s">
        <v>1398</v>
      </c>
      <c r="M14" s="274"/>
      <c r="N14" s="274" t="s">
        <v>1399</v>
      </c>
    </row>
    <row r="15" ht="28.5" customHeight="1">
      <c r="A15" s="268">
        <v>14.0</v>
      </c>
      <c r="B15" s="274" t="s">
        <v>1486</v>
      </c>
      <c r="C15" s="274" t="s">
        <v>1487</v>
      </c>
      <c r="D15" s="274" t="s">
        <v>2948</v>
      </c>
      <c r="E15" s="274"/>
      <c r="F15" s="274" t="s">
        <v>89</v>
      </c>
      <c r="G15" s="274" t="s">
        <v>1489</v>
      </c>
      <c r="H15" s="274" t="s">
        <v>1490</v>
      </c>
      <c r="I15" s="274" t="s">
        <v>1491</v>
      </c>
      <c r="J15" s="278" t="s">
        <v>1492</v>
      </c>
      <c r="K15" s="276" t="s">
        <v>1493</v>
      </c>
      <c r="L15" s="274" t="s">
        <v>1494</v>
      </c>
      <c r="M15" s="274" t="s">
        <v>1495</v>
      </c>
      <c r="N15" s="288"/>
    </row>
    <row r="16" ht="28.5" customHeight="1">
      <c r="A16" s="268">
        <v>15.0</v>
      </c>
      <c r="B16" s="294" t="s">
        <v>1687</v>
      </c>
      <c r="C16" s="294" t="s">
        <v>856</v>
      </c>
      <c r="D16" s="294" t="s">
        <v>1689</v>
      </c>
      <c r="E16" s="294"/>
      <c r="F16" s="294" t="s">
        <v>1027</v>
      </c>
      <c r="G16" s="280" t="s">
        <v>1633</v>
      </c>
      <c r="H16" s="280" t="s">
        <v>1690</v>
      </c>
      <c r="I16" s="185" t="s">
        <v>1691</v>
      </c>
      <c r="J16" s="295" t="s">
        <v>2949</v>
      </c>
      <c r="K16" s="297"/>
      <c r="L16" s="283" t="s">
        <v>1693</v>
      </c>
      <c r="M16" s="274" t="s">
        <v>1495</v>
      </c>
      <c r="N16" s="267"/>
    </row>
    <row r="17" ht="28.5" customHeight="1">
      <c r="A17" s="268">
        <v>16.0</v>
      </c>
      <c r="B17" s="279" t="s">
        <v>1850</v>
      </c>
      <c r="C17" s="279" t="s">
        <v>1851</v>
      </c>
      <c r="D17" s="279" t="s">
        <v>1852</v>
      </c>
      <c r="E17" s="279"/>
      <c r="F17" s="279" t="s">
        <v>1027</v>
      </c>
      <c r="G17" s="279" t="s">
        <v>1737</v>
      </c>
      <c r="H17" s="279" t="s">
        <v>1853</v>
      </c>
      <c r="I17" s="279" t="s">
        <v>1854</v>
      </c>
      <c r="J17" s="286"/>
      <c r="K17" s="152"/>
      <c r="L17" s="274"/>
      <c r="M17" s="274"/>
      <c r="N17" s="274"/>
    </row>
    <row r="18" ht="28.5" customHeight="1">
      <c r="A18" s="268">
        <v>17.0</v>
      </c>
      <c r="B18" s="279" t="s">
        <v>1878</v>
      </c>
      <c r="C18" s="279" t="s">
        <v>1879</v>
      </c>
      <c r="D18" s="279" t="s">
        <v>1852</v>
      </c>
      <c r="E18" s="279"/>
      <c r="F18" s="279" t="s">
        <v>1027</v>
      </c>
      <c r="G18" s="279" t="s">
        <v>1737</v>
      </c>
      <c r="H18" s="279" t="s">
        <v>1853</v>
      </c>
      <c r="I18" s="279" t="s">
        <v>1880</v>
      </c>
      <c r="J18" s="286"/>
      <c r="K18" s="152"/>
      <c r="L18" s="274"/>
      <c r="M18" s="274"/>
      <c r="N18" s="274"/>
    </row>
    <row r="19" ht="28.5" customHeight="1">
      <c r="A19" s="268">
        <v>18.0</v>
      </c>
      <c r="B19" s="274" t="s">
        <v>1147</v>
      </c>
      <c r="C19" s="274" t="s">
        <v>1148</v>
      </c>
      <c r="D19" s="274" t="s">
        <v>1149</v>
      </c>
      <c r="E19" s="274" t="s">
        <v>2950</v>
      </c>
      <c r="F19" s="274" t="s">
        <v>1027</v>
      </c>
      <c r="G19" s="274" t="s">
        <v>1019</v>
      </c>
      <c r="H19" s="274" t="s">
        <v>1150</v>
      </c>
      <c r="I19" s="274" t="s">
        <v>932</v>
      </c>
      <c r="J19" s="278" t="s">
        <v>1152</v>
      </c>
      <c r="K19" s="274"/>
      <c r="L19" s="274" t="s">
        <v>1153</v>
      </c>
      <c r="M19" s="274" t="s">
        <v>2951</v>
      </c>
      <c r="N19" s="274" t="s">
        <v>2952</v>
      </c>
    </row>
    <row r="20" ht="50.25" customHeight="1">
      <c r="A20" s="268">
        <v>19.0</v>
      </c>
      <c r="B20" s="274" t="s">
        <v>823</v>
      </c>
      <c r="C20" s="274" t="s">
        <v>824</v>
      </c>
      <c r="D20" s="274" t="s">
        <v>825</v>
      </c>
      <c r="E20" s="274" t="s">
        <v>2953</v>
      </c>
      <c r="F20" s="274" t="s">
        <v>1027</v>
      </c>
      <c r="G20" s="274" t="s">
        <v>717</v>
      </c>
      <c r="H20" s="274" t="s">
        <v>826</v>
      </c>
      <c r="I20" s="274" t="s">
        <v>149</v>
      </c>
      <c r="J20" s="278" t="s">
        <v>2954</v>
      </c>
      <c r="K20" s="289">
        <v>2.5677543008E10</v>
      </c>
      <c r="L20" s="274" t="s">
        <v>829</v>
      </c>
      <c r="M20" s="274" t="s">
        <v>2924</v>
      </c>
      <c r="N20" s="274" t="s">
        <v>2955</v>
      </c>
    </row>
    <row r="21" ht="28.5" customHeight="1">
      <c r="A21" s="268">
        <v>20.0</v>
      </c>
      <c r="B21" s="324" t="s">
        <v>1411</v>
      </c>
      <c r="C21" s="324" t="s">
        <v>1228</v>
      </c>
      <c r="D21" s="274" t="s">
        <v>825</v>
      </c>
      <c r="E21" s="288" t="s">
        <v>465</v>
      </c>
      <c r="F21" s="288" t="s">
        <v>1027</v>
      </c>
      <c r="G21" s="280" t="s">
        <v>1318</v>
      </c>
      <c r="H21" s="274" t="s">
        <v>2956</v>
      </c>
      <c r="I21" s="274" t="s">
        <v>1413</v>
      </c>
      <c r="J21" s="280" t="s">
        <v>2957</v>
      </c>
      <c r="K21" s="288"/>
      <c r="L21" s="274" t="s">
        <v>1416</v>
      </c>
      <c r="M21" s="274"/>
      <c r="N21" s="274" t="s">
        <v>1399</v>
      </c>
    </row>
    <row r="22" ht="28.5" customHeight="1">
      <c r="A22" s="268">
        <v>21.0</v>
      </c>
      <c r="B22" s="274" t="s">
        <v>2958</v>
      </c>
      <c r="C22" s="274" t="s">
        <v>1591</v>
      </c>
      <c r="D22" s="274" t="s">
        <v>2959</v>
      </c>
      <c r="E22" s="274" t="s">
        <v>465</v>
      </c>
      <c r="F22" s="280" t="s">
        <v>1027</v>
      </c>
      <c r="G22" s="274" t="s">
        <v>1489</v>
      </c>
      <c r="H22" s="274" t="s">
        <v>1592</v>
      </c>
      <c r="I22" s="274" t="s">
        <v>1593</v>
      </c>
      <c r="J22" s="274" t="s">
        <v>1594</v>
      </c>
      <c r="K22" s="276" t="s">
        <v>1595</v>
      </c>
      <c r="L22" s="274" t="s">
        <v>2960</v>
      </c>
      <c r="M22" s="274"/>
      <c r="N22" s="274" t="s">
        <v>2961</v>
      </c>
    </row>
    <row r="24" ht="28.5" customHeight="1">
      <c r="A24" s="326"/>
      <c r="B24" s="327"/>
      <c r="C24" s="327"/>
      <c r="D24" s="326"/>
      <c r="E24" s="326"/>
      <c r="F24" s="326"/>
      <c r="G24" s="326"/>
      <c r="H24" s="326"/>
      <c r="I24" s="326"/>
      <c r="J24" s="326"/>
      <c r="K24" s="326"/>
      <c r="L24" s="326"/>
      <c r="M24" s="326"/>
      <c r="N24" s="326"/>
    </row>
    <row r="25" ht="28.5" customHeight="1">
      <c r="B25" s="326"/>
      <c r="C25" s="327"/>
      <c r="D25" s="327"/>
    </row>
    <row r="26" ht="28.5" customHeight="1"/>
    <row r="27" ht="28.5" customHeight="1"/>
    <row r="28" ht="28.5" customHeight="1"/>
    <row r="29" ht="28.5" customHeight="1"/>
    <row r="30" ht="28.5" customHeight="1"/>
    <row r="31" ht="28.5" customHeight="1"/>
    <row r="32" ht="28.5" customHeight="1"/>
    <row r="33" ht="28.5" customHeight="1"/>
    <row r="34" ht="28.5" customHeight="1"/>
    <row r="35" ht="28.5" customHeight="1"/>
    <row r="36" ht="28.5" customHeight="1"/>
    <row r="37" ht="28.5" customHeight="1"/>
    <row r="38" ht="28.5" customHeight="1"/>
    <row r="39" ht="28.5" customHeight="1"/>
    <row r="40" ht="28.5" customHeight="1"/>
    <row r="41" ht="28.5" customHeight="1"/>
    <row r="42" ht="28.5" customHeight="1"/>
    <row r="43" ht="28.5" customHeight="1"/>
    <row r="44" ht="28.5" customHeight="1"/>
    <row r="45" ht="28.5" customHeight="1"/>
    <row r="46" ht="28.5" customHeight="1"/>
    <row r="47" ht="28.5" customHeight="1"/>
    <row r="48" ht="28.5" customHeight="1"/>
    <row r="49" ht="28.5" customHeight="1"/>
    <row r="50" ht="28.5" customHeight="1"/>
    <row r="51" ht="28.5" customHeight="1"/>
    <row r="52" ht="28.5" customHeight="1"/>
    <row r="53" ht="28.5" customHeight="1"/>
    <row r="54" ht="28.5" customHeight="1"/>
    <row r="55" ht="28.5" customHeight="1"/>
    <row r="56" ht="28.5" customHeight="1"/>
    <row r="57" ht="28.5" customHeight="1"/>
    <row r="58" ht="28.5" customHeight="1"/>
    <row r="59" ht="28.5" customHeight="1"/>
    <row r="60" ht="28.5" customHeight="1"/>
    <row r="61" ht="28.5" customHeight="1"/>
    <row r="62" ht="28.5" customHeight="1"/>
    <row r="63" ht="28.5" customHeight="1"/>
    <row r="64" ht="28.5" customHeight="1"/>
    <row r="65" ht="28.5" customHeight="1"/>
    <row r="66" ht="28.5" customHeight="1"/>
    <row r="67" ht="28.5" customHeight="1"/>
    <row r="68" ht="28.5" customHeight="1"/>
    <row r="69" ht="28.5" customHeight="1"/>
    <row r="70" ht="28.5" customHeight="1"/>
    <row r="71" ht="28.5" customHeight="1"/>
    <row r="72" ht="28.5" customHeight="1"/>
    <row r="73" ht="28.5" customHeight="1"/>
    <row r="74" ht="28.5" customHeight="1"/>
    <row r="75" ht="28.5" customHeight="1"/>
    <row r="76" ht="28.5" customHeight="1"/>
    <row r="77" ht="28.5" customHeight="1"/>
    <row r="78" ht="28.5" customHeight="1"/>
    <row r="79" ht="28.5" customHeight="1"/>
    <row r="80" ht="28.5" customHeight="1"/>
    <row r="81" ht="28.5" customHeight="1"/>
    <row r="82" ht="28.5" customHeight="1"/>
    <row r="83" ht="28.5" customHeight="1"/>
    <row r="84" ht="28.5" customHeight="1"/>
    <row r="85" ht="28.5" customHeight="1"/>
    <row r="86" ht="28.5" customHeight="1"/>
    <row r="87" ht="28.5" customHeight="1"/>
    <row r="88" ht="28.5" customHeight="1"/>
    <row r="89" ht="28.5" customHeight="1"/>
    <row r="90" ht="28.5" customHeight="1"/>
    <row r="91" ht="28.5" customHeight="1"/>
    <row r="92" ht="28.5" customHeight="1"/>
    <row r="93" ht="28.5" customHeight="1"/>
    <row r="94" ht="28.5" customHeight="1"/>
    <row r="95" ht="28.5" customHeight="1"/>
    <row r="96" ht="28.5" customHeight="1"/>
    <row r="97" ht="28.5" customHeight="1"/>
    <row r="98" ht="28.5" customHeight="1"/>
    <row r="99" ht="28.5" customHeight="1"/>
    <row r="100" ht="28.5" customHeight="1"/>
    <row r="101" ht="28.5" customHeight="1"/>
    <row r="102" ht="28.5" customHeight="1"/>
    <row r="103" ht="28.5" customHeight="1"/>
    <row r="104" ht="28.5" customHeight="1"/>
    <row r="105" ht="28.5" customHeight="1"/>
    <row r="106" ht="28.5" customHeight="1"/>
    <row r="107" ht="28.5" customHeight="1"/>
    <row r="108" ht="28.5" customHeight="1"/>
    <row r="109" ht="28.5" customHeight="1"/>
    <row r="110" ht="28.5" customHeight="1"/>
    <row r="111" ht="28.5" customHeight="1"/>
    <row r="112" ht="28.5" customHeight="1"/>
    <row r="113" ht="28.5" customHeight="1"/>
    <row r="114" ht="28.5" customHeight="1"/>
    <row r="115" ht="28.5" customHeight="1"/>
    <row r="116" ht="28.5" customHeight="1"/>
    <row r="117" ht="28.5" customHeight="1"/>
    <row r="118" ht="28.5" customHeight="1"/>
    <row r="119" ht="28.5" customHeight="1"/>
    <row r="120" ht="28.5" customHeight="1"/>
    <row r="121" ht="28.5" customHeight="1"/>
    <row r="122" ht="28.5" customHeight="1"/>
    <row r="123" ht="28.5" customHeight="1"/>
    <row r="124" ht="28.5" customHeight="1"/>
    <row r="125" ht="28.5" customHeight="1"/>
    <row r="126" ht="28.5" customHeight="1"/>
    <row r="127" ht="28.5" customHeight="1"/>
    <row r="128" ht="28.5" customHeight="1"/>
    <row r="129" ht="28.5" customHeight="1"/>
    <row r="130" ht="28.5" customHeight="1"/>
    <row r="131" ht="28.5" customHeight="1"/>
    <row r="132" ht="28.5" customHeight="1"/>
    <row r="133" ht="28.5" customHeight="1"/>
    <row r="134" ht="28.5" customHeight="1"/>
    <row r="135" ht="28.5" customHeight="1"/>
    <row r="136" ht="28.5" customHeight="1"/>
    <row r="137" ht="28.5" customHeight="1"/>
    <row r="138" ht="28.5" customHeight="1"/>
    <row r="139" ht="28.5" customHeight="1"/>
    <row r="140" ht="28.5" customHeight="1"/>
    <row r="141" ht="28.5" customHeight="1"/>
    <row r="142" ht="28.5" customHeight="1"/>
    <row r="143" ht="28.5" customHeight="1"/>
    <row r="144" ht="28.5" customHeight="1"/>
    <row r="145" ht="28.5" customHeight="1"/>
    <row r="146" ht="28.5" customHeight="1"/>
    <row r="147" ht="28.5" customHeight="1"/>
    <row r="148" ht="28.5" customHeight="1"/>
    <row r="149" ht="28.5" customHeight="1"/>
    <row r="150" ht="28.5" customHeight="1"/>
    <row r="151" ht="28.5" customHeight="1"/>
    <row r="152" ht="28.5" customHeight="1"/>
    <row r="153" ht="28.5" customHeight="1"/>
    <row r="154" ht="28.5" customHeight="1"/>
    <row r="155" ht="28.5" customHeight="1"/>
    <row r="156" ht="28.5" customHeight="1"/>
    <row r="157" ht="28.5" customHeight="1"/>
    <row r="158" ht="28.5" customHeight="1"/>
    <row r="159" ht="28.5" customHeight="1"/>
    <row r="160" ht="28.5" customHeight="1"/>
    <row r="161" ht="28.5" customHeight="1"/>
    <row r="162" ht="28.5" customHeight="1"/>
    <row r="163" ht="28.5" customHeight="1"/>
    <row r="164" ht="28.5" customHeight="1"/>
    <row r="165" ht="28.5" customHeight="1"/>
    <row r="166" ht="28.5" customHeight="1"/>
    <row r="167" ht="28.5" customHeight="1"/>
    <row r="168" ht="28.5" customHeight="1"/>
    <row r="169" ht="28.5" customHeight="1"/>
    <row r="170" ht="28.5" customHeight="1"/>
    <row r="171" ht="28.5" customHeight="1"/>
    <row r="172" ht="28.5" customHeight="1"/>
    <row r="173" ht="28.5" customHeight="1"/>
    <row r="174" ht="28.5" customHeight="1"/>
    <row r="175" ht="28.5" customHeight="1"/>
    <row r="176" ht="28.5" customHeight="1"/>
    <row r="177" ht="28.5" customHeight="1"/>
    <row r="178" ht="28.5" customHeight="1"/>
    <row r="179" ht="28.5" customHeight="1"/>
    <row r="180" ht="28.5" customHeight="1"/>
    <row r="181" ht="28.5" customHeight="1"/>
    <row r="182" ht="28.5" customHeight="1"/>
    <row r="183" ht="28.5" customHeight="1"/>
    <row r="184" ht="28.5" customHeight="1"/>
    <row r="185" ht="28.5" customHeight="1"/>
    <row r="186" ht="28.5" customHeight="1"/>
    <row r="187" ht="28.5" customHeight="1"/>
    <row r="188" ht="28.5" customHeight="1"/>
    <row r="189" ht="28.5" customHeight="1"/>
    <row r="190" ht="28.5" customHeight="1"/>
    <row r="191" ht="28.5" customHeight="1"/>
    <row r="192" ht="28.5" customHeight="1"/>
    <row r="193" ht="28.5" customHeight="1"/>
    <row r="194" ht="28.5" customHeight="1"/>
    <row r="195" ht="28.5" customHeight="1"/>
    <row r="196" ht="28.5" customHeight="1"/>
    <row r="197" ht="28.5" customHeight="1"/>
    <row r="198" ht="28.5" customHeight="1"/>
    <row r="199" ht="28.5" customHeight="1"/>
    <row r="200" ht="28.5" customHeight="1"/>
    <row r="201" ht="28.5" customHeight="1"/>
    <row r="202" ht="28.5" customHeight="1"/>
    <row r="203" ht="28.5" customHeight="1"/>
    <row r="204" ht="28.5" customHeight="1"/>
    <row r="205" ht="28.5" customHeight="1"/>
    <row r="206" ht="28.5" customHeight="1"/>
    <row r="207" ht="28.5" customHeight="1"/>
    <row r="208" ht="28.5" customHeight="1"/>
    <row r="209" ht="28.5" customHeight="1"/>
    <row r="210" ht="28.5" customHeight="1"/>
    <row r="211" ht="28.5" customHeight="1"/>
    <row r="212" ht="28.5" customHeight="1"/>
    <row r="213" ht="28.5" customHeight="1"/>
    <row r="214" ht="28.5" customHeight="1"/>
    <row r="215" ht="28.5" customHeight="1"/>
    <row r="216" ht="28.5" customHeight="1"/>
    <row r="217" ht="28.5" customHeight="1"/>
    <row r="218" ht="28.5" customHeight="1"/>
    <row r="219" ht="28.5" customHeight="1"/>
    <row r="220" ht="28.5" customHeight="1"/>
    <row r="221" ht="28.5" customHeight="1"/>
    <row r="222" ht="28.5" customHeight="1"/>
    <row r="223" ht="28.5" customHeight="1"/>
    <row r="224" ht="28.5" customHeight="1"/>
    <row r="225" ht="28.5" customHeight="1"/>
    <row r="226" ht="28.5" customHeight="1"/>
    <row r="227" ht="28.5" customHeight="1"/>
    <row r="228" ht="28.5" customHeight="1"/>
    <row r="229" ht="28.5" customHeight="1"/>
    <row r="230" ht="28.5" customHeight="1"/>
    <row r="231" ht="28.5" customHeight="1"/>
    <row r="232" ht="28.5" customHeight="1"/>
    <row r="233" ht="28.5" customHeight="1"/>
    <row r="234" ht="28.5" customHeight="1"/>
    <row r="235" ht="28.5" customHeight="1"/>
    <row r="236" ht="28.5" customHeight="1"/>
    <row r="237" ht="28.5" customHeight="1"/>
    <row r="238" ht="28.5" customHeight="1"/>
    <row r="239" ht="28.5" customHeight="1"/>
    <row r="240" ht="28.5" customHeight="1"/>
    <row r="241" ht="28.5" customHeight="1"/>
    <row r="242" ht="28.5" customHeight="1"/>
    <row r="243" ht="28.5" customHeight="1"/>
    <row r="244" ht="28.5" customHeight="1"/>
    <row r="245" ht="28.5" customHeight="1"/>
    <row r="246" ht="28.5" customHeight="1"/>
    <row r="247" ht="28.5" customHeight="1"/>
    <row r="248" ht="28.5" customHeight="1"/>
    <row r="249" ht="28.5" customHeight="1"/>
    <row r="250" ht="28.5" customHeight="1"/>
    <row r="251" ht="28.5" customHeight="1"/>
    <row r="252" ht="28.5" customHeight="1"/>
    <row r="253" ht="28.5" customHeight="1"/>
    <row r="254" ht="28.5" customHeight="1"/>
    <row r="255" ht="28.5" customHeight="1"/>
    <row r="256" ht="28.5" customHeight="1"/>
    <row r="257" ht="28.5" customHeight="1"/>
    <row r="258" ht="28.5" customHeight="1"/>
    <row r="259" ht="28.5" customHeight="1"/>
    <row r="260" ht="28.5" customHeight="1"/>
    <row r="261" ht="28.5" customHeight="1"/>
    <row r="262" ht="28.5" customHeight="1"/>
    <row r="263" ht="28.5" customHeight="1"/>
    <row r="264" ht="28.5" customHeight="1"/>
    <row r="265" ht="28.5" customHeight="1"/>
    <row r="266" ht="28.5" customHeight="1"/>
    <row r="267" ht="28.5" customHeight="1"/>
    <row r="268" ht="28.5" customHeight="1"/>
    <row r="269" ht="28.5" customHeight="1"/>
    <row r="270" ht="28.5" customHeight="1"/>
    <row r="271" ht="28.5" customHeight="1"/>
    <row r="272" ht="28.5" customHeight="1"/>
    <row r="273" ht="28.5" customHeight="1"/>
    <row r="274" ht="28.5" customHeight="1"/>
    <row r="275" ht="28.5" customHeight="1"/>
    <row r="276" ht="28.5" customHeight="1"/>
    <row r="277" ht="28.5" customHeight="1"/>
    <row r="278" ht="28.5" customHeight="1"/>
    <row r="279" ht="28.5" customHeight="1"/>
    <row r="280" ht="28.5" customHeight="1"/>
    <row r="281" ht="28.5" customHeight="1"/>
    <row r="282" ht="28.5" customHeight="1"/>
    <row r="283" ht="28.5" customHeight="1"/>
    <row r="284" ht="28.5" customHeight="1"/>
    <row r="285" ht="28.5" customHeight="1"/>
    <row r="286" ht="28.5" customHeight="1"/>
    <row r="287" ht="28.5" customHeight="1"/>
    <row r="288" ht="28.5" customHeight="1"/>
    <row r="289" ht="28.5" customHeight="1"/>
    <row r="290" ht="28.5" customHeight="1"/>
    <row r="291" ht="28.5" customHeight="1"/>
    <row r="292" ht="28.5" customHeight="1"/>
    <row r="293" ht="28.5" customHeight="1"/>
    <row r="294" ht="28.5" customHeight="1"/>
    <row r="295" ht="28.5" customHeight="1"/>
    <row r="296" ht="28.5" customHeight="1"/>
    <row r="297" ht="28.5" customHeight="1"/>
    <row r="298" ht="28.5" customHeight="1"/>
    <row r="299" ht="28.5" customHeight="1"/>
    <row r="300" ht="28.5" customHeight="1"/>
    <row r="301" ht="28.5" customHeight="1"/>
    <row r="302" ht="28.5" customHeight="1"/>
    <row r="303" ht="28.5" customHeight="1"/>
    <row r="304" ht="28.5" customHeight="1"/>
    <row r="305" ht="28.5" customHeight="1"/>
    <row r="306" ht="28.5" customHeight="1"/>
    <row r="307" ht="28.5" customHeight="1"/>
    <row r="308" ht="28.5" customHeight="1"/>
    <row r="309" ht="28.5" customHeight="1"/>
    <row r="310" ht="28.5" customHeight="1"/>
    <row r="311" ht="28.5" customHeight="1"/>
    <row r="312" ht="28.5" customHeight="1"/>
    <row r="313" ht="28.5" customHeight="1"/>
    <row r="314" ht="28.5" customHeight="1"/>
    <row r="315" ht="28.5" customHeight="1"/>
    <row r="316" ht="28.5" customHeight="1"/>
    <row r="317" ht="28.5" customHeight="1"/>
    <row r="318" ht="28.5" customHeight="1"/>
    <row r="319" ht="28.5" customHeight="1"/>
    <row r="320" ht="28.5" customHeight="1"/>
    <row r="321" ht="28.5" customHeight="1"/>
    <row r="322" ht="28.5" customHeight="1"/>
    <row r="323" ht="28.5" customHeight="1"/>
    <row r="324" ht="28.5" customHeight="1"/>
    <row r="325" ht="28.5" customHeight="1"/>
    <row r="326" ht="28.5" customHeight="1"/>
    <row r="327" ht="28.5" customHeight="1"/>
    <row r="328" ht="28.5" customHeight="1"/>
    <row r="329" ht="28.5" customHeight="1"/>
    <row r="330" ht="28.5" customHeight="1"/>
    <row r="331" ht="28.5" customHeight="1"/>
    <row r="332" ht="28.5" customHeight="1"/>
    <row r="333" ht="28.5" customHeight="1"/>
    <row r="334" ht="28.5" customHeight="1"/>
    <row r="335" ht="28.5" customHeight="1"/>
    <row r="336" ht="28.5" customHeight="1"/>
    <row r="337" ht="28.5" customHeight="1"/>
    <row r="338" ht="28.5" customHeight="1"/>
    <row r="339" ht="28.5" customHeight="1"/>
    <row r="340" ht="28.5" customHeight="1"/>
    <row r="341" ht="28.5" customHeight="1"/>
    <row r="342" ht="28.5" customHeight="1"/>
    <row r="343" ht="28.5" customHeight="1"/>
    <row r="344" ht="28.5" customHeight="1"/>
    <row r="345" ht="28.5" customHeight="1"/>
    <row r="346" ht="28.5" customHeight="1"/>
    <row r="347" ht="28.5" customHeight="1"/>
    <row r="348" ht="28.5" customHeight="1"/>
    <row r="349" ht="28.5" customHeight="1"/>
    <row r="350" ht="28.5" customHeight="1"/>
    <row r="351" ht="28.5" customHeight="1"/>
    <row r="352" ht="28.5" customHeight="1"/>
    <row r="353" ht="28.5" customHeight="1"/>
    <row r="354" ht="28.5" customHeight="1"/>
    <row r="355" ht="28.5" customHeight="1"/>
    <row r="356" ht="28.5" customHeight="1"/>
    <row r="357" ht="28.5" customHeight="1"/>
    <row r="358" ht="28.5" customHeight="1"/>
    <row r="359" ht="28.5" customHeight="1"/>
    <row r="360" ht="28.5" customHeight="1"/>
    <row r="361" ht="28.5" customHeight="1"/>
    <row r="362" ht="28.5" customHeight="1"/>
    <row r="363" ht="28.5" customHeight="1"/>
    <row r="364" ht="28.5" customHeight="1"/>
    <row r="365" ht="28.5" customHeight="1"/>
    <row r="366" ht="28.5" customHeight="1"/>
    <row r="367" ht="28.5" customHeight="1"/>
    <row r="368" ht="28.5" customHeight="1"/>
    <row r="369" ht="28.5" customHeight="1"/>
    <row r="370" ht="28.5" customHeight="1"/>
    <row r="371" ht="28.5" customHeight="1"/>
    <row r="372" ht="28.5" customHeight="1"/>
    <row r="373" ht="28.5" customHeight="1"/>
    <row r="374" ht="28.5" customHeight="1"/>
    <row r="375" ht="28.5" customHeight="1"/>
    <row r="376" ht="28.5" customHeight="1"/>
    <row r="377" ht="28.5" customHeight="1"/>
    <row r="378" ht="28.5" customHeight="1"/>
    <row r="379" ht="28.5" customHeight="1"/>
    <row r="380" ht="28.5" customHeight="1"/>
    <row r="381" ht="28.5" customHeight="1"/>
    <row r="382" ht="28.5" customHeight="1"/>
    <row r="383" ht="28.5" customHeight="1"/>
    <row r="384" ht="28.5" customHeight="1"/>
    <row r="385" ht="28.5" customHeight="1"/>
    <row r="386" ht="28.5" customHeight="1"/>
    <row r="387" ht="28.5" customHeight="1"/>
    <row r="388" ht="28.5" customHeight="1"/>
    <row r="389" ht="28.5" customHeight="1"/>
    <row r="390" ht="28.5" customHeight="1"/>
    <row r="391" ht="28.5" customHeight="1"/>
    <row r="392" ht="28.5" customHeight="1"/>
    <row r="393" ht="28.5" customHeight="1"/>
    <row r="394" ht="28.5" customHeight="1"/>
    <row r="395" ht="28.5" customHeight="1"/>
    <row r="396" ht="28.5" customHeight="1"/>
    <row r="397" ht="28.5" customHeight="1"/>
    <row r="398" ht="28.5" customHeight="1"/>
    <row r="399" ht="28.5" customHeight="1"/>
    <row r="400" ht="28.5" customHeight="1"/>
    <row r="401" ht="28.5" customHeight="1"/>
    <row r="402" ht="28.5" customHeight="1"/>
    <row r="403" ht="28.5" customHeight="1"/>
    <row r="404" ht="28.5" customHeight="1"/>
    <row r="405" ht="28.5" customHeight="1"/>
    <row r="406" ht="28.5" customHeight="1"/>
    <row r="407" ht="28.5" customHeight="1"/>
    <row r="408" ht="28.5" customHeight="1"/>
    <row r="409" ht="28.5" customHeight="1"/>
    <row r="410" ht="28.5" customHeight="1"/>
    <row r="411" ht="28.5" customHeight="1"/>
    <row r="412" ht="28.5" customHeight="1"/>
    <row r="413" ht="28.5" customHeight="1"/>
    <row r="414" ht="28.5" customHeight="1"/>
    <row r="415" ht="28.5" customHeight="1"/>
    <row r="416" ht="28.5" customHeight="1"/>
    <row r="417" ht="28.5" customHeight="1"/>
    <row r="418" ht="28.5" customHeight="1"/>
    <row r="419" ht="28.5" customHeight="1"/>
    <row r="420" ht="28.5" customHeight="1"/>
    <row r="421" ht="28.5" customHeight="1"/>
    <row r="422" ht="28.5" customHeight="1"/>
    <row r="423" ht="28.5" customHeight="1"/>
    <row r="424" ht="28.5" customHeight="1"/>
    <row r="425" ht="28.5" customHeight="1"/>
    <row r="426" ht="28.5" customHeight="1"/>
    <row r="427" ht="28.5" customHeight="1"/>
    <row r="428" ht="28.5" customHeight="1"/>
    <row r="429" ht="28.5" customHeight="1"/>
    <row r="430" ht="28.5" customHeight="1"/>
    <row r="431" ht="28.5" customHeight="1"/>
    <row r="432" ht="28.5" customHeight="1"/>
    <row r="433" ht="28.5" customHeight="1"/>
    <row r="434" ht="28.5" customHeight="1"/>
    <row r="435" ht="28.5" customHeight="1"/>
    <row r="436" ht="28.5" customHeight="1"/>
    <row r="437" ht="28.5" customHeight="1"/>
    <row r="438" ht="28.5" customHeight="1"/>
    <row r="439" ht="28.5" customHeight="1"/>
    <row r="440" ht="28.5" customHeight="1"/>
    <row r="441" ht="28.5" customHeight="1"/>
    <row r="442" ht="28.5" customHeight="1"/>
    <row r="443" ht="28.5" customHeight="1"/>
    <row r="444" ht="28.5" customHeight="1"/>
    <row r="445" ht="28.5" customHeight="1"/>
    <row r="446" ht="28.5" customHeight="1"/>
    <row r="447" ht="28.5" customHeight="1"/>
    <row r="448" ht="28.5" customHeight="1"/>
    <row r="449" ht="28.5" customHeight="1"/>
    <row r="450" ht="28.5" customHeight="1"/>
    <row r="451" ht="28.5" customHeight="1"/>
    <row r="452" ht="28.5" customHeight="1"/>
    <row r="453" ht="28.5" customHeight="1"/>
    <row r="454" ht="28.5" customHeight="1"/>
    <row r="455" ht="28.5" customHeight="1"/>
    <row r="456" ht="28.5" customHeight="1"/>
    <row r="457" ht="28.5" customHeight="1"/>
    <row r="458" ht="28.5" customHeight="1"/>
    <row r="459" ht="28.5" customHeight="1"/>
    <row r="460" ht="28.5" customHeight="1"/>
    <row r="461" ht="28.5" customHeight="1"/>
    <row r="462" ht="28.5" customHeight="1"/>
    <row r="463" ht="28.5" customHeight="1"/>
    <row r="464" ht="28.5" customHeight="1"/>
    <row r="465" ht="28.5" customHeight="1"/>
    <row r="466" ht="28.5" customHeight="1"/>
    <row r="467" ht="28.5" customHeight="1"/>
    <row r="468" ht="28.5" customHeight="1"/>
    <row r="469" ht="28.5" customHeight="1"/>
    <row r="470" ht="28.5" customHeight="1"/>
    <row r="471" ht="28.5" customHeight="1"/>
    <row r="472" ht="28.5" customHeight="1"/>
    <row r="473" ht="28.5" customHeight="1"/>
    <row r="474" ht="28.5" customHeight="1"/>
    <row r="475" ht="28.5" customHeight="1"/>
    <row r="476" ht="28.5" customHeight="1"/>
    <row r="477" ht="28.5" customHeight="1"/>
    <row r="478" ht="28.5" customHeight="1"/>
    <row r="479" ht="28.5" customHeight="1"/>
    <row r="480" ht="28.5" customHeight="1"/>
    <row r="481" ht="28.5" customHeight="1"/>
    <row r="482" ht="28.5" customHeight="1"/>
    <row r="483" ht="28.5" customHeight="1"/>
    <row r="484" ht="28.5" customHeight="1"/>
    <row r="485" ht="28.5" customHeight="1"/>
    <row r="486" ht="28.5" customHeight="1"/>
    <row r="487" ht="28.5" customHeight="1"/>
    <row r="488" ht="28.5" customHeight="1"/>
    <row r="489" ht="28.5" customHeight="1"/>
    <row r="490" ht="28.5" customHeight="1"/>
    <row r="491" ht="28.5" customHeight="1"/>
    <row r="492" ht="28.5" customHeight="1"/>
    <row r="493" ht="28.5" customHeight="1"/>
    <row r="494" ht="28.5" customHeight="1"/>
    <row r="495" ht="28.5" customHeight="1"/>
    <row r="496" ht="28.5" customHeight="1"/>
    <row r="497" ht="28.5" customHeight="1"/>
    <row r="498" ht="28.5" customHeight="1"/>
    <row r="499" ht="28.5" customHeight="1"/>
    <row r="500" ht="28.5" customHeight="1"/>
    <row r="501" ht="28.5" customHeight="1"/>
    <row r="502" ht="28.5" customHeight="1"/>
    <row r="503" ht="28.5" customHeight="1"/>
    <row r="504" ht="28.5" customHeight="1"/>
    <row r="505" ht="28.5" customHeight="1"/>
    <row r="506" ht="28.5" customHeight="1"/>
    <row r="507" ht="28.5" customHeight="1"/>
    <row r="508" ht="28.5" customHeight="1"/>
    <row r="509" ht="28.5" customHeight="1"/>
    <row r="510" ht="28.5" customHeight="1"/>
    <row r="511" ht="28.5" customHeight="1"/>
    <row r="512" ht="28.5" customHeight="1"/>
    <row r="513" ht="28.5" customHeight="1"/>
    <row r="514" ht="28.5" customHeight="1"/>
    <row r="515" ht="28.5" customHeight="1"/>
    <row r="516" ht="28.5" customHeight="1"/>
    <row r="517" ht="28.5" customHeight="1"/>
    <row r="518" ht="28.5" customHeight="1"/>
    <row r="519" ht="28.5" customHeight="1"/>
    <row r="520" ht="28.5" customHeight="1"/>
    <row r="521" ht="28.5" customHeight="1"/>
    <row r="522" ht="28.5" customHeight="1"/>
    <row r="523" ht="28.5" customHeight="1"/>
    <row r="524" ht="28.5" customHeight="1"/>
    <row r="525" ht="28.5" customHeight="1"/>
    <row r="526" ht="28.5" customHeight="1"/>
    <row r="527" ht="28.5" customHeight="1"/>
    <row r="528" ht="28.5" customHeight="1"/>
    <row r="529" ht="28.5" customHeight="1"/>
    <row r="530" ht="28.5" customHeight="1"/>
    <row r="531" ht="28.5" customHeight="1"/>
    <row r="532" ht="28.5" customHeight="1"/>
    <row r="533" ht="28.5" customHeight="1"/>
    <row r="534" ht="28.5" customHeight="1"/>
    <row r="535" ht="28.5" customHeight="1"/>
    <row r="536" ht="28.5" customHeight="1"/>
    <row r="537" ht="28.5" customHeight="1"/>
    <row r="538" ht="28.5" customHeight="1"/>
    <row r="539" ht="28.5" customHeight="1"/>
    <row r="540" ht="28.5" customHeight="1"/>
    <row r="541" ht="28.5" customHeight="1"/>
    <row r="542" ht="28.5" customHeight="1"/>
    <row r="543" ht="28.5" customHeight="1"/>
    <row r="544" ht="28.5" customHeight="1"/>
    <row r="545" ht="28.5" customHeight="1"/>
    <row r="546" ht="28.5" customHeight="1"/>
    <row r="547" ht="28.5" customHeight="1"/>
    <row r="548" ht="28.5" customHeight="1"/>
    <row r="549" ht="28.5" customHeight="1"/>
    <row r="550" ht="28.5" customHeight="1"/>
    <row r="551" ht="28.5" customHeight="1"/>
    <row r="552" ht="28.5" customHeight="1"/>
    <row r="553" ht="28.5" customHeight="1"/>
    <row r="554" ht="28.5" customHeight="1"/>
    <row r="555" ht="28.5" customHeight="1"/>
    <row r="556" ht="28.5" customHeight="1"/>
    <row r="557" ht="28.5" customHeight="1"/>
    <row r="558" ht="28.5" customHeight="1"/>
    <row r="559" ht="28.5" customHeight="1"/>
    <row r="560" ht="28.5" customHeight="1"/>
    <row r="561" ht="28.5" customHeight="1"/>
    <row r="562" ht="28.5" customHeight="1"/>
    <row r="563" ht="28.5" customHeight="1"/>
    <row r="564" ht="28.5" customHeight="1"/>
    <row r="565" ht="28.5" customHeight="1"/>
    <row r="566" ht="28.5" customHeight="1"/>
    <row r="567" ht="28.5" customHeight="1"/>
    <row r="568" ht="28.5" customHeight="1"/>
    <row r="569" ht="28.5" customHeight="1"/>
    <row r="570" ht="28.5" customHeight="1"/>
    <row r="571" ht="28.5" customHeight="1"/>
    <row r="572" ht="28.5" customHeight="1"/>
    <row r="573" ht="28.5" customHeight="1"/>
    <row r="574" ht="28.5" customHeight="1"/>
    <row r="575" ht="28.5" customHeight="1"/>
    <row r="576" ht="28.5" customHeight="1"/>
    <row r="577" ht="28.5" customHeight="1"/>
    <row r="578" ht="28.5" customHeight="1"/>
    <row r="579" ht="28.5" customHeight="1"/>
    <row r="580" ht="28.5" customHeight="1"/>
    <row r="581" ht="28.5" customHeight="1"/>
    <row r="582" ht="28.5" customHeight="1"/>
    <row r="583" ht="28.5" customHeight="1"/>
    <row r="584" ht="28.5" customHeight="1"/>
    <row r="585" ht="28.5" customHeight="1"/>
    <row r="586" ht="28.5" customHeight="1"/>
    <row r="587" ht="28.5" customHeight="1"/>
    <row r="588" ht="28.5" customHeight="1"/>
    <row r="589" ht="28.5" customHeight="1"/>
    <row r="590" ht="28.5" customHeight="1"/>
    <row r="591" ht="28.5" customHeight="1"/>
    <row r="592" ht="28.5" customHeight="1"/>
    <row r="593" ht="28.5" customHeight="1"/>
    <row r="594" ht="28.5" customHeight="1"/>
    <row r="595" ht="28.5" customHeight="1"/>
    <row r="596" ht="28.5" customHeight="1"/>
    <row r="597" ht="28.5" customHeight="1"/>
    <row r="598" ht="28.5" customHeight="1"/>
    <row r="599" ht="28.5" customHeight="1"/>
    <row r="600" ht="28.5" customHeight="1"/>
    <row r="601" ht="28.5" customHeight="1"/>
    <row r="602" ht="28.5" customHeight="1"/>
    <row r="603" ht="28.5" customHeight="1"/>
    <row r="604" ht="28.5" customHeight="1"/>
    <row r="605" ht="28.5" customHeight="1"/>
    <row r="606" ht="28.5" customHeight="1"/>
    <row r="607" ht="28.5" customHeight="1"/>
    <row r="608" ht="28.5" customHeight="1"/>
    <row r="609" ht="28.5" customHeight="1"/>
    <row r="610" ht="28.5" customHeight="1"/>
    <row r="611" ht="28.5" customHeight="1"/>
    <row r="612" ht="28.5" customHeight="1"/>
    <row r="613" ht="28.5" customHeight="1"/>
    <row r="614" ht="28.5" customHeight="1"/>
    <row r="615" ht="28.5" customHeight="1"/>
    <row r="616" ht="28.5" customHeight="1"/>
    <row r="617" ht="28.5" customHeight="1"/>
    <row r="618" ht="28.5" customHeight="1"/>
    <row r="619" ht="28.5" customHeight="1"/>
    <row r="620" ht="28.5" customHeight="1"/>
    <row r="621" ht="28.5" customHeight="1"/>
    <row r="622" ht="28.5" customHeight="1"/>
    <row r="623" ht="28.5" customHeight="1"/>
    <row r="624" ht="28.5" customHeight="1"/>
    <row r="625" ht="28.5" customHeight="1"/>
    <row r="626" ht="28.5" customHeight="1"/>
    <row r="627" ht="28.5" customHeight="1"/>
    <row r="628" ht="28.5" customHeight="1"/>
    <row r="629" ht="28.5" customHeight="1"/>
    <row r="630" ht="28.5" customHeight="1"/>
    <row r="631" ht="28.5" customHeight="1"/>
    <row r="632" ht="28.5" customHeight="1"/>
    <row r="633" ht="28.5" customHeight="1"/>
    <row r="634" ht="28.5" customHeight="1"/>
    <row r="635" ht="28.5" customHeight="1"/>
    <row r="636" ht="28.5" customHeight="1"/>
    <row r="637" ht="28.5" customHeight="1"/>
    <row r="638" ht="28.5" customHeight="1"/>
    <row r="639" ht="28.5" customHeight="1"/>
    <row r="640" ht="28.5" customHeight="1"/>
    <row r="641" ht="28.5" customHeight="1"/>
    <row r="642" ht="28.5" customHeight="1"/>
    <row r="643" ht="28.5" customHeight="1"/>
    <row r="644" ht="28.5" customHeight="1"/>
    <row r="645" ht="28.5" customHeight="1"/>
    <row r="646" ht="28.5" customHeight="1"/>
    <row r="647" ht="28.5" customHeight="1"/>
    <row r="648" ht="28.5" customHeight="1"/>
    <row r="649" ht="28.5" customHeight="1"/>
    <row r="650" ht="28.5" customHeight="1"/>
    <row r="651" ht="28.5" customHeight="1"/>
    <row r="652" ht="28.5" customHeight="1"/>
    <row r="653" ht="28.5" customHeight="1"/>
    <row r="654" ht="28.5" customHeight="1"/>
    <row r="655" ht="28.5" customHeight="1"/>
    <row r="656" ht="28.5" customHeight="1"/>
    <row r="657" ht="28.5" customHeight="1"/>
    <row r="658" ht="28.5" customHeight="1"/>
    <row r="659" ht="28.5" customHeight="1"/>
    <row r="660" ht="28.5" customHeight="1"/>
    <row r="661" ht="28.5" customHeight="1"/>
    <row r="662" ht="28.5" customHeight="1"/>
    <row r="663" ht="28.5" customHeight="1"/>
    <row r="664" ht="28.5" customHeight="1"/>
    <row r="665" ht="28.5" customHeight="1"/>
    <row r="666" ht="28.5" customHeight="1"/>
    <row r="667" ht="28.5" customHeight="1"/>
    <row r="668" ht="28.5" customHeight="1"/>
    <row r="669" ht="28.5" customHeight="1"/>
    <row r="670" ht="28.5" customHeight="1"/>
    <row r="671" ht="28.5" customHeight="1"/>
    <row r="672" ht="28.5" customHeight="1"/>
    <row r="673" ht="28.5" customHeight="1"/>
    <row r="674" ht="28.5" customHeight="1"/>
    <row r="675" ht="28.5" customHeight="1"/>
    <row r="676" ht="28.5" customHeight="1"/>
    <row r="677" ht="28.5" customHeight="1"/>
    <row r="678" ht="28.5" customHeight="1"/>
    <row r="679" ht="28.5" customHeight="1"/>
    <row r="680" ht="28.5" customHeight="1"/>
    <row r="681" ht="28.5" customHeight="1"/>
    <row r="682" ht="28.5" customHeight="1"/>
    <row r="683" ht="28.5" customHeight="1"/>
    <row r="684" ht="28.5" customHeight="1"/>
    <row r="685" ht="28.5" customHeight="1"/>
    <row r="686" ht="28.5" customHeight="1"/>
    <row r="687" ht="28.5" customHeight="1"/>
    <row r="688" ht="28.5" customHeight="1"/>
    <row r="689" ht="28.5" customHeight="1"/>
    <row r="690" ht="28.5" customHeight="1"/>
    <row r="691" ht="28.5" customHeight="1"/>
    <row r="692" ht="28.5" customHeight="1"/>
    <row r="693" ht="28.5" customHeight="1"/>
    <row r="694" ht="28.5" customHeight="1"/>
    <row r="695" ht="28.5" customHeight="1"/>
    <row r="696" ht="28.5" customHeight="1"/>
    <row r="697" ht="28.5" customHeight="1"/>
    <row r="698" ht="28.5" customHeight="1"/>
    <row r="699" ht="28.5" customHeight="1"/>
    <row r="700" ht="28.5" customHeight="1"/>
    <row r="701" ht="28.5" customHeight="1"/>
    <row r="702" ht="28.5" customHeight="1"/>
    <row r="703" ht="28.5" customHeight="1"/>
    <row r="704" ht="28.5" customHeight="1"/>
    <row r="705" ht="28.5" customHeight="1"/>
    <row r="706" ht="28.5" customHeight="1"/>
    <row r="707" ht="28.5" customHeight="1"/>
    <row r="708" ht="28.5" customHeight="1"/>
    <row r="709" ht="28.5" customHeight="1"/>
    <row r="710" ht="28.5" customHeight="1"/>
    <row r="711" ht="28.5" customHeight="1"/>
    <row r="712" ht="28.5" customHeight="1"/>
    <row r="713" ht="28.5" customHeight="1"/>
    <row r="714" ht="28.5" customHeight="1"/>
    <row r="715" ht="28.5" customHeight="1"/>
    <row r="716" ht="28.5" customHeight="1"/>
    <row r="717" ht="28.5" customHeight="1"/>
    <row r="718" ht="28.5" customHeight="1"/>
    <row r="719" ht="28.5" customHeight="1"/>
    <row r="720" ht="28.5" customHeight="1"/>
    <row r="721" ht="28.5" customHeight="1"/>
    <row r="722" ht="28.5" customHeight="1"/>
    <row r="723" ht="28.5" customHeight="1"/>
    <row r="724" ht="28.5" customHeight="1"/>
    <row r="725" ht="28.5" customHeight="1"/>
    <row r="726" ht="28.5" customHeight="1"/>
    <row r="727" ht="28.5" customHeight="1"/>
    <row r="728" ht="28.5" customHeight="1"/>
    <row r="729" ht="28.5" customHeight="1"/>
    <row r="730" ht="28.5" customHeight="1"/>
    <row r="731" ht="28.5" customHeight="1"/>
    <row r="732" ht="28.5" customHeight="1"/>
    <row r="733" ht="28.5" customHeight="1"/>
    <row r="734" ht="28.5" customHeight="1"/>
    <row r="735" ht="28.5" customHeight="1"/>
    <row r="736" ht="28.5" customHeight="1"/>
    <row r="737" ht="28.5" customHeight="1"/>
    <row r="738" ht="28.5" customHeight="1"/>
    <row r="739" ht="28.5" customHeight="1"/>
    <row r="740" ht="28.5" customHeight="1"/>
    <row r="741" ht="28.5" customHeight="1"/>
    <row r="742" ht="28.5" customHeight="1"/>
    <row r="743" ht="28.5" customHeight="1"/>
    <row r="744" ht="28.5" customHeight="1"/>
    <row r="745" ht="28.5" customHeight="1"/>
    <row r="746" ht="28.5" customHeight="1"/>
    <row r="747" ht="28.5" customHeight="1"/>
    <row r="748" ht="28.5" customHeight="1"/>
    <row r="749" ht="28.5" customHeight="1"/>
    <row r="750" ht="28.5" customHeight="1"/>
    <row r="751" ht="28.5" customHeight="1"/>
    <row r="752" ht="28.5" customHeight="1"/>
    <row r="753" ht="28.5" customHeight="1"/>
    <row r="754" ht="28.5" customHeight="1"/>
    <row r="755" ht="28.5" customHeight="1"/>
    <row r="756" ht="28.5" customHeight="1"/>
    <row r="757" ht="28.5" customHeight="1"/>
    <row r="758" ht="28.5" customHeight="1"/>
    <row r="759" ht="28.5" customHeight="1"/>
    <row r="760" ht="28.5" customHeight="1"/>
    <row r="761" ht="28.5" customHeight="1"/>
    <row r="762" ht="28.5" customHeight="1"/>
    <row r="763" ht="28.5" customHeight="1"/>
    <row r="764" ht="28.5" customHeight="1"/>
    <row r="765" ht="28.5" customHeight="1"/>
    <row r="766" ht="28.5" customHeight="1"/>
    <row r="767" ht="28.5" customHeight="1"/>
    <row r="768" ht="28.5" customHeight="1"/>
    <row r="769" ht="28.5" customHeight="1"/>
    <row r="770" ht="28.5" customHeight="1"/>
    <row r="771" ht="28.5" customHeight="1"/>
    <row r="772" ht="28.5" customHeight="1"/>
    <row r="773" ht="28.5" customHeight="1"/>
    <row r="774" ht="28.5" customHeight="1"/>
    <row r="775" ht="28.5" customHeight="1"/>
    <row r="776" ht="28.5" customHeight="1"/>
    <row r="777" ht="28.5" customHeight="1"/>
    <row r="778" ht="28.5" customHeight="1"/>
    <row r="779" ht="28.5" customHeight="1"/>
    <row r="780" ht="28.5" customHeight="1"/>
    <row r="781" ht="28.5" customHeight="1"/>
    <row r="782" ht="28.5" customHeight="1"/>
    <row r="783" ht="28.5" customHeight="1"/>
    <row r="784" ht="28.5" customHeight="1"/>
    <row r="785" ht="28.5" customHeight="1"/>
    <row r="786" ht="28.5" customHeight="1"/>
    <row r="787" ht="28.5" customHeight="1"/>
    <row r="788" ht="28.5" customHeight="1"/>
    <row r="789" ht="28.5" customHeight="1"/>
    <row r="790" ht="28.5" customHeight="1"/>
    <row r="791" ht="28.5" customHeight="1"/>
    <row r="792" ht="28.5" customHeight="1"/>
    <row r="793" ht="28.5" customHeight="1"/>
    <row r="794" ht="28.5" customHeight="1"/>
    <row r="795" ht="28.5" customHeight="1"/>
    <row r="796" ht="28.5" customHeight="1"/>
    <row r="797" ht="28.5" customHeight="1"/>
    <row r="798" ht="28.5" customHeight="1"/>
    <row r="799" ht="28.5" customHeight="1"/>
    <row r="800" ht="28.5" customHeight="1"/>
    <row r="801" ht="28.5" customHeight="1"/>
    <row r="802" ht="28.5" customHeight="1"/>
    <row r="803" ht="28.5" customHeight="1"/>
    <row r="804" ht="28.5" customHeight="1"/>
    <row r="805" ht="28.5" customHeight="1"/>
    <row r="806" ht="28.5" customHeight="1"/>
    <row r="807" ht="28.5" customHeight="1"/>
    <row r="808" ht="28.5" customHeight="1"/>
    <row r="809" ht="28.5" customHeight="1"/>
    <row r="810" ht="28.5" customHeight="1"/>
    <row r="811" ht="28.5" customHeight="1"/>
    <row r="812" ht="28.5" customHeight="1"/>
    <row r="813" ht="28.5" customHeight="1"/>
    <row r="814" ht="28.5" customHeight="1"/>
    <row r="815" ht="28.5" customHeight="1"/>
    <row r="816" ht="28.5" customHeight="1"/>
    <row r="817" ht="28.5" customHeight="1"/>
    <row r="818" ht="28.5" customHeight="1"/>
    <row r="819" ht="28.5" customHeight="1"/>
    <row r="820" ht="28.5" customHeight="1"/>
    <row r="821" ht="28.5" customHeight="1"/>
    <row r="822" ht="28.5" customHeight="1"/>
    <row r="823" ht="28.5" customHeight="1"/>
    <row r="824" ht="28.5" customHeight="1"/>
    <row r="825" ht="28.5" customHeight="1"/>
    <row r="826" ht="28.5" customHeight="1"/>
    <row r="827" ht="28.5" customHeight="1"/>
    <row r="828" ht="28.5" customHeight="1"/>
    <row r="829" ht="28.5" customHeight="1"/>
    <row r="830" ht="28.5" customHeight="1"/>
    <row r="831" ht="28.5" customHeight="1"/>
    <row r="832" ht="28.5" customHeight="1"/>
    <row r="833" ht="28.5" customHeight="1"/>
    <row r="834" ht="28.5" customHeight="1"/>
    <row r="835" ht="28.5" customHeight="1"/>
    <row r="836" ht="28.5" customHeight="1"/>
    <row r="837" ht="28.5" customHeight="1"/>
    <row r="838" ht="28.5" customHeight="1"/>
    <row r="839" ht="28.5" customHeight="1"/>
    <row r="840" ht="28.5" customHeight="1"/>
    <row r="841" ht="28.5" customHeight="1"/>
    <row r="842" ht="28.5" customHeight="1"/>
    <row r="843" ht="28.5" customHeight="1"/>
    <row r="844" ht="28.5" customHeight="1"/>
    <row r="845" ht="28.5" customHeight="1"/>
    <row r="846" ht="28.5" customHeight="1"/>
    <row r="847" ht="28.5" customHeight="1"/>
    <row r="848" ht="28.5" customHeight="1"/>
    <row r="849" ht="28.5" customHeight="1"/>
    <row r="850" ht="28.5" customHeight="1"/>
    <row r="851" ht="28.5" customHeight="1"/>
    <row r="852" ht="28.5" customHeight="1"/>
    <row r="853" ht="28.5" customHeight="1"/>
    <row r="854" ht="28.5" customHeight="1"/>
    <row r="855" ht="28.5" customHeight="1"/>
    <row r="856" ht="28.5" customHeight="1"/>
    <row r="857" ht="28.5" customHeight="1"/>
    <row r="858" ht="28.5" customHeight="1"/>
    <row r="859" ht="28.5" customHeight="1"/>
    <row r="860" ht="28.5" customHeight="1"/>
    <row r="861" ht="28.5" customHeight="1"/>
    <row r="862" ht="28.5" customHeight="1"/>
    <row r="863" ht="28.5" customHeight="1"/>
    <row r="864" ht="28.5" customHeight="1"/>
    <row r="865" ht="28.5" customHeight="1"/>
    <row r="866" ht="28.5" customHeight="1"/>
    <row r="867" ht="28.5" customHeight="1"/>
    <row r="868" ht="28.5" customHeight="1"/>
    <row r="869" ht="28.5" customHeight="1"/>
    <row r="870" ht="28.5" customHeight="1"/>
    <row r="871" ht="28.5" customHeight="1"/>
    <row r="872" ht="28.5" customHeight="1"/>
    <row r="873" ht="28.5" customHeight="1"/>
    <row r="874" ht="28.5" customHeight="1"/>
    <row r="875" ht="28.5" customHeight="1"/>
    <row r="876" ht="28.5" customHeight="1"/>
    <row r="877" ht="28.5" customHeight="1"/>
    <row r="878" ht="28.5" customHeight="1"/>
    <row r="879" ht="28.5" customHeight="1"/>
    <row r="880" ht="28.5" customHeight="1"/>
    <row r="881" ht="28.5" customHeight="1"/>
    <row r="882" ht="28.5" customHeight="1"/>
    <row r="883" ht="28.5" customHeight="1"/>
    <row r="884" ht="28.5" customHeight="1"/>
    <row r="885" ht="28.5" customHeight="1"/>
    <row r="886" ht="28.5" customHeight="1"/>
    <row r="887" ht="28.5" customHeight="1"/>
    <row r="888" ht="28.5" customHeight="1"/>
    <row r="889" ht="28.5" customHeight="1"/>
    <row r="890" ht="28.5" customHeight="1"/>
    <row r="891" ht="28.5" customHeight="1"/>
    <row r="892" ht="28.5" customHeight="1"/>
    <row r="893" ht="28.5" customHeight="1"/>
    <row r="894" ht="28.5" customHeight="1"/>
    <row r="895" ht="28.5" customHeight="1"/>
    <row r="896" ht="28.5" customHeight="1"/>
    <row r="897" ht="28.5" customHeight="1"/>
    <row r="898" ht="28.5" customHeight="1"/>
    <row r="899" ht="28.5" customHeight="1"/>
    <row r="900" ht="28.5" customHeight="1"/>
    <row r="901" ht="28.5" customHeight="1"/>
    <row r="902" ht="28.5" customHeight="1"/>
    <row r="903" ht="28.5" customHeight="1"/>
    <row r="904" ht="28.5" customHeight="1"/>
    <row r="905" ht="28.5" customHeight="1"/>
    <row r="906" ht="28.5" customHeight="1"/>
    <row r="907" ht="28.5" customHeight="1"/>
    <row r="908" ht="28.5" customHeight="1"/>
    <row r="909" ht="28.5" customHeight="1"/>
    <row r="910" ht="28.5" customHeight="1"/>
    <row r="911" ht="28.5" customHeight="1"/>
    <row r="912" ht="28.5" customHeight="1"/>
    <row r="913" ht="28.5" customHeight="1"/>
    <row r="914" ht="28.5" customHeight="1"/>
    <row r="915" ht="28.5" customHeight="1"/>
    <row r="916" ht="28.5" customHeight="1"/>
    <row r="917" ht="28.5" customHeight="1"/>
    <row r="918" ht="28.5" customHeight="1"/>
    <row r="919" ht="28.5" customHeight="1"/>
    <row r="920" ht="28.5" customHeight="1"/>
    <row r="921" ht="28.5" customHeight="1"/>
    <row r="922" ht="28.5" customHeight="1"/>
    <row r="923" ht="28.5" customHeight="1"/>
    <row r="924" ht="28.5" customHeight="1"/>
    <row r="925" ht="28.5" customHeight="1"/>
    <row r="926" ht="28.5" customHeight="1"/>
    <row r="927" ht="28.5" customHeight="1"/>
    <row r="928" ht="28.5" customHeight="1"/>
    <row r="929" ht="28.5" customHeight="1"/>
    <row r="930" ht="28.5" customHeight="1"/>
    <row r="931" ht="28.5" customHeight="1"/>
    <row r="932" ht="28.5" customHeight="1"/>
    <row r="933" ht="28.5" customHeight="1"/>
    <row r="934" ht="28.5" customHeight="1"/>
    <row r="935" ht="28.5" customHeight="1"/>
    <row r="936" ht="28.5" customHeight="1"/>
    <row r="937" ht="28.5" customHeight="1"/>
    <row r="938" ht="28.5" customHeight="1"/>
    <row r="939" ht="28.5" customHeight="1"/>
    <row r="940" ht="28.5" customHeight="1"/>
    <row r="941" ht="28.5" customHeight="1"/>
    <row r="942" ht="28.5" customHeight="1"/>
    <row r="943" ht="28.5" customHeight="1"/>
    <row r="944" ht="28.5" customHeight="1"/>
    <row r="945" ht="28.5" customHeight="1"/>
    <row r="946" ht="28.5" customHeight="1"/>
    <row r="947" ht="28.5" customHeight="1"/>
    <row r="948" ht="28.5" customHeight="1"/>
    <row r="949" ht="28.5" customHeight="1"/>
    <row r="950" ht="28.5" customHeight="1"/>
    <row r="951" ht="28.5" customHeight="1"/>
    <row r="952" ht="28.5" customHeight="1"/>
    <row r="953" ht="28.5" customHeight="1"/>
    <row r="954" ht="28.5" customHeight="1"/>
    <row r="955" ht="28.5" customHeight="1"/>
    <row r="956" ht="28.5" customHeight="1"/>
    <row r="957" ht="28.5" customHeight="1"/>
    <row r="958" ht="28.5" customHeight="1"/>
    <row r="959" ht="28.5" customHeight="1"/>
    <row r="960" ht="28.5" customHeight="1"/>
    <row r="961" ht="28.5" customHeight="1"/>
    <row r="962" ht="28.5" customHeight="1"/>
    <row r="963" ht="28.5" customHeight="1"/>
    <row r="964" ht="28.5" customHeight="1"/>
    <row r="965" ht="28.5" customHeight="1"/>
    <row r="966" ht="28.5" customHeight="1"/>
    <row r="967" ht="28.5" customHeight="1"/>
    <row r="968" ht="28.5" customHeight="1"/>
    <row r="969" ht="28.5" customHeight="1"/>
    <row r="970" ht="28.5" customHeight="1"/>
    <row r="971" ht="28.5" customHeight="1"/>
    <row r="972" ht="28.5" customHeight="1"/>
    <row r="973" ht="28.5" customHeight="1"/>
    <row r="974" ht="28.5" customHeight="1"/>
    <row r="975" ht="28.5" customHeight="1"/>
    <row r="976" ht="28.5" customHeight="1"/>
    <row r="977" ht="28.5" customHeight="1"/>
    <row r="978" ht="28.5" customHeight="1"/>
    <row r="979" ht="28.5" customHeight="1"/>
    <row r="980" ht="28.5" customHeight="1"/>
    <row r="981" ht="28.5" customHeight="1"/>
    <row r="982" ht="28.5" customHeight="1"/>
    <row r="983" ht="28.5" customHeight="1"/>
    <row r="984" ht="28.5" customHeight="1"/>
    <row r="985" ht="28.5" customHeight="1"/>
    <row r="986" ht="28.5" customHeight="1"/>
    <row r="987" ht="28.5" customHeight="1"/>
    <row r="988" ht="28.5" customHeight="1"/>
    <row r="989" ht="28.5" customHeight="1"/>
    <row r="990" ht="28.5" customHeight="1"/>
    <row r="991" ht="28.5" customHeight="1"/>
    <row r="992" ht="28.5" customHeight="1"/>
    <row r="993" ht="28.5" customHeight="1"/>
    <row r="994" ht="28.5" customHeight="1"/>
    <row r="995" ht="28.5" customHeight="1"/>
    <row r="996" ht="28.5" customHeight="1"/>
    <row r="997" ht="28.5" customHeight="1"/>
    <row r="998" ht="28.5" customHeight="1"/>
    <row r="999" ht="28.5" customHeight="1"/>
    <row r="1000" ht="28.5" customHeight="1"/>
    <row r="1001" ht="28.5" customHeight="1"/>
    <row r="1002" ht="28.5" customHeight="1"/>
    <row r="1003" ht="28.5" customHeight="1"/>
    <row r="1004" ht="28.5" customHeight="1"/>
  </sheetData>
  <hyperlinks>
    <hyperlink r:id="rId1" ref="J3"/>
    <hyperlink r:id="rId2" ref="J6"/>
    <hyperlink r:id="rId3" ref="J7"/>
    <hyperlink r:id="rId4" ref="J9"/>
    <hyperlink r:id="rId5" ref="J10"/>
    <hyperlink r:id="rId6" ref="J11"/>
    <hyperlink r:id="rId7" ref="J12"/>
    <hyperlink r:id="rId8" ref="J13"/>
    <hyperlink r:id="rId9" ref="J14"/>
    <hyperlink r:id="rId10" ref="J15"/>
    <hyperlink r:id="rId11" ref="J19"/>
    <hyperlink r:id="rId12" ref="J20"/>
  </hyperlinks>
  <printOptions/>
  <pageMargins bottom="1.0" footer="0.0" header="0.0" left="0.75" right="0.75" top="1.0"/>
  <pageSetup orientation="landscape"/>
  <headerFooter>
    <oddHeader>&amp;L000000UGANDAN UMAPS SCHOLARS, 2008-14</oddHeader>
  </headerFooter>
  <drawing r:id="rId1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14"/>
    <col customWidth="1" min="2" max="2" width="15.43"/>
    <col customWidth="1" min="3" max="3" width="14.29"/>
    <col customWidth="1" min="4" max="4" width="17.86"/>
    <col customWidth="1" min="5" max="5" width="15.43"/>
    <col customWidth="1" min="6" max="6" width="8.86"/>
    <col customWidth="1" min="7" max="7" width="16.14"/>
    <col customWidth="1" min="8" max="8" width="21.0"/>
    <col customWidth="1" min="9" max="9" width="16.71"/>
    <col customWidth="1" min="10" max="10" width="27.29"/>
    <col customWidth="1" min="11" max="11" width="15.71"/>
    <col customWidth="1" min="12" max="12" width="29.43"/>
    <col customWidth="1" min="13" max="13" width="21.0"/>
    <col customWidth="1" min="14" max="14" width="45.29"/>
    <col customWidth="1" min="15" max="26" width="8.86"/>
  </cols>
  <sheetData>
    <row r="1" ht="54.0" customHeight="1">
      <c r="A1" s="328" t="s">
        <v>2805</v>
      </c>
      <c r="B1" s="329" t="s">
        <v>2962</v>
      </c>
      <c r="C1" s="330"/>
      <c r="D1" s="330"/>
      <c r="E1" s="330"/>
      <c r="F1" s="330"/>
      <c r="G1" s="330"/>
      <c r="H1" s="330"/>
      <c r="I1" s="330"/>
      <c r="J1" s="330"/>
      <c r="K1" s="330"/>
      <c r="L1" s="330"/>
      <c r="M1" s="330"/>
      <c r="N1" s="330"/>
      <c r="O1" s="331"/>
      <c r="P1" s="331"/>
      <c r="Q1" s="331"/>
      <c r="R1" s="331"/>
      <c r="S1" s="331"/>
      <c r="T1" s="331"/>
      <c r="U1" s="331"/>
      <c r="V1" s="331"/>
      <c r="W1" s="331"/>
      <c r="X1" s="331"/>
      <c r="Y1" s="331"/>
      <c r="Z1" s="331"/>
    </row>
    <row r="2">
      <c r="A2" s="332" t="s">
        <v>0</v>
      </c>
      <c r="B2" s="333" t="s">
        <v>2585</v>
      </c>
      <c r="C2" s="333" t="s">
        <v>2</v>
      </c>
      <c r="D2" s="333" t="s">
        <v>2807</v>
      </c>
      <c r="E2" s="333" t="s">
        <v>2808</v>
      </c>
      <c r="F2" s="333" t="s">
        <v>5</v>
      </c>
      <c r="G2" s="333" t="s">
        <v>6</v>
      </c>
      <c r="H2" s="333" t="s">
        <v>2963</v>
      </c>
      <c r="I2" s="333" t="s">
        <v>2586</v>
      </c>
      <c r="J2" s="333" t="s">
        <v>10</v>
      </c>
      <c r="K2" s="333" t="s">
        <v>11</v>
      </c>
      <c r="L2" s="333" t="s">
        <v>12</v>
      </c>
      <c r="M2" s="333" t="s">
        <v>2587</v>
      </c>
      <c r="N2" s="333" t="s">
        <v>14</v>
      </c>
      <c r="O2" s="175"/>
      <c r="P2" s="175"/>
      <c r="Q2" s="175"/>
      <c r="R2" s="175"/>
      <c r="S2" s="175"/>
      <c r="T2" s="175"/>
      <c r="U2" s="175"/>
      <c r="V2" s="175"/>
      <c r="W2" s="175"/>
      <c r="X2" s="175"/>
      <c r="Y2" s="175"/>
      <c r="Z2" s="175"/>
    </row>
    <row r="3">
      <c r="A3" s="259">
        <v>1.0</v>
      </c>
      <c r="B3" s="274" t="s">
        <v>1036</v>
      </c>
      <c r="C3" s="274" t="s">
        <v>1037</v>
      </c>
      <c r="D3" s="274" t="s">
        <v>1038</v>
      </c>
      <c r="E3" s="274" t="s">
        <v>2953</v>
      </c>
      <c r="F3" s="274" t="s">
        <v>1027</v>
      </c>
      <c r="G3" s="274" t="s">
        <v>1019</v>
      </c>
      <c r="H3" s="274" t="s">
        <v>1040</v>
      </c>
      <c r="I3" s="280" t="s">
        <v>2964</v>
      </c>
      <c r="J3" s="334" t="s">
        <v>1042</v>
      </c>
      <c r="K3" s="276"/>
      <c r="L3" s="274" t="s">
        <v>1043</v>
      </c>
      <c r="M3" s="274"/>
      <c r="N3" s="274" t="s">
        <v>1044</v>
      </c>
    </row>
    <row r="4">
      <c r="A4" s="259">
        <v>2.0</v>
      </c>
      <c r="B4" s="274" t="s">
        <v>1048</v>
      </c>
      <c r="C4" s="274" t="s">
        <v>1049</v>
      </c>
      <c r="D4" s="274" t="s">
        <v>1038</v>
      </c>
      <c r="E4" s="274"/>
      <c r="F4" s="274" t="s">
        <v>1027</v>
      </c>
      <c r="G4" s="274" t="s">
        <v>1019</v>
      </c>
      <c r="H4" s="274" t="s">
        <v>1050</v>
      </c>
      <c r="I4" s="280" t="s">
        <v>2965</v>
      </c>
      <c r="J4" s="278" t="s">
        <v>1051</v>
      </c>
      <c r="K4" s="276"/>
      <c r="L4" s="274" t="s">
        <v>1052</v>
      </c>
      <c r="M4" s="274"/>
      <c r="N4" s="274" t="s">
        <v>1053</v>
      </c>
    </row>
    <row r="5">
      <c r="A5" s="259">
        <v>3.0</v>
      </c>
      <c r="B5" s="274" t="s">
        <v>1059</v>
      </c>
      <c r="C5" s="274" t="s">
        <v>1060</v>
      </c>
      <c r="D5" s="274" t="s">
        <v>1038</v>
      </c>
      <c r="E5" s="274"/>
      <c r="F5" s="274" t="s">
        <v>1018</v>
      </c>
      <c r="G5" s="274" t="s">
        <v>1019</v>
      </c>
      <c r="H5" s="274" t="s">
        <v>1061</v>
      </c>
      <c r="I5" s="280" t="s">
        <v>2966</v>
      </c>
      <c r="J5" s="278" t="s">
        <v>1063</v>
      </c>
      <c r="K5" s="274"/>
      <c r="L5" s="274" t="s">
        <v>1064</v>
      </c>
      <c r="M5" s="274"/>
      <c r="N5" s="274" t="s">
        <v>1065</v>
      </c>
    </row>
    <row r="6">
      <c r="A6" s="259">
        <v>4.0</v>
      </c>
      <c r="B6" s="274" t="s">
        <v>2697</v>
      </c>
      <c r="C6" s="274" t="s">
        <v>2698</v>
      </c>
      <c r="D6" s="274" t="s">
        <v>1038</v>
      </c>
      <c r="E6" s="274"/>
      <c r="F6" s="274" t="s">
        <v>1027</v>
      </c>
      <c r="G6" s="274" t="s">
        <v>1019</v>
      </c>
      <c r="H6" s="274" t="s">
        <v>1088</v>
      </c>
      <c r="I6" s="280" t="s">
        <v>2965</v>
      </c>
      <c r="J6" s="278" t="s">
        <v>2967</v>
      </c>
      <c r="K6" s="274"/>
      <c r="L6" s="274" t="s">
        <v>1090</v>
      </c>
      <c r="M6" s="274" t="s">
        <v>2968</v>
      </c>
      <c r="N6" s="274" t="s">
        <v>338</v>
      </c>
    </row>
    <row r="7">
      <c r="A7" s="259">
        <v>5.0</v>
      </c>
      <c r="B7" s="276" t="s">
        <v>1195</v>
      </c>
      <c r="C7" s="276" t="s">
        <v>1196</v>
      </c>
      <c r="D7" s="276" t="s">
        <v>1038</v>
      </c>
      <c r="E7" s="276"/>
      <c r="F7" s="276" t="s">
        <v>1027</v>
      </c>
      <c r="G7" s="274" t="s">
        <v>1197</v>
      </c>
      <c r="H7" s="276" t="s">
        <v>1198</v>
      </c>
      <c r="I7" s="276" t="s">
        <v>1199</v>
      </c>
      <c r="J7" s="335" t="s">
        <v>1200</v>
      </c>
      <c r="K7" s="323" t="s">
        <v>1201</v>
      </c>
      <c r="L7" s="276" t="s">
        <v>1202</v>
      </c>
      <c r="M7" s="274"/>
      <c r="N7" s="274" t="s">
        <v>1053</v>
      </c>
    </row>
    <row r="8">
      <c r="A8" s="259">
        <v>6.0</v>
      </c>
      <c r="B8" s="276" t="s">
        <v>2969</v>
      </c>
      <c r="C8" s="276" t="s">
        <v>1218</v>
      </c>
      <c r="D8" s="276" t="s">
        <v>1038</v>
      </c>
      <c r="E8" s="276"/>
      <c r="F8" s="276" t="s">
        <v>1027</v>
      </c>
      <c r="G8" s="274" t="s">
        <v>1197</v>
      </c>
      <c r="H8" s="276" t="s">
        <v>1219</v>
      </c>
      <c r="I8" s="276" t="s">
        <v>1220</v>
      </c>
      <c r="J8" s="323" t="s">
        <v>2970</v>
      </c>
      <c r="K8" s="323" t="s">
        <v>1222</v>
      </c>
      <c r="L8" s="276" t="s">
        <v>1223</v>
      </c>
      <c r="M8" s="274"/>
      <c r="N8" s="274" t="s">
        <v>1053</v>
      </c>
    </row>
    <row r="9">
      <c r="A9" s="259">
        <v>7.0</v>
      </c>
      <c r="B9" s="276" t="s">
        <v>1277</v>
      </c>
      <c r="C9" s="276" t="s">
        <v>1278</v>
      </c>
      <c r="D9" s="276" t="s">
        <v>1038</v>
      </c>
      <c r="E9" s="276"/>
      <c r="F9" s="276" t="s">
        <v>1027</v>
      </c>
      <c r="G9" s="274" t="s">
        <v>1197</v>
      </c>
      <c r="H9" s="276" t="s">
        <v>1279</v>
      </c>
      <c r="I9" s="276" t="s">
        <v>1280</v>
      </c>
      <c r="J9" s="323" t="s">
        <v>1281</v>
      </c>
      <c r="K9" s="323" t="s">
        <v>1282</v>
      </c>
      <c r="L9" s="276" t="s">
        <v>1283</v>
      </c>
      <c r="M9" s="274"/>
      <c r="N9" s="274"/>
    </row>
    <row r="10">
      <c r="A10" s="259">
        <v>8.0</v>
      </c>
      <c r="B10" s="276" t="s">
        <v>1295</v>
      </c>
      <c r="C10" s="276" t="s">
        <v>1296</v>
      </c>
      <c r="D10" s="276" t="s">
        <v>1038</v>
      </c>
      <c r="E10" s="274" t="s">
        <v>2953</v>
      </c>
      <c r="F10" s="276" t="s">
        <v>1018</v>
      </c>
      <c r="G10" s="274" t="s">
        <v>1197</v>
      </c>
      <c r="H10" s="276" t="s">
        <v>1297</v>
      </c>
      <c r="I10" s="276" t="s">
        <v>1298</v>
      </c>
      <c r="J10" s="276" t="s">
        <v>1299</v>
      </c>
      <c r="K10" s="276" t="s">
        <v>1300</v>
      </c>
      <c r="L10" s="276" t="s">
        <v>1301</v>
      </c>
      <c r="M10" s="274"/>
      <c r="N10" s="274" t="s">
        <v>1303</v>
      </c>
    </row>
    <row r="11">
      <c r="A11" s="259">
        <v>9.0</v>
      </c>
      <c r="B11" s="276" t="s">
        <v>1306</v>
      </c>
      <c r="C11" s="276" t="s">
        <v>1307</v>
      </c>
      <c r="D11" s="276" t="s">
        <v>1038</v>
      </c>
      <c r="E11" s="276"/>
      <c r="F11" s="276" t="s">
        <v>1027</v>
      </c>
      <c r="G11" s="274" t="s">
        <v>1197</v>
      </c>
      <c r="H11" s="276" t="s">
        <v>1308</v>
      </c>
      <c r="I11" s="276" t="s">
        <v>1309</v>
      </c>
      <c r="J11" s="323" t="s">
        <v>1310</v>
      </c>
      <c r="K11" s="323" t="s">
        <v>1311</v>
      </c>
      <c r="L11" s="276" t="s">
        <v>1312</v>
      </c>
      <c r="M11" s="274"/>
      <c r="N11" s="274" t="s">
        <v>1314</v>
      </c>
    </row>
    <row r="12">
      <c r="A12" s="259">
        <v>10.0</v>
      </c>
      <c r="B12" s="324" t="s">
        <v>1469</v>
      </c>
      <c r="C12" s="324" t="s">
        <v>1470</v>
      </c>
      <c r="D12" s="288" t="s">
        <v>1038</v>
      </c>
      <c r="E12" s="288"/>
      <c r="F12" s="288" t="s">
        <v>1027</v>
      </c>
      <c r="G12" s="274" t="s">
        <v>1318</v>
      </c>
      <c r="H12" s="274" t="s">
        <v>1471</v>
      </c>
      <c r="I12" s="274" t="s">
        <v>2971</v>
      </c>
      <c r="J12" s="274" t="s">
        <v>1473</v>
      </c>
      <c r="K12" s="288"/>
      <c r="L12" s="274" t="s">
        <v>1475</v>
      </c>
      <c r="M12" s="274"/>
      <c r="N12" s="274"/>
    </row>
    <row r="13">
      <c r="A13" s="259">
        <v>11.0</v>
      </c>
      <c r="B13" s="274" t="s">
        <v>1498</v>
      </c>
      <c r="C13" s="274" t="s">
        <v>1499</v>
      </c>
      <c r="D13" s="280" t="s">
        <v>1038</v>
      </c>
      <c r="E13" s="274"/>
      <c r="F13" s="274" t="s">
        <v>89</v>
      </c>
      <c r="G13" s="274" t="s">
        <v>1489</v>
      </c>
      <c r="H13" s="274" t="s">
        <v>1501</v>
      </c>
      <c r="I13" s="274" t="s">
        <v>1502</v>
      </c>
      <c r="J13" s="274" t="s">
        <v>1503</v>
      </c>
      <c r="K13" s="276" t="s">
        <v>1504</v>
      </c>
      <c r="L13" s="274" t="s">
        <v>1505</v>
      </c>
      <c r="N13" s="274" t="s">
        <v>2972</v>
      </c>
    </row>
    <row r="14">
      <c r="A14" s="259">
        <v>12.0</v>
      </c>
      <c r="B14" s="274" t="s">
        <v>1581</v>
      </c>
      <c r="C14" s="274" t="s">
        <v>1582</v>
      </c>
      <c r="D14" s="280" t="s">
        <v>1038</v>
      </c>
      <c r="E14" s="274"/>
      <c r="F14" s="274" t="s">
        <v>41</v>
      </c>
      <c r="G14" s="274" t="s">
        <v>1489</v>
      </c>
      <c r="H14" s="274" t="s">
        <v>1583</v>
      </c>
      <c r="I14" s="274" t="s">
        <v>1584</v>
      </c>
      <c r="J14" s="274" t="s">
        <v>1585</v>
      </c>
      <c r="K14" s="276" t="s">
        <v>1586</v>
      </c>
      <c r="L14" s="274" t="s">
        <v>1587</v>
      </c>
      <c r="M14" s="274"/>
      <c r="N14" s="274" t="s">
        <v>2973</v>
      </c>
    </row>
    <row r="15">
      <c r="A15" s="259">
        <v>13.0</v>
      </c>
      <c r="B15" s="283" t="s">
        <v>1664</v>
      </c>
      <c r="C15" s="283" t="s">
        <v>1665</v>
      </c>
      <c r="D15" s="283" t="s">
        <v>1038</v>
      </c>
      <c r="E15" s="283"/>
      <c r="F15" s="283" t="s">
        <v>41</v>
      </c>
      <c r="G15" s="283" t="s">
        <v>1633</v>
      </c>
      <c r="H15" s="336"/>
      <c r="I15" s="283" t="s">
        <v>1584</v>
      </c>
      <c r="J15" s="337" t="s">
        <v>1669</v>
      </c>
      <c r="K15" s="336"/>
      <c r="L15" s="283" t="s">
        <v>1670</v>
      </c>
      <c r="M15" s="336"/>
      <c r="N15" s="336"/>
    </row>
    <row r="16">
      <c r="A16" s="259">
        <v>14.0</v>
      </c>
      <c r="B16" s="283" t="s">
        <v>1712</v>
      </c>
      <c r="C16" s="283" t="s">
        <v>1713</v>
      </c>
      <c r="D16" s="283" t="s">
        <v>1038</v>
      </c>
      <c r="E16" s="283"/>
      <c r="F16" s="283" t="s">
        <v>89</v>
      </c>
      <c r="G16" s="283" t="s">
        <v>1633</v>
      </c>
      <c r="H16" s="336"/>
      <c r="I16" s="283" t="s">
        <v>2974</v>
      </c>
      <c r="J16" s="337" t="s">
        <v>1669</v>
      </c>
      <c r="K16" s="336"/>
      <c r="L16" s="283" t="s">
        <v>1716</v>
      </c>
      <c r="M16" s="336"/>
      <c r="N16" s="336"/>
    </row>
    <row r="17">
      <c r="A17" s="290">
        <v>15.0</v>
      </c>
      <c r="B17" s="283" t="s">
        <v>1727</v>
      </c>
      <c r="C17" s="283" t="s">
        <v>1728</v>
      </c>
      <c r="D17" s="283" t="s">
        <v>1038</v>
      </c>
      <c r="E17" s="283"/>
      <c r="F17" s="283" t="s">
        <v>41</v>
      </c>
      <c r="G17" s="283" t="s">
        <v>1633</v>
      </c>
      <c r="H17" s="336"/>
      <c r="I17" s="283" t="s">
        <v>1220</v>
      </c>
      <c r="J17" s="283" t="s">
        <v>2975</v>
      </c>
      <c r="K17" s="336"/>
      <c r="L17" s="283" t="s">
        <v>1732</v>
      </c>
      <c r="M17" s="336"/>
      <c r="N17" s="336"/>
    </row>
    <row r="18">
      <c r="A18" s="290">
        <v>16.0</v>
      </c>
      <c r="B18" s="279" t="s">
        <v>1833</v>
      </c>
      <c r="C18" s="279" t="s">
        <v>1834</v>
      </c>
      <c r="D18" s="279" t="s">
        <v>1038</v>
      </c>
      <c r="E18" s="279"/>
      <c r="F18" s="279" t="s">
        <v>1027</v>
      </c>
      <c r="G18" s="279" t="s">
        <v>1737</v>
      </c>
      <c r="H18" s="285" t="s">
        <v>1835</v>
      </c>
      <c r="I18" s="279" t="s">
        <v>1836</v>
      </c>
      <c r="J18" s="338"/>
      <c r="K18" s="288"/>
      <c r="L18" s="274"/>
      <c r="M18" s="274"/>
      <c r="N18" s="274"/>
    </row>
    <row r="19">
      <c r="A19" s="290">
        <v>17.0</v>
      </c>
      <c r="B19" s="324" t="s">
        <v>1427</v>
      </c>
      <c r="C19" s="276" t="s">
        <v>1428</v>
      </c>
      <c r="D19" s="288" t="s">
        <v>1429</v>
      </c>
      <c r="E19" s="283"/>
      <c r="F19" s="288" t="s">
        <v>1027</v>
      </c>
      <c r="G19" s="274" t="s">
        <v>1318</v>
      </c>
      <c r="H19" s="274" t="s">
        <v>2976</v>
      </c>
      <c r="I19" s="280" t="s">
        <v>2977</v>
      </c>
      <c r="J19" s="339" t="s">
        <v>1432</v>
      </c>
      <c r="K19" s="288"/>
      <c r="L19" s="274" t="s">
        <v>1434</v>
      </c>
      <c r="M19" s="274"/>
      <c r="N19" s="274" t="s">
        <v>1399</v>
      </c>
    </row>
    <row r="20">
      <c r="A20" s="290">
        <v>18.0</v>
      </c>
      <c r="B20" s="285" t="s">
        <v>1742</v>
      </c>
      <c r="C20" s="340" t="s">
        <v>1743</v>
      </c>
      <c r="D20" s="288" t="s">
        <v>1429</v>
      </c>
      <c r="E20" s="285"/>
      <c r="F20" s="285" t="s">
        <v>1027</v>
      </c>
      <c r="G20" s="285" t="s">
        <v>1737</v>
      </c>
      <c r="H20" s="285" t="s">
        <v>1745</v>
      </c>
      <c r="I20" s="285" t="s">
        <v>1746</v>
      </c>
      <c r="J20" s="285" t="s">
        <v>1747</v>
      </c>
      <c r="K20" s="298"/>
      <c r="L20" s="285" t="s">
        <v>1748</v>
      </c>
      <c r="M20" s="274"/>
      <c r="N20" s="274"/>
    </row>
    <row r="21">
      <c r="A21" s="290">
        <v>19.0</v>
      </c>
      <c r="B21" s="279" t="s">
        <v>1779</v>
      </c>
      <c r="C21" s="279" t="s">
        <v>1780</v>
      </c>
      <c r="D21" s="280" t="s">
        <v>1429</v>
      </c>
      <c r="E21" s="295"/>
      <c r="F21" s="279" t="s">
        <v>1027</v>
      </c>
      <c r="G21" s="279" t="s">
        <v>1737</v>
      </c>
      <c r="H21" s="279" t="s">
        <v>1745</v>
      </c>
      <c r="I21" s="279" t="s">
        <v>1781</v>
      </c>
      <c r="J21" s="285"/>
      <c r="K21" s="298"/>
      <c r="L21" s="285"/>
      <c r="M21" s="274"/>
      <c r="N21" s="274"/>
    </row>
    <row r="22">
      <c r="A22" s="268">
        <v>20.0</v>
      </c>
      <c r="B22" s="279" t="s">
        <v>1992</v>
      </c>
      <c r="C22" s="279" t="s">
        <v>1665</v>
      </c>
      <c r="D22" s="279" t="s">
        <v>2978</v>
      </c>
      <c r="E22" s="279"/>
      <c r="F22" s="279" t="s">
        <v>1027</v>
      </c>
      <c r="G22" s="279" t="s">
        <v>1737</v>
      </c>
      <c r="H22" s="279" t="s">
        <v>205</v>
      </c>
      <c r="I22" s="279" t="s">
        <v>1995</v>
      </c>
      <c r="J22" s="274"/>
      <c r="K22" s="288"/>
      <c r="L22" s="274"/>
      <c r="M22" s="274"/>
      <c r="N22" s="274"/>
    </row>
    <row r="23">
      <c r="A23" s="268">
        <v>21.0</v>
      </c>
      <c r="B23" s="276" t="s">
        <v>1329</v>
      </c>
      <c r="C23" s="276" t="s">
        <v>1330</v>
      </c>
      <c r="D23" s="274" t="s">
        <v>1331</v>
      </c>
      <c r="E23" s="274" t="s">
        <v>2979</v>
      </c>
      <c r="F23" s="288" t="s">
        <v>1027</v>
      </c>
      <c r="G23" s="274" t="s">
        <v>1318</v>
      </c>
      <c r="H23" s="274" t="s">
        <v>2980</v>
      </c>
      <c r="I23" s="274" t="s">
        <v>2981</v>
      </c>
      <c r="J23" s="274" t="s">
        <v>1334</v>
      </c>
      <c r="K23" s="288"/>
      <c r="L23" s="274" t="s">
        <v>2982</v>
      </c>
      <c r="M23" s="274"/>
      <c r="N23" s="274" t="s">
        <v>2983</v>
      </c>
    </row>
    <row r="24">
      <c r="A24" s="268">
        <v>22.0</v>
      </c>
      <c r="B24" s="276" t="s">
        <v>1403</v>
      </c>
      <c r="C24" s="276" t="s">
        <v>2984</v>
      </c>
      <c r="D24" s="274" t="s">
        <v>1331</v>
      </c>
      <c r="E24" s="274" t="s">
        <v>2979</v>
      </c>
      <c r="F24" s="288" t="s">
        <v>1018</v>
      </c>
      <c r="G24" s="274" t="s">
        <v>1318</v>
      </c>
      <c r="H24" s="274" t="s">
        <v>2985</v>
      </c>
      <c r="I24" s="274" t="s">
        <v>1406</v>
      </c>
      <c r="J24" s="341" t="s">
        <v>1407</v>
      </c>
      <c r="K24" s="288"/>
      <c r="L24" s="274" t="s">
        <v>1408</v>
      </c>
      <c r="M24" s="274"/>
      <c r="N24" s="274" t="s">
        <v>2983</v>
      </c>
    </row>
    <row r="25">
      <c r="A25" s="268">
        <v>23.0</v>
      </c>
      <c r="B25" s="324" t="s">
        <v>1462</v>
      </c>
      <c r="C25" s="276" t="s">
        <v>1463</v>
      </c>
      <c r="D25" s="274" t="s">
        <v>1331</v>
      </c>
      <c r="E25" s="288"/>
      <c r="F25" s="288" t="s">
        <v>1027</v>
      </c>
      <c r="G25" s="274" t="s">
        <v>1318</v>
      </c>
      <c r="H25" s="274" t="s">
        <v>2986</v>
      </c>
      <c r="I25" s="274" t="s">
        <v>1465</v>
      </c>
      <c r="J25" s="341" t="s">
        <v>2987</v>
      </c>
      <c r="K25" s="288"/>
      <c r="L25" s="280" t="s">
        <v>1467</v>
      </c>
      <c r="M25" s="342"/>
      <c r="N25" s="165" t="s">
        <v>1409</v>
      </c>
    </row>
    <row r="26">
      <c r="A26" s="268">
        <v>24.0</v>
      </c>
      <c r="B26" s="288" t="s">
        <v>1479</v>
      </c>
      <c r="C26" s="288" t="s">
        <v>1480</v>
      </c>
      <c r="D26" s="274" t="s">
        <v>1331</v>
      </c>
      <c r="E26" s="274" t="s">
        <v>2979</v>
      </c>
      <c r="F26" s="288" t="s">
        <v>1027</v>
      </c>
      <c r="G26" s="274" t="s">
        <v>1318</v>
      </c>
      <c r="H26" s="274" t="s">
        <v>1481</v>
      </c>
      <c r="I26" s="274" t="s">
        <v>1482</v>
      </c>
      <c r="J26" s="343" t="s">
        <v>1483</v>
      </c>
      <c r="K26" s="288"/>
      <c r="L26" s="344" t="s">
        <v>1484</v>
      </c>
      <c r="M26" s="288"/>
      <c r="N26" s="274" t="s">
        <v>1336</v>
      </c>
      <c r="T26" s="345"/>
      <c r="U26" s="345"/>
      <c r="V26" s="345"/>
      <c r="W26" s="345"/>
      <c r="X26" s="345"/>
      <c r="Y26" s="345"/>
      <c r="Z26" s="345"/>
    </row>
    <row r="27">
      <c r="A27" s="268">
        <v>25.0</v>
      </c>
      <c r="B27" s="274" t="s">
        <v>1601</v>
      </c>
      <c r="C27" s="274" t="s">
        <v>1602</v>
      </c>
      <c r="D27" s="274" t="s">
        <v>1603</v>
      </c>
      <c r="E27" s="274"/>
      <c r="F27" s="274" t="s">
        <v>41</v>
      </c>
      <c r="G27" s="274" t="s">
        <v>1489</v>
      </c>
      <c r="H27" s="274" t="s">
        <v>1604</v>
      </c>
      <c r="I27" s="274" t="s">
        <v>1605</v>
      </c>
      <c r="J27" s="274" t="s">
        <v>1606</v>
      </c>
      <c r="K27" s="276" t="s">
        <v>1607</v>
      </c>
      <c r="L27" s="274" t="s">
        <v>1608</v>
      </c>
      <c r="M27" s="274"/>
      <c r="N27" s="274"/>
    </row>
    <row r="28">
      <c r="A28" s="268">
        <v>26.0</v>
      </c>
      <c r="B28" s="274" t="s">
        <v>1612</v>
      </c>
      <c r="C28" s="274" t="s">
        <v>1613</v>
      </c>
      <c r="D28" s="274" t="s">
        <v>1603</v>
      </c>
      <c r="E28" s="274"/>
      <c r="F28" s="274" t="s">
        <v>41</v>
      </c>
      <c r="G28" s="274" t="s">
        <v>1489</v>
      </c>
      <c r="H28" s="274" t="s">
        <v>2988</v>
      </c>
      <c r="I28" s="274" t="s">
        <v>1615</v>
      </c>
      <c r="J28" s="274" t="s">
        <v>1616</v>
      </c>
      <c r="K28" s="276" t="s">
        <v>1617</v>
      </c>
      <c r="L28" s="274" t="s">
        <v>1618</v>
      </c>
      <c r="M28" s="274"/>
      <c r="N28" s="274" t="s">
        <v>1619</v>
      </c>
    </row>
    <row r="29" ht="15.75" customHeight="1">
      <c r="A29" s="268">
        <v>27.0</v>
      </c>
      <c r="B29" s="283" t="s">
        <v>1059</v>
      </c>
      <c r="C29" s="283" t="s">
        <v>1648</v>
      </c>
      <c r="D29" s="283" t="s">
        <v>1603</v>
      </c>
      <c r="E29" s="283"/>
      <c r="F29" s="283" t="s">
        <v>89</v>
      </c>
      <c r="G29" s="283" t="s">
        <v>1633</v>
      </c>
      <c r="H29" s="336"/>
      <c r="I29" s="283" t="s">
        <v>2989</v>
      </c>
      <c r="J29" s="283" t="s">
        <v>2990</v>
      </c>
      <c r="K29" s="336"/>
      <c r="L29" s="346" t="s">
        <v>1653</v>
      </c>
      <c r="M29" s="336"/>
      <c r="N29" s="336"/>
      <c r="O29" s="347"/>
      <c r="P29" s="347"/>
      <c r="Q29" s="347"/>
      <c r="R29" s="347"/>
      <c r="S29" s="347"/>
      <c r="T29" s="347"/>
      <c r="U29" s="347"/>
      <c r="V29" s="347"/>
      <c r="W29" s="347"/>
      <c r="X29" s="347"/>
      <c r="Y29" s="347"/>
      <c r="Z29" s="347"/>
    </row>
    <row r="30" ht="15.75" customHeight="1">
      <c r="A30" s="268">
        <v>28.0</v>
      </c>
      <c r="B30" s="285" t="s">
        <v>1806</v>
      </c>
      <c r="C30" s="285" t="s">
        <v>1807</v>
      </c>
      <c r="D30" s="285" t="s">
        <v>1603</v>
      </c>
      <c r="E30" s="285"/>
      <c r="F30" s="285" t="s">
        <v>1018</v>
      </c>
      <c r="G30" s="285" t="s">
        <v>1737</v>
      </c>
      <c r="H30" s="285" t="s">
        <v>1752</v>
      </c>
      <c r="I30" s="285" t="s">
        <v>1809</v>
      </c>
      <c r="J30" s="285" t="s">
        <v>1810</v>
      </c>
      <c r="K30" s="298"/>
      <c r="L30" s="285" t="s">
        <v>1811</v>
      </c>
      <c r="M30" s="348"/>
      <c r="N30" s="348"/>
      <c r="O30" s="347"/>
      <c r="P30" s="347"/>
      <c r="Q30" s="347"/>
      <c r="R30" s="347"/>
      <c r="S30" s="347"/>
      <c r="T30" s="347"/>
      <c r="U30" s="347"/>
      <c r="V30" s="347"/>
      <c r="W30" s="347"/>
      <c r="X30" s="347"/>
      <c r="Y30" s="347"/>
      <c r="Z30" s="347"/>
    </row>
    <row r="31" ht="15.75" customHeight="1"/>
    <row r="32" ht="15.75" customHeight="1">
      <c r="A32" s="81" t="s">
        <v>2991</v>
      </c>
    </row>
    <row r="33" ht="15.75" customHeight="1">
      <c r="A33" s="81" t="s">
        <v>2992</v>
      </c>
      <c r="C33" s="81" t="s">
        <v>1019</v>
      </c>
    </row>
    <row r="34" ht="15.75" customHeight="1">
      <c r="A34" s="81" t="s">
        <v>2993</v>
      </c>
      <c r="C34" s="81">
        <v>25.0</v>
      </c>
      <c r="D34" s="81" t="s">
        <v>2994</v>
      </c>
      <c r="E34" s="81" t="s">
        <v>2995</v>
      </c>
      <c r="F34" s="81" t="s">
        <v>2996</v>
      </c>
    </row>
    <row r="35" ht="15.75" customHeight="1">
      <c r="A35" s="81" t="s">
        <v>2997</v>
      </c>
      <c r="C35" s="81">
        <v>15.0</v>
      </c>
      <c r="D35" s="349" t="s">
        <v>1038</v>
      </c>
    </row>
    <row r="36" ht="15.75" customHeight="1">
      <c r="C36" s="81">
        <v>2.0</v>
      </c>
      <c r="D36" s="81" t="s">
        <v>1429</v>
      </c>
      <c r="E36" s="81" t="s">
        <v>2998</v>
      </c>
    </row>
    <row r="37" ht="15.75" customHeight="1">
      <c r="C37" s="81">
        <v>4.0</v>
      </c>
      <c r="D37" s="81" t="s">
        <v>2999</v>
      </c>
      <c r="E37" s="81" t="s">
        <v>2998</v>
      </c>
    </row>
    <row r="38" ht="15.75" customHeight="1">
      <c r="C38" s="81">
        <v>4.0</v>
      </c>
      <c r="D38" s="349" t="s">
        <v>1331</v>
      </c>
    </row>
    <row r="39" ht="15.75" customHeight="1">
      <c r="A39" s="81" t="s">
        <v>3000</v>
      </c>
      <c r="C39" s="81">
        <v>2.0</v>
      </c>
      <c r="D39" s="81" t="s">
        <v>3001</v>
      </c>
      <c r="E39" s="81" t="s">
        <v>3002</v>
      </c>
    </row>
    <row r="40" ht="15.75" customHeight="1">
      <c r="C40" s="81">
        <v>5.0</v>
      </c>
      <c r="D40" s="81" t="s">
        <v>2146</v>
      </c>
      <c r="E40" s="81" t="s">
        <v>3003</v>
      </c>
    </row>
    <row r="41" ht="15.75" customHeight="1">
      <c r="C41" s="81">
        <v>1.0</v>
      </c>
      <c r="D41" s="81" t="s">
        <v>2596</v>
      </c>
      <c r="E41" s="81" t="s">
        <v>2998</v>
      </c>
    </row>
    <row r="42" ht="15.75" customHeight="1">
      <c r="C42" s="81">
        <v>6.0</v>
      </c>
      <c r="D42" s="81" t="s">
        <v>3004</v>
      </c>
      <c r="E42" s="81" t="s">
        <v>3005</v>
      </c>
    </row>
    <row r="43" ht="15.75" customHeight="1">
      <c r="C43" s="81">
        <v>5.0</v>
      </c>
      <c r="D43" s="81" t="s">
        <v>3006</v>
      </c>
      <c r="E43" s="81" t="s">
        <v>3007</v>
      </c>
    </row>
    <row r="44" ht="15.75" customHeight="1">
      <c r="C44" s="81">
        <v>1.0</v>
      </c>
      <c r="D44" s="81" t="s">
        <v>1829</v>
      </c>
    </row>
    <row r="45" ht="15.75" customHeight="1">
      <c r="C45" s="81">
        <v>2.0</v>
      </c>
      <c r="D45" s="81" t="s">
        <v>3008</v>
      </c>
    </row>
    <row r="46" ht="15.75" customHeight="1">
      <c r="C46" s="81">
        <v>1.0</v>
      </c>
      <c r="D46" s="81" t="s">
        <v>3009</v>
      </c>
      <c r="E46" s="81" t="s">
        <v>3010</v>
      </c>
    </row>
    <row r="47" ht="15.75" customHeight="1">
      <c r="C47" s="81">
        <v>1.0</v>
      </c>
      <c r="D47" s="81" t="s">
        <v>1853</v>
      </c>
    </row>
    <row r="48" ht="15.75" customHeight="1">
      <c r="C48" s="81">
        <v>2.0</v>
      </c>
      <c r="D48" s="81" t="s">
        <v>3011</v>
      </c>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hyperlinks>
    <hyperlink r:id="rId1" ref="J3"/>
    <hyperlink r:id="rId2" ref="J4"/>
    <hyperlink r:id="rId3" ref="J5"/>
    <hyperlink r:id="rId4" ref="J6"/>
    <hyperlink r:id="rId5" ref="J7"/>
    <hyperlink r:id="rId6" ref="J19"/>
    <hyperlink r:id="rId7" ref="J24"/>
    <hyperlink r:id="rId8" ref="J25"/>
    <hyperlink r:id="rId9" ref="J26"/>
  </hyperlinks>
  <printOptions/>
  <pageMargins bottom="0.75" footer="0.0" header="0.0" left="0.7" right="0.7" top="0.75"/>
  <pageSetup orientation="landscape"/>
  <drawing r:id="rId1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86"/>
    <col customWidth="1" min="2" max="2" width="12.29"/>
    <col customWidth="1" min="3" max="3" width="17.71"/>
    <col customWidth="1" min="4" max="4" width="19.86"/>
    <col customWidth="1" min="5" max="5" width="12.0"/>
    <col customWidth="1" min="6" max="6" width="10.71"/>
    <col customWidth="1" min="7" max="7" width="14.57"/>
    <col customWidth="1" min="8" max="8" width="23.43"/>
    <col customWidth="1" min="9" max="9" width="18.71"/>
    <col customWidth="1" min="10" max="10" width="31.43"/>
    <col customWidth="1" min="11" max="11" width="17.57"/>
    <col customWidth="1" min="12" max="12" width="25.14"/>
    <col customWidth="1" min="13" max="13" width="14.14"/>
    <col customWidth="1" min="14" max="14" width="34.29"/>
    <col customWidth="1" min="15" max="26" width="8.86"/>
  </cols>
  <sheetData>
    <row r="1" ht="47.25" customHeight="1">
      <c r="A1" s="332" t="s">
        <v>0</v>
      </c>
      <c r="B1" s="350" t="s">
        <v>2585</v>
      </c>
      <c r="C1" s="350" t="s">
        <v>2</v>
      </c>
      <c r="D1" s="350" t="s">
        <v>2807</v>
      </c>
      <c r="E1" s="351" t="s">
        <v>4</v>
      </c>
      <c r="F1" s="350" t="s">
        <v>5</v>
      </c>
      <c r="G1" s="350" t="s">
        <v>6</v>
      </c>
      <c r="H1" s="350" t="s">
        <v>7</v>
      </c>
      <c r="I1" s="350" t="s">
        <v>2586</v>
      </c>
      <c r="J1" s="350" t="s">
        <v>10</v>
      </c>
      <c r="K1" s="350" t="s">
        <v>11</v>
      </c>
      <c r="L1" s="350" t="s">
        <v>12</v>
      </c>
      <c r="M1" s="350" t="s">
        <v>2587</v>
      </c>
      <c r="N1" s="350" t="s">
        <v>14</v>
      </c>
    </row>
    <row r="2" ht="57.75" customHeight="1">
      <c r="A2" s="259">
        <v>1.0</v>
      </c>
      <c r="B2" s="286" t="s">
        <v>3012</v>
      </c>
      <c r="C2" s="286" t="s">
        <v>1104</v>
      </c>
      <c r="D2" s="274" t="s">
        <v>3013</v>
      </c>
      <c r="E2" s="280" t="s">
        <v>1106</v>
      </c>
      <c r="F2" s="274" t="s">
        <v>1018</v>
      </c>
      <c r="G2" s="274" t="s">
        <v>1019</v>
      </c>
      <c r="H2" s="274" t="s">
        <v>1107</v>
      </c>
      <c r="I2" s="274" t="s">
        <v>1108</v>
      </c>
      <c r="J2" s="278" t="s">
        <v>1109</v>
      </c>
      <c r="K2" s="274"/>
      <c r="L2" s="274" t="s">
        <v>1110</v>
      </c>
      <c r="M2" s="274"/>
      <c r="N2" s="274" t="s">
        <v>1111</v>
      </c>
    </row>
    <row r="3">
      <c r="A3" s="259">
        <v>2.0</v>
      </c>
      <c r="B3" s="274" t="s">
        <v>1165</v>
      </c>
      <c r="C3" s="274" t="s">
        <v>1166</v>
      </c>
      <c r="D3" s="274" t="s">
        <v>3014</v>
      </c>
      <c r="E3" s="280" t="s">
        <v>1106</v>
      </c>
      <c r="F3" s="274" t="s">
        <v>1027</v>
      </c>
      <c r="G3" s="274" t="s">
        <v>1019</v>
      </c>
      <c r="H3" s="274" t="s">
        <v>1168</v>
      </c>
      <c r="I3" s="274" t="s">
        <v>3015</v>
      </c>
      <c r="J3" s="278" t="s">
        <v>1171</v>
      </c>
      <c r="K3" s="274"/>
      <c r="L3" s="274" t="s">
        <v>1172</v>
      </c>
      <c r="M3" s="274"/>
      <c r="N3" s="274"/>
    </row>
    <row r="4">
      <c r="A4" s="259">
        <v>3.0</v>
      </c>
      <c r="B4" s="274" t="s">
        <v>1176</v>
      </c>
      <c r="C4" s="274" t="s">
        <v>1177</v>
      </c>
      <c r="D4" s="274" t="s">
        <v>3016</v>
      </c>
      <c r="E4" s="280" t="s">
        <v>1179</v>
      </c>
      <c r="F4" s="274" t="s">
        <v>1027</v>
      </c>
      <c r="G4" s="274" t="s">
        <v>1019</v>
      </c>
      <c r="H4" s="274" t="s">
        <v>1180</v>
      </c>
      <c r="I4" s="274" t="s">
        <v>1181</v>
      </c>
      <c r="J4" s="278" t="s">
        <v>3017</v>
      </c>
      <c r="K4" s="274"/>
      <c r="L4" s="274" t="s">
        <v>1183</v>
      </c>
      <c r="M4" s="274"/>
      <c r="N4" s="274"/>
    </row>
    <row r="5">
      <c r="A5" s="259">
        <v>4.0</v>
      </c>
      <c r="B5" s="274" t="s">
        <v>1531</v>
      </c>
      <c r="C5" s="274" t="s">
        <v>1532</v>
      </c>
      <c r="D5" s="274" t="s">
        <v>3018</v>
      </c>
      <c r="E5" s="280" t="s">
        <v>1534</v>
      </c>
      <c r="F5" s="274" t="s">
        <v>89</v>
      </c>
      <c r="G5" s="274" t="s">
        <v>1489</v>
      </c>
      <c r="H5" s="274" t="s">
        <v>1535</v>
      </c>
      <c r="I5" s="274" t="s">
        <v>1536</v>
      </c>
      <c r="J5" s="278" t="s">
        <v>1537</v>
      </c>
      <c r="K5" s="276">
        <v>2.4105730656E10</v>
      </c>
      <c r="L5" s="274" t="s">
        <v>1538</v>
      </c>
      <c r="M5" s="274"/>
      <c r="N5" s="274"/>
    </row>
    <row r="6">
      <c r="A6" s="259">
        <v>5.0</v>
      </c>
      <c r="B6" s="279" t="s">
        <v>1857</v>
      </c>
      <c r="C6" s="279" t="s">
        <v>1858</v>
      </c>
      <c r="D6" s="279" t="s">
        <v>1859</v>
      </c>
      <c r="E6" s="279" t="s">
        <v>1736</v>
      </c>
      <c r="F6" s="279" t="s">
        <v>1018</v>
      </c>
      <c r="G6" s="279" t="s">
        <v>1737</v>
      </c>
      <c r="H6" s="279" t="s">
        <v>1860</v>
      </c>
      <c r="I6" s="279" t="s">
        <v>1861</v>
      </c>
      <c r="J6" s="279" t="s">
        <v>1862</v>
      </c>
      <c r="K6" s="352"/>
      <c r="L6" s="279" t="s">
        <v>1863</v>
      </c>
      <c r="M6" s="286"/>
      <c r="N6" s="286"/>
    </row>
    <row r="7">
      <c r="A7" s="259">
        <v>6.0</v>
      </c>
      <c r="B7" s="279" t="s">
        <v>1734</v>
      </c>
      <c r="C7" s="279" t="s">
        <v>355</v>
      </c>
      <c r="D7" s="279" t="s">
        <v>1735</v>
      </c>
      <c r="E7" s="279" t="s">
        <v>1736</v>
      </c>
      <c r="F7" s="279" t="s">
        <v>1027</v>
      </c>
      <c r="G7" s="279" t="s">
        <v>1737</v>
      </c>
      <c r="H7" s="285" t="s">
        <v>1738</v>
      </c>
      <c r="I7" s="279" t="s">
        <v>1739</v>
      </c>
      <c r="J7" s="298"/>
      <c r="K7" s="298"/>
      <c r="L7" s="298"/>
      <c r="M7" s="274"/>
      <c r="N7" s="274"/>
    </row>
    <row r="8">
      <c r="A8" s="259">
        <v>7.0</v>
      </c>
      <c r="B8" s="279" t="s">
        <v>1820</v>
      </c>
      <c r="C8" s="279" t="s">
        <v>1821</v>
      </c>
      <c r="D8" s="279" t="s">
        <v>1822</v>
      </c>
      <c r="E8" s="279" t="s">
        <v>1823</v>
      </c>
      <c r="F8" s="279" t="s">
        <v>1027</v>
      </c>
      <c r="G8" s="279" t="s">
        <v>1737</v>
      </c>
      <c r="H8" s="279" t="s">
        <v>217</v>
      </c>
      <c r="I8" s="279" t="s">
        <v>739</v>
      </c>
      <c r="J8" s="323"/>
      <c r="K8" s="323"/>
      <c r="L8" s="276"/>
      <c r="M8" s="274"/>
      <c r="N8" s="274"/>
    </row>
    <row r="9">
      <c r="A9" s="259">
        <v>8.0</v>
      </c>
      <c r="B9" s="276" t="s">
        <v>1265</v>
      </c>
      <c r="C9" s="276" t="s">
        <v>1266</v>
      </c>
      <c r="D9" s="276" t="s">
        <v>3019</v>
      </c>
      <c r="E9" s="353" t="s">
        <v>1268</v>
      </c>
      <c r="F9" s="276" t="s">
        <v>1027</v>
      </c>
      <c r="G9" s="274" t="s">
        <v>1197</v>
      </c>
      <c r="H9" s="276" t="s">
        <v>1269</v>
      </c>
      <c r="I9" s="276" t="s">
        <v>1270</v>
      </c>
      <c r="J9" s="323" t="s">
        <v>1272</v>
      </c>
      <c r="K9" s="323" t="s">
        <v>1273</v>
      </c>
      <c r="L9" s="276" t="s">
        <v>1274</v>
      </c>
      <c r="M9" s="274"/>
      <c r="N9" s="274"/>
    </row>
    <row r="10">
      <c r="A10" s="354">
        <v>9.0</v>
      </c>
      <c r="B10" s="324" t="s">
        <v>1438</v>
      </c>
      <c r="C10" s="324" t="s">
        <v>1439</v>
      </c>
      <c r="D10" s="274" t="s">
        <v>3020</v>
      </c>
      <c r="E10" s="295" t="s">
        <v>1268</v>
      </c>
      <c r="F10" s="288" t="s">
        <v>1018</v>
      </c>
      <c r="G10" s="274" t="s">
        <v>1318</v>
      </c>
      <c r="H10" s="274" t="s">
        <v>3021</v>
      </c>
      <c r="I10" s="274" t="s">
        <v>1442</v>
      </c>
      <c r="J10" s="280" t="s">
        <v>1444</v>
      </c>
      <c r="K10" s="288"/>
      <c r="L10" s="274" t="s">
        <v>1446</v>
      </c>
      <c r="M10" s="274"/>
      <c r="N10" s="274" t="s">
        <v>1399</v>
      </c>
    </row>
    <row r="11">
      <c r="A11" s="355">
        <v>10.0</v>
      </c>
      <c r="B11" s="285" t="s">
        <v>1865</v>
      </c>
      <c r="C11" s="340" t="s">
        <v>1866</v>
      </c>
      <c r="D11" s="285" t="s">
        <v>1867</v>
      </c>
      <c r="E11" s="285" t="s">
        <v>1268</v>
      </c>
      <c r="F11" s="285" t="s">
        <v>1018</v>
      </c>
      <c r="G11" s="279" t="s">
        <v>1737</v>
      </c>
      <c r="H11" s="295" t="s">
        <v>1868</v>
      </c>
      <c r="I11" s="285" t="s">
        <v>1869</v>
      </c>
      <c r="J11" s="285" t="s">
        <v>3022</v>
      </c>
      <c r="K11" s="298"/>
      <c r="L11" s="285" t="s">
        <v>1871</v>
      </c>
      <c r="M11" s="342"/>
      <c r="N11" s="167"/>
    </row>
    <row r="12">
      <c r="A12" s="356">
        <v>11.0</v>
      </c>
      <c r="B12" s="357" t="s">
        <v>3023</v>
      </c>
      <c r="C12" s="357" t="s">
        <v>3024</v>
      </c>
      <c r="D12" s="357" t="s">
        <v>1867</v>
      </c>
      <c r="E12" s="357" t="s">
        <v>1268</v>
      </c>
      <c r="F12" s="357" t="s">
        <v>1018</v>
      </c>
      <c r="G12" s="358" t="s">
        <v>1737</v>
      </c>
      <c r="H12" s="359" t="s">
        <v>3025</v>
      </c>
      <c r="I12" s="357" t="s">
        <v>3026</v>
      </c>
      <c r="J12" s="357" t="s">
        <v>3027</v>
      </c>
      <c r="K12" s="360"/>
      <c r="L12" s="357" t="s">
        <v>3028</v>
      </c>
      <c r="M12" s="361"/>
      <c r="N12" s="362"/>
      <c r="O12" s="363"/>
      <c r="P12" s="363"/>
      <c r="Q12" s="363"/>
      <c r="R12" s="363"/>
      <c r="S12" s="363"/>
      <c r="T12" s="363"/>
      <c r="U12" s="363"/>
      <c r="V12" s="363"/>
      <c r="W12" s="363"/>
      <c r="X12" s="363"/>
      <c r="Y12" s="363"/>
      <c r="Z12" s="363"/>
    </row>
    <row r="13">
      <c r="A13" s="355">
        <v>12.0</v>
      </c>
      <c r="B13" s="274" t="s">
        <v>1541</v>
      </c>
      <c r="C13" s="274" t="s">
        <v>1542</v>
      </c>
      <c r="D13" s="274" t="s">
        <v>3029</v>
      </c>
      <c r="E13" s="280" t="s">
        <v>1268</v>
      </c>
      <c r="F13" s="274" t="s">
        <v>3030</v>
      </c>
      <c r="G13" s="274" t="s">
        <v>1489</v>
      </c>
      <c r="H13" s="274" t="s">
        <v>1544</v>
      </c>
      <c r="I13" s="274" t="s">
        <v>1270</v>
      </c>
      <c r="J13" s="274" t="s">
        <v>1545</v>
      </c>
      <c r="K13" s="342"/>
      <c r="L13" s="274" t="s">
        <v>3031</v>
      </c>
      <c r="M13" s="342"/>
      <c r="N13" s="167" t="s">
        <v>1547</v>
      </c>
    </row>
    <row r="14">
      <c r="A14" s="355">
        <v>13.0</v>
      </c>
      <c r="B14" s="274" t="s">
        <v>1562</v>
      </c>
      <c r="C14" s="274" t="s">
        <v>1563</v>
      </c>
      <c r="D14" s="274" t="s">
        <v>3032</v>
      </c>
      <c r="E14" s="280" t="s">
        <v>1268</v>
      </c>
      <c r="F14" s="280" t="s">
        <v>1027</v>
      </c>
      <c r="G14" s="274" t="s">
        <v>1489</v>
      </c>
      <c r="H14" s="274"/>
      <c r="I14" s="274" t="s">
        <v>1566</v>
      </c>
      <c r="J14" s="364" t="s">
        <v>3033</v>
      </c>
      <c r="K14" s="276">
        <v>2.7733423586E10</v>
      </c>
      <c r="L14" s="274" t="s">
        <v>1568</v>
      </c>
      <c r="M14" s="274"/>
      <c r="N14" s="274" t="s">
        <v>3034</v>
      </c>
    </row>
    <row r="15">
      <c r="A15" s="355">
        <v>14.0</v>
      </c>
      <c r="B15" s="294" t="s">
        <v>1719</v>
      </c>
      <c r="C15" s="294" t="s">
        <v>1720</v>
      </c>
      <c r="D15" s="283" t="s">
        <v>1721</v>
      </c>
      <c r="E15" s="294" t="s">
        <v>1268</v>
      </c>
      <c r="F15" s="294" t="s">
        <v>1027</v>
      </c>
      <c r="G15" s="280" t="s">
        <v>1633</v>
      </c>
      <c r="H15" s="280" t="s">
        <v>3035</v>
      </c>
      <c r="I15" s="280" t="s">
        <v>1723</v>
      </c>
      <c r="J15" s="337" t="s">
        <v>3036</v>
      </c>
      <c r="K15" s="347"/>
      <c r="L15" s="283" t="s">
        <v>1725</v>
      </c>
      <c r="M15" s="347"/>
      <c r="N15" s="165"/>
      <c r="O15" s="175"/>
    </row>
    <row r="16">
      <c r="A16" s="354">
        <v>15.0</v>
      </c>
      <c r="B16" s="285" t="s">
        <v>1764</v>
      </c>
      <c r="C16" s="340" t="s">
        <v>1765</v>
      </c>
      <c r="D16" s="285" t="s">
        <v>1766</v>
      </c>
      <c r="E16" s="285" t="s">
        <v>1268</v>
      </c>
      <c r="F16" s="285" t="s">
        <v>1018</v>
      </c>
      <c r="G16" s="279" t="s">
        <v>1737</v>
      </c>
      <c r="H16" s="365" t="s">
        <v>1767</v>
      </c>
      <c r="I16" s="285" t="s">
        <v>1768</v>
      </c>
      <c r="J16" s="279" t="s">
        <v>1769</v>
      </c>
      <c r="K16" s="298"/>
      <c r="L16" s="285" t="s">
        <v>1770</v>
      </c>
      <c r="M16" s="152"/>
      <c r="N16" s="274"/>
    </row>
    <row r="17">
      <c r="A17" s="355">
        <v>16.0</v>
      </c>
      <c r="B17" s="285" t="s">
        <v>1755</v>
      </c>
      <c r="C17" s="285" t="s">
        <v>1756</v>
      </c>
      <c r="D17" s="285" t="s">
        <v>1757</v>
      </c>
      <c r="E17" s="285" t="s">
        <v>1758</v>
      </c>
      <c r="F17" s="285" t="s">
        <v>1027</v>
      </c>
      <c r="G17" s="279" t="s">
        <v>1737</v>
      </c>
      <c r="H17" s="285" t="s">
        <v>1759</v>
      </c>
      <c r="I17" s="285" t="s">
        <v>1760</v>
      </c>
      <c r="J17" s="285" t="s">
        <v>1761</v>
      </c>
      <c r="K17" s="298"/>
      <c r="L17" s="285" t="s">
        <v>1762</v>
      </c>
      <c r="M17" s="152"/>
      <c r="N17" s="274"/>
    </row>
    <row r="18">
      <c r="A18" s="355">
        <v>17.0</v>
      </c>
      <c r="B18" s="274" t="s">
        <v>1186</v>
      </c>
      <c r="C18" s="274" t="s">
        <v>856</v>
      </c>
      <c r="D18" s="274" t="s">
        <v>3037</v>
      </c>
      <c r="E18" s="280" t="s">
        <v>1188</v>
      </c>
      <c r="F18" s="274" t="s">
        <v>1027</v>
      </c>
      <c r="G18" s="274" t="s">
        <v>1019</v>
      </c>
      <c r="H18" s="274" t="s">
        <v>1189</v>
      </c>
      <c r="I18" s="274" t="s">
        <v>1190</v>
      </c>
      <c r="J18" s="278" t="s">
        <v>1191</v>
      </c>
      <c r="K18" s="274"/>
      <c r="L18" s="274" t="s">
        <v>1192</v>
      </c>
      <c r="M18" s="274"/>
      <c r="N18" s="274" t="s">
        <v>1193</v>
      </c>
    </row>
    <row r="19">
      <c r="A19" s="355">
        <v>18.0</v>
      </c>
      <c r="B19" s="276" t="s">
        <v>1244</v>
      </c>
      <c r="C19" s="276" t="s">
        <v>1245</v>
      </c>
      <c r="D19" s="274" t="s">
        <v>3037</v>
      </c>
      <c r="E19" s="353" t="s">
        <v>1188</v>
      </c>
      <c r="F19" s="276" t="s">
        <v>1027</v>
      </c>
      <c r="G19" s="274" t="s">
        <v>1197</v>
      </c>
      <c r="H19" s="276" t="s">
        <v>1246</v>
      </c>
      <c r="I19" s="276" t="s">
        <v>1247</v>
      </c>
      <c r="J19" s="323" t="s">
        <v>1248</v>
      </c>
      <c r="K19" s="323" t="s">
        <v>1249</v>
      </c>
      <c r="L19" s="276" t="s">
        <v>1250</v>
      </c>
      <c r="M19" s="274"/>
      <c r="N19" s="274" t="s">
        <v>1252</v>
      </c>
    </row>
    <row r="20">
      <c r="A20" s="355">
        <v>19.0</v>
      </c>
      <c r="B20" s="274" t="s">
        <v>1621</v>
      </c>
      <c r="C20" s="274" t="s">
        <v>1622</v>
      </c>
      <c r="D20" s="274" t="s">
        <v>3037</v>
      </c>
      <c r="E20" s="280" t="s">
        <v>1188</v>
      </c>
      <c r="F20" s="274" t="s">
        <v>89</v>
      </c>
      <c r="G20" s="274" t="s">
        <v>1489</v>
      </c>
      <c r="H20" s="274" t="s">
        <v>1624</v>
      </c>
      <c r="I20" s="274" t="s">
        <v>2793</v>
      </c>
      <c r="J20" s="274" t="s">
        <v>1626</v>
      </c>
      <c r="K20" s="276" t="s">
        <v>1627</v>
      </c>
      <c r="L20" s="274" t="s">
        <v>1628</v>
      </c>
      <c r="M20" s="274"/>
      <c r="N20" s="274" t="s">
        <v>1629</v>
      </c>
    </row>
    <row r="21">
      <c r="A21" s="355">
        <v>20.0</v>
      </c>
      <c r="B21" s="324" t="s">
        <v>1380</v>
      </c>
      <c r="C21" s="324" t="s">
        <v>1381</v>
      </c>
      <c r="D21" s="288" t="s">
        <v>1382</v>
      </c>
      <c r="E21" s="295" t="s">
        <v>1383</v>
      </c>
      <c r="F21" s="288" t="s">
        <v>1018</v>
      </c>
      <c r="G21" s="274" t="s">
        <v>1318</v>
      </c>
      <c r="H21" s="274" t="s">
        <v>1384</v>
      </c>
      <c r="I21" s="274" t="s">
        <v>1385</v>
      </c>
      <c r="J21" s="366" t="s">
        <v>3038</v>
      </c>
      <c r="K21" s="288"/>
      <c r="L21" s="274" t="s">
        <v>1388</v>
      </c>
      <c r="M21" s="274"/>
      <c r="N21" s="280" t="s">
        <v>3039</v>
      </c>
    </row>
    <row r="22">
      <c r="O22" s="274"/>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hyperlinks>
    <hyperlink r:id="rId1" ref="J2"/>
    <hyperlink r:id="rId2" ref="J3"/>
    <hyperlink r:id="rId3" ref="J4"/>
    <hyperlink r:id="rId4" ref="J5"/>
    <hyperlink r:id="rId5" ref="J18"/>
  </hyperlinks>
  <printOptions/>
  <pageMargins bottom="0.75" footer="0.0" header="0.0" left="0.7" right="0.7" top="0.75"/>
  <pageSetup orientation="landscape"/>
  <drawing r:id="rId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16.43"/>
    <col customWidth="1" min="2" max="2" width="33.86"/>
    <col customWidth="1" min="3" max="4" width="22.43"/>
    <col customWidth="1" min="5" max="5" width="44.71"/>
    <col customWidth="1" min="6" max="6" width="9.29"/>
    <col customWidth="1" min="7" max="7" width="16.71"/>
    <col customWidth="1" min="8" max="8" width="33.71"/>
    <col customWidth="1" min="9" max="9" width="31.43"/>
    <col customWidth="1" min="10" max="30" width="34.29"/>
  </cols>
  <sheetData>
    <row r="1" ht="31.5" customHeight="1">
      <c r="A1" s="367" t="s">
        <v>3040</v>
      </c>
      <c r="B1" s="368"/>
      <c r="C1" s="368"/>
      <c r="D1" s="368"/>
      <c r="E1" s="368"/>
      <c r="F1" s="368"/>
      <c r="G1" s="368"/>
      <c r="H1" s="368"/>
      <c r="I1" s="368"/>
      <c r="J1" s="368"/>
      <c r="K1" s="368"/>
      <c r="L1" s="368"/>
      <c r="M1" s="369"/>
      <c r="N1" s="369"/>
      <c r="O1" s="369"/>
      <c r="P1" s="369"/>
      <c r="Q1" s="369"/>
      <c r="R1" s="369"/>
      <c r="S1" s="369"/>
      <c r="T1" s="369"/>
      <c r="U1" s="369"/>
      <c r="V1" s="369"/>
      <c r="W1" s="369"/>
      <c r="X1" s="369"/>
      <c r="Y1" s="369"/>
      <c r="Z1" s="369"/>
      <c r="AA1" s="369"/>
      <c r="AB1" s="369"/>
      <c r="AC1" s="369"/>
      <c r="AD1" s="369"/>
    </row>
    <row r="2" ht="31.5" customHeight="1">
      <c r="A2" s="370" t="s">
        <v>3041</v>
      </c>
      <c r="B2" s="371" t="s">
        <v>2585</v>
      </c>
      <c r="C2" s="371" t="s">
        <v>2</v>
      </c>
      <c r="D2" s="371" t="s">
        <v>4</v>
      </c>
      <c r="E2" s="371" t="s">
        <v>2807</v>
      </c>
      <c r="F2" s="371" t="s">
        <v>5</v>
      </c>
      <c r="G2" s="371" t="s">
        <v>6</v>
      </c>
      <c r="H2" s="371" t="s">
        <v>7</v>
      </c>
      <c r="I2" s="371" t="s">
        <v>2586</v>
      </c>
      <c r="J2" s="371" t="s">
        <v>10</v>
      </c>
      <c r="K2" s="371" t="s">
        <v>11</v>
      </c>
      <c r="L2" s="371" t="s">
        <v>12</v>
      </c>
      <c r="M2" s="372"/>
      <c r="N2" s="372"/>
      <c r="O2" s="372"/>
      <c r="P2" s="372"/>
      <c r="Q2" s="372"/>
      <c r="R2" s="372"/>
      <c r="S2" s="372"/>
      <c r="T2" s="372"/>
      <c r="U2" s="372"/>
      <c r="V2" s="372"/>
      <c r="W2" s="372"/>
      <c r="X2" s="372"/>
      <c r="Y2" s="372"/>
      <c r="Z2" s="372"/>
      <c r="AA2" s="372"/>
      <c r="AB2" s="372"/>
      <c r="AC2" s="372"/>
      <c r="AD2" s="372"/>
    </row>
    <row r="3" ht="26.25" customHeight="1">
      <c r="A3" s="373">
        <v>2.0</v>
      </c>
      <c r="B3" s="374" t="s">
        <v>51</v>
      </c>
      <c r="C3" s="374" t="s">
        <v>52</v>
      </c>
      <c r="D3" s="374" t="s">
        <v>54</v>
      </c>
      <c r="E3" s="375" t="s">
        <v>3042</v>
      </c>
      <c r="F3" s="374" t="s">
        <v>1027</v>
      </c>
      <c r="G3" s="374" t="s">
        <v>42</v>
      </c>
      <c r="H3" s="376" t="s">
        <v>3043</v>
      </c>
      <c r="I3" s="374" t="s">
        <v>56</v>
      </c>
      <c r="J3" s="377" t="s">
        <v>57</v>
      </c>
      <c r="K3" s="378"/>
      <c r="L3" s="374" t="s">
        <v>2809</v>
      </c>
      <c r="M3" s="379"/>
      <c r="N3" s="379"/>
      <c r="O3" s="379"/>
      <c r="P3" s="379"/>
      <c r="Q3" s="379"/>
      <c r="R3" s="379"/>
      <c r="S3" s="379"/>
      <c r="T3" s="379"/>
      <c r="U3" s="379"/>
      <c r="V3" s="379"/>
      <c r="W3" s="379"/>
      <c r="X3" s="379"/>
      <c r="Y3" s="379"/>
      <c r="Z3" s="379"/>
      <c r="AA3" s="379"/>
      <c r="AB3" s="379"/>
      <c r="AC3" s="379"/>
      <c r="AD3" s="379"/>
    </row>
    <row r="4" ht="24.0" customHeight="1">
      <c r="A4" s="373"/>
      <c r="B4" s="374" t="s">
        <v>61</v>
      </c>
      <c r="C4" s="374" t="s">
        <v>62</v>
      </c>
      <c r="D4" s="374" t="s">
        <v>54</v>
      </c>
      <c r="E4" s="375" t="s">
        <v>3042</v>
      </c>
      <c r="F4" s="374" t="s">
        <v>1027</v>
      </c>
      <c r="G4" s="374" t="s">
        <v>42</v>
      </c>
      <c r="H4" s="374" t="s">
        <v>63</v>
      </c>
      <c r="I4" s="374" t="s">
        <v>64</v>
      </c>
      <c r="J4" s="377" t="s">
        <v>65</v>
      </c>
      <c r="K4" s="378" t="s">
        <v>66</v>
      </c>
      <c r="L4" s="374" t="s">
        <v>2810</v>
      </c>
      <c r="M4" s="379"/>
      <c r="N4" s="379"/>
      <c r="O4" s="379"/>
      <c r="P4" s="379"/>
      <c r="Q4" s="379"/>
      <c r="R4" s="379"/>
      <c r="S4" s="379"/>
      <c r="T4" s="379"/>
      <c r="U4" s="379"/>
      <c r="V4" s="379"/>
      <c r="W4" s="379"/>
      <c r="X4" s="379"/>
      <c r="Y4" s="379"/>
      <c r="Z4" s="379"/>
      <c r="AA4" s="379"/>
      <c r="AB4" s="379"/>
      <c r="AC4" s="379"/>
      <c r="AD4" s="379"/>
    </row>
    <row r="5" ht="24.0" customHeight="1">
      <c r="A5" s="373"/>
      <c r="B5" s="374" t="s">
        <v>87</v>
      </c>
      <c r="C5" s="374" t="s">
        <v>88</v>
      </c>
      <c r="D5" s="374" t="s">
        <v>54</v>
      </c>
      <c r="E5" s="375" t="s">
        <v>3042</v>
      </c>
      <c r="F5" s="374" t="s">
        <v>1018</v>
      </c>
      <c r="G5" s="374" t="s">
        <v>42</v>
      </c>
      <c r="H5" s="374" t="s">
        <v>90</v>
      </c>
      <c r="I5" s="374" t="s">
        <v>91</v>
      </c>
      <c r="J5" s="377" t="s">
        <v>2811</v>
      </c>
      <c r="K5" s="378" t="s">
        <v>93</v>
      </c>
      <c r="L5" s="374" t="s">
        <v>2812</v>
      </c>
      <c r="M5" s="379"/>
      <c r="N5" s="379"/>
      <c r="O5" s="379"/>
      <c r="P5" s="379"/>
      <c r="Q5" s="379"/>
      <c r="R5" s="379"/>
      <c r="S5" s="379"/>
      <c r="T5" s="379"/>
      <c r="U5" s="379"/>
      <c r="V5" s="379"/>
      <c r="W5" s="379"/>
      <c r="X5" s="379"/>
      <c r="Y5" s="379"/>
      <c r="Z5" s="379"/>
      <c r="AA5" s="379"/>
      <c r="AB5" s="379"/>
      <c r="AC5" s="379"/>
      <c r="AD5" s="379"/>
    </row>
    <row r="6" ht="25.5" customHeight="1">
      <c r="A6" s="373"/>
      <c r="B6" s="374" t="s">
        <v>111</v>
      </c>
      <c r="C6" s="374" t="s">
        <v>112</v>
      </c>
      <c r="D6" s="374" t="s">
        <v>54</v>
      </c>
      <c r="E6" s="375" t="s">
        <v>3042</v>
      </c>
      <c r="F6" s="374" t="s">
        <v>1018</v>
      </c>
      <c r="G6" s="374" t="s">
        <v>42</v>
      </c>
      <c r="H6" s="376" t="s">
        <v>3044</v>
      </c>
      <c r="I6" s="374" t="s">
        <v>114</v>
      </c>
      <c r="J6" s="380" t="s">
        <v>115</v>
      </c>
      <c r="K6" s="378"/>
      <c r="L6" s="374" t="s">
        <v>2814</v>
      </c>
      <c r="M6" s="379"/>
      <c r="N6" s="379"/>
      <c r="O6" s="379"/>
      <c r="P6" s="379"/>
      <c r="Q6" s="379"/>
      <c r="R6" s="379"/>
      <c r="S6" s="379"/>
      <c r="T6" s="379"/>
      <c r="U6" s="379"/>
      <c r="V6" s="379"/>
      <c r="W6" s="379"/>
      <c r="X6" s="379"/>
      <c r="Y6" s="379"/>
      <c r="Z6" s="379"/>
      <c r="AA6" s="379"/>
      <c r="AB6" s="379"/>
      <c r="AC6" s="379"/>
      <c r="AD6" s="379"/>
    </row>
    <row r="7" ht="24.75" customHeight="1">
      <c r="A7" s="381">
        <v>13.0</v>
      </c>
      <c r="B7" s="382" t="s">
        <v>2733</v>
      </c>
      <c r="C7" s="382" t="s">
        <v>39</v>
      </c>
      <c r="D7" s="382" t="s">
        <v>27</v>
      </c>
      <c r="E7" s="383" t="s">
        <v>3045</v>
      </c>
      <c r="F7" s="382" t="s">
        <v>1027</v>
      </c>
      <c r="G7" s="382" t="s">
        <v>42</v>
      </c>
      <c r="H7" s="384" t="s">
        <v>3046</v>
      </c>
      <c r="I7" s="382" t="s">
        <v>44</v>
      </c>
      <c r="J7" s="385" t="s">
        <v>45</v>
      </c>
      <c r="K7" s="386" t="s">
        <v>46</v>
      </c>
      <c r="L7" s="382" t="s">
        <v>47</v>
      </c>
      <c r="M7" s="387"/>
      <c r="N7" s="387"/>
      <c r="O7" s="387"/>
      <c r="P7" s="387"/>
      <c r="Q7" s="387"/>
      <c r="R7" s="387"/>
      <c r="S7" s="387"/>
      <c r="T7" s="387"/>
      <c r="U7" s="387"/>
      <c r="V7" s="387"/>
      <c r="W7" s="387"/>
      <c r="X7" s="387"/>
      <c r="Y7" s="387"/>
      <c r="Z7" s="387"/>
      <c r="AA7" s="387"/>
      <c r="AB7" s="387"/>
      <c r="AC7" s="387"/>
      <c r="AD7" s="387"/>
    </row>
    <row r="8" ht="24.0" customHeight="1">
      <c r="A8" s="373">
        <v>14.0</v>
      </c>
      <c r="B8" s="374" t="s">
        <v>98</v>
      </c>
      <c r="C8" s="374" t="s">
        <v>99</v>
      </c>
      <c r="D8" s="374" t="s">
        <v>27</v>
      </c>
      <c r="E8" s="375" t="s">
        <v>3047</v>
      </c>
      <c r="F8" s="374" t="s">
        <v>1018</v>
      </c>
      <c r="G8" s="374" t="s">
        <v>42</v>
      </c>
      <c r="H8" s="376" t="s">
        <v>3048</v>
      </c>
      <c r="I8" s="374" t="s">
        <v>102</v>
      </c>
      <c r="J8" s="377" t="s">
        <v>103</v>
      </c>
      <c r="K8" s="378" t="s">
        <v>104</v>
      </c>
      <c r="L8" s="374" t="s">
        <v>2867</v>
      </c>
      <c r="M8" s="379"/>
      <c r="N8" s="379"/>
      <c r="O8" s="379"/>
      <c r="P8" s="379"/>
      <c r="Q8" s="379"/>
      <c r="R8" s="379"/>
      <c r="S8" s="379"/>
      <c r="T8" s="379"/>
      <c r="U8" s="379"/>
      <c r="V8" s="379"/>
      <c r="W8" s="379"/>
      <c r="X8" s="379"/>
      <c r="Y8" s="379"/>
      <c r="Z8" s="379"/>
      <c r="AA8" s="379"/>
      <c r="AB8" s="379"/>
      <c r="AC8" s="379"/>
      <c r="AD8" s="379"/>
    </row>
    <row r="9" ht="24.75" customHeight="1">
      <c r="A9" s="388">
        <v>15.0</v>
      </c>
      <c r="B9" s="389" t="s">
        <v>74</v>
      </c>
      <c r="C9" s="389" t="s">
        <v>75</v>
      </c>
      <c r="D9" s="298" t="s">
        <v>27</v>
      </c>
      <c r="E9" s="390" t="s">
        <v>3049</v>
      </c>
      <c r="F9" s="389" t="s">
        <v>1027</v>
      </c>
      <c r="G9" s="389" t="s">
        <v>42</v>
      </c>
      <c r="H9" s="285" t="s">
        <v>3050</v>
      </c>
      <c r="I9" s="389" t="s">
        <v>78</v>
      </c>
      <c r="J9" s="391" t="s">
        <v>79</v>
      </c>
      <c r="K9" s="389" t="s">
        <v>80</v>
      </c>
      <c r="L9" s="389" t="s">
        <v>2868</v>
      </c>
      <c r="M9" s="369"/>
      <c r="N9" s="369"/>
      <c r="O9" s="369"/>
      <c r="P9" s="369"/>
      <c r="Q9" s="369"/>
      <c r="R9" s="369"/>
      <c r="S9" s="369"/>
      <c r="T9" s="369"/>
      <c r="U9" s="369"/>
      <c r="V9" s="369"/>
      <c r="W9" s="369"/>
      <c r="X9" s="369"/>
      <c r="Y9" s="369"/>
      <c r="Z9" s="369"/>
      <c r="AA9" s="369"/>
      <c r="AB9" s="369"/>
      <c r="AC9" s="369"/>
      <c r="AD9" s="369"/>
    </row>
    <row r="10" ht="27.0" customHeight="1">
      <c r="A10" s="388"/>
      <c r="B10" s="298" t="s">
        <v>135</v>
      </c>
      <c r="C10" s="298" t="s">
        <v>136</v>
      </c>
      <c r="D10" s="298" t="s">
        <v>27</v>
      </c>
      <c r="E10" s="390" t="s">
        <v>3049</v>
      </c>
      <c r="F10" s="298" t="s">
        <v>1018</v>
      </c>
      <c r="G10" s="298" t="s">
        <v>42</v>
      </c>
      <c r="H10" s="285" t="s">
        <v>3051</v>
      </c>
      <c r="I10" s="298" t="s">
        <v>138</v>
      </c>
      <c r="J10" s="392" t="s">
        <v>3052</v>
      </c>
      <c r="K10" s="389" t="s">
        <v>141</v>
      </c>
      <c r="L10" s="298" t="s">
        <v>2871</v>
      </c>
      <c r="M10" s="369"/>
      <c r="N10" s="369"/>
      <c r="O10" s="369"/>
      <c r="P10" s="369"/>
      <c r="Q10" s="369"/>
      <c r="R10" s="369"/>
      <c r="S10" s="369"/>
      <c r="T10" s="369"/>
      <c r="U10" s="369"/>
      <c r="V10" s="369"/>
      <c r="W10" s="369"/>
      <c r="X10" s="369"/>
      <c r="Y10" s="369"/>
      <c r="Z10" s="369"/>
      <c r="AA10" s="369"/>
      <c r="AB10" s="369"/>
      <c r="AC10" s="369"/>
      <c r="AD10" s="369"/>
    </row>
    <row r="11" ht="27.0" customHeight="1">
      <c r="A11" s="393">
        <v>18.0</v>
      </c>
      <c r="B11" s="374" t="s">
        <v>122</v>
      </c>
      <c r="C11" s="374" t="s">
        <v>123</v>
      </c>
      <c r="D11" s="374" t="s">
        <v>27</v>
      </c>
      <c r="E11" s="375" t="s">
        <v>3053</v>
      </c>
      <c r="F11" s="374" t="s">
        <v>1018</v>
      </c>
      <c r="G11" s="374" t="s">
        <v>42</v>
      </c>
      <c r="H11" s="374" t="s">
        <v>125</v>
      </c>
      <c r="I11" s="374" t="s">
        <v>126</v>
      </c>
      <c r="J11" s="377" t="s">
        <v>2873</v>
      </c>
      <c r="K11" s="378"/>
      <c r="L11" s="374" t="s">
        <v>2874</v>
      </c>
      <c r="M11" s="379"/>
      <c r="N11" s="379"/>
      <c r="O11" s="379"/>
      <c r="P11" s="379"/>
      <c r="Q11" s="379"/>
      <c r="R11" s="379"/>
      <c r="S11" s="379"/>
      <c r="T11" s="379"/>
      <c r="U11" s="379"/>
      <c r="V11" s="379"/>
      <c r="W11" s="379"/>
      <c r="X11" s="379"/>
      <c r="Y11" s="379"/>
      <c r="Z11" s="379"/>
      <c r="AA11" s="379"/>
      <c r="AB11" s="379"/>
      <c r="AC11" s="379"/>
      <c r="AD11" s="379"/>
    </row>
    <row r="12" ht="26.25" customHeight="1">
      <c r="A12" s="373"/>
      <c r="B12" s="374" t="s">
        <v>146</v>
      </c>
      <c r="C12" s="374" t="s">
        <v>2644</v>
      </c>
      <c r="D12" s="374" t="s">
        <v>27</v>
      </c>
      <c r="E12" s="375" t="s">
        <v>3053</v>
      </c>
      <c r="F12" s="374" t="s">
        <v>1027</v>
      </c>
      <c r="G12" s="374" t="s">
        <v>42</v>
      </c>
      <c r="H12" s="374" t="s">
        <v>148</v>
      </c>
      <c r="I12" s="374" t="s">
        <v>149</v>
      </c>
      <c r="J12" s="377" t="s">
        <v>2877</v>
      </c>
      <c r="K12" s="378" t="s">
        <v>151</v>
      </c>
      <c r="L12" s="374" t="s">
        <v>2878</v>
      </c>
      <c r="M12" s="379"/>
      <c r="N12" s="379"/>
      <c r="O12" s="379"/>
      <c r="P12" s="379"/>
      <c r="Q12" s="379"/>
      <c r="R12" s="379"/>
      <c r="S12" s="379"/>
      <c r="T12" s="379"/>
      <c r="U12" s="379"/>
      <c r="V12" s="379"/>
      <c r="W12" s="379"/>
      <c r="X12" s="379"/>
      <c r="Y12" s="379"/>
      <c r="Z12" s="379"/>
      <c r="AA12" s="379"/>
      <c r="AB12" s="379"/>
      <c r="AC12" s="379"/>
      <c r="AD12" s="379"/>
    </row>
    <row r="13" ht="27.0" customHeight="1">
      <c r="A13" s="373"/>
      <c r="B13" s="374" t="s">
        <v>203</v>
      </c>
      <c r="C13" s="374" t="s">
        <v>204</v>
      </c>
      <c r="D13" s="374" t="s">
        <v>54</v>
      </c>
      <c r="E13" s="375" t="s">
        <v>3042</v>
      </c>
      <c r="F13" s="374" t="s">
        <v>1027</v>
      </c>
      <c r="G13" s="374" t="s">
        <v>160</v>
      </c>
      <c r="H13" s="374" t="s">
        <v>205</v>
      </c>
      <c r="I13" s="374" t="s">
        <v>149</v>
      </c>
      <c r="J13" s="374" t="s">
        <v>3054</v>
      </c>
      <c r="K13" s="378" t="s">
        <v>208</v>
      </c>
      <c r="L13" s="374" t="s">
        <v>209</v>
      </c>
      <c r="M13" s="379"/>
      <c r="N13" s="379"/>
      <c r="O13" s="379"/>
      <c r="P13" s="379"/>
      <c r="Q13" s="379"/>
      <c r="R13" s="379"/>
      <c r="S13" s="379"/>
      <c r="T13" s="379"/>
      <c r="U13" s="379"/>
      <c r="V13" s="379"/>
      <c r="W13" s="379"/>
      <c r="X13" s="379"/>
      <c r="Y13" s="379"/>
      <c r="Z13" s="379"/>
      <c r="AA13" s="379"/>
      <c r="AB13" s="379"/>
      <c r="AC13" s="379"/>
      <c r="AD13" s="379"/>
    </row>
    <row r="14" ht="27.0" customHeight="1">
      <c r="A14" s="373"/>
      <c r="B14" s="374" t="s">
        <v>223</v>
      </c>
      <c r="C14" s="374" t="s">
        <v>224</v>
      </c>
      <c r="D14" s="374" t="s">
        <v>54</v>
      </c>
      <c r="E14" s="375" t="s">
        <v>3042</v>
      </c>
      <c r="F14" s="374" t="s">
        <v>1027</v>
      </c>
      <c r="G14" s="374" t="s">
        <v>160</v>
      </c>
      <c r="H14" s="376" t="s">
        <v>3055</v>
      </c>
      <c r="I14" s="374" t="s">
        <v>226</v>
      </c>
      <c r="J14" s="374" t="s">
        <v>2818</v>
      </c>
      <c r="K14" s="378" t="s">
        <v>228</v>
      </c>
      <c r="L14" s="374" t="s">
        <v>229</v>
      </c>
      <c r="M14" s="379"/>
      <c r="N14" s="379"/>
      <c r="O14" s="379"/>
      <c r="P14" s="379"/>
      <c r="Q14" s="379"/>
      <c r="R14" s="379"/>
      <c r="S14" s="379"/>
      <c r="T14" s="379"/>
      <c r="U14" s="379"/>
      <c r="V14" s="379"/>
      <c r="W14" s="379"/>
      <c r="X14" s="379"/>
      <c r="Y14" s="379"/>
      <c r="Z14" s="379"/>
      <c r="AA14" s="379"/>
      <c r="AB14" s="379"/>
      <c r="AC14" s="379"/>
      <c r="AD14" s="379"/>
    </row>
    <row r="15" ht="27.0" customHeight="1">
      <c r="A15" s="373"/>
      <c r="B15" s="374" t="s">
        <v>260</v>
      </c>
      <c r="C15" s="374" t="s">
        <v>261</v>
      </c>
      <c r="D15" s="374" t="s">
        <v>54</v>
      </c>
      <c r="E15" s="375" t="s">
        <v>3042</v>
      </c>
      <c r="F15" s="374" t="s">
        <v>1018</v>
      </c>
      <c r="G15" s="374" t="s">
        <v>160</v>
      </c>
      <c r="H15" s="376" t="s">
        <v>1829</v>
      </c>
      <c r="I15" s="374" t="s">
        <v>263</v>
      </c>
      <c r="J15" s="377" t="s">
        <v>264</v>
      </c>
      <c r="K15" s="378" t="s">
        <v>265</v>
      </c>
      <c r="L15" s="374" t="s">
        <v>266</v>
      </c>
      <c r="M15" s="379"/>
      <c r="N15" s="379"/>
      <c r="O15" s="379"/>
      <c r="P15" s="379"/>
      <c r="Q15" s="379"/>
      <c r="R15" s="379"/>
      <c r="S15" s="379"/>
      <c r="T15" s="379"/>
      <c r="U15" s="379"/>
      <c r="V15" s="379"/>
      <c r="W15" s="379"/>
      <c r="X15" s="379"/>
      <c r="Y15" s="379"/>
      <c r="Z15" s="379"/>
      <c r="AA15" s="379"/>
      <c r="AB15" s="379"/>
      <c r="AC15" s="379"/>
      <c r="AD15" s="379"/>
    </row>
    <row r="16" ht="27.75" customHeight="1">
      <c r="A16" s="388">
        <v>3.0</v>
      </c>
      <c r="B16" s="298" t="s">
        <v>157</v>
      </c>
      <c r="C16" s="298" t="s">
        <v>158</v>
      </c>
      <c r="D16" s="298" t="s">
        <v>54</v>
      </c>
      <c r="E16" s="394" t="s">
        <v>3056</v>
      </c>
      <c r="F16" s="298" t="s">
        <v>1027</v>
      </c>
      <c r="G16" s="298" t="s">
        <v>160</v>
      </c>
      <c r="H16" s="298" t="s">
        <v>161</v>
      </c>
      <c r="I16" s="298" t="s">
        <v>162</v>
      </c>
      <c r="J16" s="392" t="s">
        <v>163</v>
      </c>
      <c r="K16" s="389" t="s">
        <v>164</v>
      </c>
      <c r="L16" s="298" t="s">
        <v>165</v>
      </c>
      <c r="M16" s="369"/>
      <c r="N16" s="369"/>
      <c r="O16" s="369"/>
      <c r="P16" s="369"/>
      <c r="Q16" s="369"/>
      <c r="R16" s="369"/>
      <c r="S16" s="369"/>
      <c r="T16" s="369"/>
      <c r="U16" s="369"/>
      <c r="V16" s="369"/>
      <c r="W16" s="369"/>
      <c r="X16" s="369"/>
      <c r="Y16" s="369"/>
      <c r="Z16" s="369"/>
      <c r="AA16" s="369"/>
      <c r="AB16" s="369"/>
      <c r="AC16" s="369"/>
      <c r="AD16" s="369"/>
    </row>
    <row r="17" ht="27.75" customHeight="1">
      <c r="A17" s="388"/>
      <c r="B17" s="298" t="s">
        <v>191</v>
      </c>
      <c r="C17" s="298" t="s">
        <v>192</v>
      </c>
      <c r="D17" s="298" t="s">
        <v>54</v>
      </c>
      <c r="E17" s="394" t="s">
        <v>3056</v>
      </c>
      <c r="F17" s="298" t="s">
        <v>1027</v>
      </c>
      <c r="G17" s="298" t="s">
        <v>160</v>
      </c>
      <c r="H17" s="285" t="s">
        <v>3057</v>
      </c>
      <c r="I17" s="298" t="s">
        <v>194</v>
      </c>
      <c r="J17" s="298" t="s">
        <v>195</v>
      </c>
      <c r="K17" s="389" t="s">
        <v>196</v>
      </c>
      <c r="L17" s="298" t="s">
        <v>197</v>
      </c>
      <c r="M17" s="369"/>
      <c r="N17" s="369"/>
      <c r="O17" s="369"/>
      <c r="P17" s="369"/>
      <c r="Q17" s="369"/>
      <c r="R17" s="369"/>
      <c r="S17" s="369"/>
      <c r="T17" s="369"/>
      <c r="U17" s="369"/>
      <c r="V17" s="369"/>
      <c r="W17" s="369"/>
      <c r="X17" s="369"/>
      <c r="Y17" s="369"/>
      <c r="Z17" s="369"/>
      <c r="AA17" s="369"/>
      <c r="AB17" s="369"/>
      <c r="AC17" s="369"/>
      <c r="AD17" s="369"/>
    </row>
    <row r="18" ht="27.75" customHeight="1">
      <c r="A18" s="388"/>
      <c r="B18" s="298" t="s">
        <v>241</v>
      </c>
      <c r="C18" s="298" t="s">
        <v>242</v>
      </c>
      <c r="D18" s="298" t="s">
        <v>54</v>
      </c>
      <c r="E18" s="394" t="s">
        <v>3056</v>
      </c>
      <c r="F18" s="298" t="s">
        <v>1027</v>
      </c>
      <c r="G18" s="298" t="s">
        <v>160</v>
      </c>
      <c r="H18" s="298" t="s">
        <v>243</v>
      </c>
      <c r="I18" s="298" t="s">
        <v>244</v>
      </c>
      <c r="J18" s="298" t="s">
        <v>245</v>
      </c>
      <c r="K18" s="389" t="s">
        <v>246</v>
      </c>
      <c r="L18" s="298" t="s">
        <v>247</v>
      </c>
      <c r="M18" s="369"/>
      <c r="N18" s="369"/>
      <c r="O18" s="369"/>
      <c r="P18" s="369"/>
      <c r="Q18" s="369"/>
      <c r="R18" s="369"/>
      <c r="S18" s="369"/>
      <c r="T18" s="369"/>
      <c r="U18" s="369"/>
      <c r="V18" s="369"/>
      <c r="W18" s="369"/>
      <c r="X18" s="369"/>
      <c r="Y18" s="369"/>
      <c r="Z18" s="369"/>
      <c r="AA18" s="369"/>
      <c r="AB18" s="369"/>
      <c r="AC18" s="369"/>
      <c r="AD18" s="369"/>
    </row>
    <row r="19" ht="27.75" customHeight="1">
      <c r="A19" s="388"/>
      <c r="B19" s="298" t="s">
        <v>271</v>
      </c>
      <c r="C19" s="298" t="s">
        <v>272</v>
      </c>
      <c r="D19" s="298" t="s">
        <v>54</v>
      </c>
      <c r="E19" s="394" t="s">
        <v>3056</v>
      </c>
      <c r="F19" s="298" t="s">
        <v>1027</v>
      </c>
      <c r="G19" s="298" t="s">
        <v>160</v>
      </c>
      <c r="H19" s="298" t="s">
        <v>217</v>
      </c>
      <c r="I19" s="298" t="s">
        <v>273</v>
      </c>
      <c r="J19" s="298" t="s">
        <v>2835</v>
      </c>
      <c r="K19" s="389" t="s">
        <v>275</v>
      </c>
      <c r="L19" s="298" t="s">
        <v>276</v>
      </c>
      <c r="M19" s="369"/>
      <c r="N19" s="369"/>
      <c r="O19" s="369"/>
      <c r="P19" s="369"/>
      <c r="Q19" s="369"/>
      <c r="R19" s="369"/>
      <c r="S19" s="369"/>
      <c r="T19" s="369"/>
      <c r="U19" s="369"/>
      <c r="V19" s="369"/>
      <c r="W19" s="369"/>
      <c r="X19" s="369"/>
      <c r="Y19" s="369"/>
      <c r="Z19" s="369"/>
      <c r="AA19" s="369"/>
      <c r="AB19" s="369"/>
      <c r="AC19" s="369"/>
      <c r="AD19" s="369"/>
    </row>
    <row r="20" ht="24.75" customHeight="1">
      <c r="A20" s="388"/>
      <c r="B20" s="298" t="s">
        <v>282</v>
      </c>
      <c r="C20" s="298" t="s">
        <v>192</v>
      </c>
      <c r="D20" s="298" t="s">
        <v>54</v>
      </c>
      <c r="E20" s="394" t="s">
        <v>3056</v>
      </c>
      <c r="F20" s="298" t="s">
        <v>1027</v>
      </c>
      <c r="G20" s="298" t="s">
        <v>160</v>
      </c>
      <c r="H20" s="298" t="s">
        <v>184</v>
      </c>
      <c r="I20" s="298" t="s">
        <v>283</v>
      </c>
      <c r="J20" s="298" t="s">
        <v>284</v>
      </c>
      <c r="K20" s="389" t="s">
        <v>285</v>
      </c>
      <c r="L20" s="298" t="s">
        <v>286</v>
      </c>
      <c r="M20" s="369"/>
      <c r="N20" s="369"/>
      <c r="O20" s="369"/>
      <c r="P20" s="369"/>
      <c r="Q20" s="369"/>
      <c r="R20" s="369"/>
      <c r="S20" s="369"/>
      <c r="T20" s="369"/>
      <c r="U20" s="369"/>
      <c r="V20" s="369"/>
      <c r="W20" s="369"/>
      <c r="X20" s="369"/>
      <c r="Y20" s="369"/>
      <c r="Z20" s="369"/>
      <c r="AA20" s="369"/>
      <c r="AB20" s="369"/>
      <c r="AC20" s="369"/>
      <c r="AD20" s="369"/>
    </row>
    <row r="21" ht="24.75" customHeight="1">
      <c r="A21" s="393">
        <v>20.0</v>
      </c>
      <c r="B21" s="374" t="s">
        <v>171</v>
      </c>
      <c r="C21" s="374" t="s">
        <v>172</v>
      </c>
      <c r="D21" s="374" t="s">
        <v>27</v>
      </c>
      <c r="E21" s="375" t="s">
        <v>3058</v>
      </c>
      <c r="F21" s="374" t="s">
        <v>1018</v>
      </c>
      <c r="G21" s="374" t="s">
        <v>160</v>
      </c>
      <c r="H21" s="374" t="s">
        <v>174</v>
      </c>
      <c r="I21" s="374" t="s">
        <v>175</v>
      </c>
      <c r="J21" s="377" t="s">
        <v>176</v>
      </c>
      <c r="K21" s="378">
        <v>2.7114533481E10</v>
      </c>
      <c r="L21" s="374" t="s">
        <v>177</v>
      </c>
      <c r="M21" s="395"/>
      <c r="N21" s="395"/>
      <c r="O21" s="395"/>
      <c r="P21" s="395"/>
      <c r="Q21" s="395"/>
      <c r="R21" s="395"/>
      <c r="S21" s="395"/>
      <c r="T21" s="395"/>
      <c r="U21" s="395"/>
      <c r="V21" s="395"/>
      <c r="W21" s="395"/>
      <c r="X21" s="395"/>
      <c r="Y21" s="395"/>
      <c r="Z21" s="395"/>
      <c r="AA21" s="395"/>
      <c r="AB21" s="395"/>
      <c r="AC21" s="395"/>
      <c r="AD21" s="395"/>
    </row>
    <row r="22" ht="25.5" customHeight="1">
      <c r="A22" s="396">
        <v>21.0</v>
      </c>
      <c r="B22" s="298" t="s">
        <v>180</v>
      </c>
      <c r="C22" s="298" t="s">
        <v>181</v>
      </c>
      <c r="D22" s="298" t="s">
        <v>183</v>
      </c>
      <c r="E22" s="390" t="s">
        <v>3059</v>
      </c>
      <c r="F22" s="298" t="s">
        <v>1027</v>
      </c>
      <c r="G22" s="298" t="s">
        <v>160</v>
      </c>
      <c r="H22" s="298" t="s">
        <v>184</v>
      </c>
      <c r="I22" s="298" t="s">
        <v>185</v>
      </c>
      <c r="J22" s="298" t="s">
        <v>186</v>
      </c>
      <c r="K22" s="389" t="s">
        <v>187</v>
      </c>
      <c r="L22" s="298" t="s">
        <v>188</v>
      </c>
      <c r="M22" s="369"/>
      <c r="N22" s="369"/>
      <c r="O22" s="369"/>
      <c r="P22" s="369"/>
      <c r="Q22" s="369"/>
      <c r="R22" s="369"/>
      <c r="S22" s="369"/>
      <c r="T22" s="369"/>
      <c r="U22" s="369"/>
      <c r="V22" s="369"/>
      <c r="W22" s="369"/>
      <c r="X22" s="369"/>
      <c r="Y22" s="369"/>
      <c r="Z22" s="369"/>
      <c r="AA22" s="369"/>
      <c r="AB22" s="369"/>
      <c r="AC22" s="369"/>
      <c r="AD22" s="369"/>
    </row>
    <row r="23" ht="23.25" customHeight="1">
      <c r="A23" s="388"/>
      <c r="B23" s="298" t="s">
        <v>216</v>
      </c>
      <c r="C23" s="298" t="s">
        <v>216</v>
      </c>
      <c r="D23" s="298" t="s">
        <v>183</v>
      </c>
      <c r="E23" s="390" t="s">
        <v>3059</v>
      </c>
      <c r="F23" s="298" t="s">
        <v>1027</v>
      </c>
      <c r="G23" s="298" t="s">
        <v>160</v>
      </c>
      <c r="H23" s="298" t="s">
        <v>217</v>
      </c>
      <c r="I23" s="298" t="s">
        <v>218</v>
      </c>
      <c r="J23" s="298" t="s">
        <v>219</v>
      </c>
      <c r="K23" s="389"/>
      <c r="L23" s="298" t="s">
        <v>220</v>
      </c>
      <c r="M23" s="369"/>
      <c r="N23" s="369"/>
      <c r="O23" s="369"/>
      <c r="P23" s="369"/>
      <c r="Q23" s="369"/>
      <c r="R23" s="369"/>
      <c r="S23" s="369"/>
      <c r="T23" s="369"/>
      <c r="U23" s="369"/>
      <c r="V23" s="369"/>
      <c r="W23" s="369"/>
      <c r="X23" s="369"/>
      <c r="Y23" s="369"/>
      <c r="Z23" s="369"/>
      <c r="AA23" s="369"/>
      <c r="AB23" s="369"/>
      <c r="AC23" s="369"/>
      <c r="AD23" s="369"/>
    </row>
    <row r="24" ht="27.0" customHeight="1">
      <c r="A24" s="388"/>
      <c r="B24" s="298" t="s">
        <v>235</v>
      </c>
      <c r="C24" s="298" t="s">
        <v>236</v>
      </c>
      <c r="D24" s="298" t="s">
        <v>183</v>
      </c>
      <c r="E24" s="390" t="s">
        <v>3059</v>
      </c>
      <c r="F24" s="298" t="s">
        <v>1027</v>
      </c>
      <c r="G24" s="298" t="s">
        <v>160</v>
      </c>
      <c r="H24" s="298" t="s">
        <v>237</v>
      </c>
      <c r="I24" s="298" t="s">
        <v>91</v>
      </c>
      <c r="J24" s="285" t="s">
        <v>238</v>
      </c>
      <c r="K24" s="389"/>
      <c r="L24" s="298" t="s">
        <v>239</v>
      </c>
      <c r="M24" s="369"/>
      <c r="N24" s="369"/>
      <c r="O24" s="369"/>
      <c r="P24" s="369"/>
      <c r="Q24" s="369"/>
      <c r="R24" s="369"/>
      <c r="S24" s="369"/>
      <c r="T24" s="369"/>
      <c r="U24" s="369"/>
      <c r="V24" s="369"/>
      <c r="W24" s="369"/>
      <c r="X24" s="369"/>
      <c r="Y24" s="369"/>
      <c r="Z24" s="369"/>
      <c r="AA24" s="369"/>
      <c r="AB24" s="369"/>
      <c r="AC24" s="369"/>
      <c r="AD24" s="369"/>
    </row>
    <row r="25" ht="27.75" customHeight="1">
      <c r="A25" s="388"/>
      <c r="B25" s="298" t="s">
        <v>251</v>
      </c>
      <c r="C25" s="298" t="s">
        <v>252</v>
      </c>
      <c r="D25" s="298" t="s">
        <v>183</v>
      </c>
      <c r="E25" s="390" t="s">
        <v>3059</v>
      </c>
      <c r="F25" s="298" t="s">
        <v>1027</v>
      </c>
      <c r="G25" s="298" t="s">
        <v>160</v>
      </c>
      <c r="H25" s="298" t="s">
        <v>253</v>
      </c>
      <c r="I25" s="298" t="s">
        <v>254</v>
      </c>
      <c r="J25" s="298" t="s">
        <v>2918</v>
      </c>
      <c r="K25" s="389">
        <v>2.317701177E10</v>
      </c>
      <c r="L25" s="298" t="s">
        <v>256</v>
      </c>
      <c r="M25" s="369"/>
      <c r="N25" s="369"/>
      <c r="O25" s="369"/>
      <c r="P25" s="369"/>
      <c r="Q25" s="369"/>
      <c r="R25" s="369"/>
      <c r="S25" s="369"/>
      <c r="T25" s="369"/>
      <c r="U25" s="369"/>
      <c r="V25" s="369"/>
      <c r="W25" s="369"/>
      <c r="X25" s="369"/>
      <c r="Y25" s="369"/>
      <c r="Z25" s="369"/>
      <c r="AA25" s="369"/>
      <c r="AB25" s="369"/>
      <c r="AC25" s="369"/>
      <c r="AD25" s="369"/>
    </row>
    <row r="26" ht="27.0" customHeight="1">
      <c r="A26" s="388">
        <v>11.0</v>
      </c>
      <c r="B26" s="298" t="s">
        <v>292</v>
      </c>
      <c r="C26" s="298" t="s">
        <v>293</v>
      </c>
      <c r="D26" s="298" t="s">
        <v>27</v>
      </c>
      <c r="E26" s="390" t="s">
        <v>3060</v>
      </c>
      <c r="F26" s="298" t="s">
        <v>1027</v>
      </c>
      <c r="G26" s="285" t="s">
        <v>3061</v>
      </c>
      <c r="H26" s="298" t="s">
        <v>296</v>
      </c>
      <c r="I26" s="298" t="s">
        <v>297</v>
      </c>
      <c r="J26" s="392" t="s">
        <v>3062</v>
      </c>
      <c r="K26" s="389" t="s">
        <v>300</v>
      </c>
      <c r="L26" s="298" t="s">
        <v>301</v>
      </c>
      <c r="M26" s="369"/>
      <c r="N26" s="369"/>
      <c r="O26" s="369"/>
      <c r="P26" s="369"/>
      <c r="Q26" s="369"/>
      <c r="R26" s="369"/>
      <c r="S26" s="369"/>
      <c r="T26" s="369"/>
      <c r="U26" s="369"/>
      <c r="V26" s="369"/>
      <c r="W26" s="369"/>
      <c r="X26" s="369"/>
      <c r="Y26" s="369"/>
      <c r="Z26" s="369"/>
      <c r="AA26" s="369"/>
      <c r="AB26" s="369"/>
      <c r="AC26" s="369"/>
      <c r="AD26" s="369"/>
    </row>
    <row r="27" ht="24.75" customHeight="1">
      <c r="A27" s="373"/>
      <c r="B27" s="376" t="s">
        <v>2660</v>
      </c>
      <c r="C27" s="374" t="s">
        <v>2882</v>
      </c>
      <c r="D27" s="374" t="s">
        <v>27</v>
      </c>
      <c r="E27" s="375" t="s">
        <v>3058</v>
      </c>
      <c r="F27" s="374" t="s">
        <v>1018</v>
      </c>
      <c r="G27" s="376" t="s">
        <v>2883</v>
      </c>
      <c r="H27" s="374" t="s">
        <v>311</v>
      </c>
      <c r="I27" s="374" t="s">
        <v>312</v>
      </c>
      <c r="J27" s="377" t="s">
        <v>313</v>
      </c>
      <c r="K27" s="378">
        <v>2.7117173009E10</v>
      </c>
      <c r="L27" s="374" t="s">
        <v>314</v>
      </c>
      <c r="M27" s="379"/>
      <c r="N27" s="379"/>
      <c r="O27" s="379"/>
      <c r="P27" s="379"/>
      <c r="Q27" s="379"/>
      <c r="R27" s="379"/>
      <c r="S27" s="379"/>
      <c r="T27" s="379"/>
      <c r="U27" s="379"/>
      <c r="V27" s="379"/>
      <c r="W27" s="379"/>
      <c r="X27" s="379"/>
      <c r="Y27" s="379"/>
      <c r="Z27" s="379"/>
      <c r="AA27" s="379"/>
      <c r="AB27" s="379"/>
      <c r="AC27" s="379"/>
      <c r="AD27" s="379"/>
    </row>
    <row r="28" ht="25.5" customHeight="1">
      <c r="A28" s="373"/>
      <c r="B28" s="374" t="s">
        <v>416</v>
      </c>
      <c r="C28" s="374" t="s">
        <v>417</v>
      </c>
      <c r="D28" s="374" t="s">
        <v>54</v>
      </c>
      <c r="E28" s="375" t="s">
        <v>3042</v>
      </c>
      <c r="F28" s="374" t="s">
        <v>1027</v>
      </c>
      <c r="G28" s="374" t="s">
        <v>320</v>
      </c>
      <c r="H28" s="376" t="s">
        <v>1940</v>
      </c>
      <c r="I28" s="374" t="s">
        <v>420</v>
      </c>
      <c r="J28" s="376" t="s">
        <v>421</v>
      </c>
      <c r="K28" s="378" t="s">
        <v>422</v>
      </c>
      <c r="L28" s="374" t="s">
        <v>423</v>
      </c>
      <c r="M28" s="379"/>
      <c r="N28" s="379"/>
      <c r="O28" s="379"/>
      <c r="P28" s="379"/>
      <c r="Q28" s="379"/>
      <c r="R28" s="379"/>
      <c r="S28" s="379"/>
      <c r="T28" s="379"/>
      <c r="U28" s="379"/>
      <c r="V28" s="379"/>
      <c r="W28" s="379"/>
      <c r="X28" s="379"/>
      <c r="Y28" s="379"/>
      <c r="Z28" s="379"/>
      <c r="AA28" s="379"/>
      <c r="AB28" s="379"/>
      <c r="AC28" s="379"/>
      <c r="AD28" s="379"/>
    </row>
    <row r="29" ht="25.5" customHeight="1">
      <c r="A29" s="388"/>
      <c r="B29" s="298" t="s">
        <v>318</v>
      </c>
      <c r="C29" s="298" t="s">
        <v>319</v>
      </c>
      <c r="D29" s="298" t="s">
        <v>54</v>
      </c>
      <c r="E29" s="394" t="s">
        <v>3056</v>
      </c>
      <c r="F29" s="298" t="s">
        <v>1027</v>
      </c>
      <c r="G29" s="298" t="s">
        <v>320</v>
      </c>
      <c r="H29" s="397" t="s">
        <v>217</v>
      </c>
      <c r="I29" s="298" t="s">
        <v>322</v>
      </c>
      <c r="J29" s="392" t="s">
        <v>323</v>
      </c>
      <c r="K29" s="398" t="s">
        <v>324</v>
      </c>
      <c r="L29" s="398" t="s">
        <v>325</v>
      </c>
      <c r="M29" s="369"/>
      <c r="N29" s="369"/>
      <c r="O29" s="369"/>
      <c r="P29" s="369"/>
      <c r="Q29" s="369"/>
      <c r="R29" s="369"/>
      <c r="S29" s="369"/>
      <c r="T29" s="369"/>
      <c r="U29" s="369"/>
      <c r="V29" s="369"/>
      <c r="W29" s="369"/>
      <c r="X29" s="369"/>
      <c r="Y29" s="369"/>
      <c r="Z29" s="369"/>
      <c r="AA29" s="369"/>
      <c r="AB29" s="369"/>
      <c r="AC29" s="369"/>
      <c r="AD29" s="369"/>
    </row>
    <row r="30" ht="24.75" customHeight="1">
      <c r="A30" s="388"/>
      <c r="B30" s="298" t="s">
        <v>341</v>
      </c>
      <c r="C30" s="298" t="s">
        <v>342</v>
      </c>
      <c r="D30" s="298" t="s">
        <v>54</v>
      </c>
      <c r="E30" s="394" t="s">
        <v>3056</v>
      </c>
      <c r="F30" s="298" t="s">
        <v>1027</v>
      </c>
      <c r="G30" s="298" t="s">
        <v>320</v>
      </c>
      <c r="H30" s="285" t="s">
        <v>3063</v>
      </c>
      <c r="I30" s="298" t="s">
        <v>344</v>
      </c>
      <c r="J30" s="298" t="s">
        <v>345</v>
      </c>
      <c r="K30" s="389" t="s">
        <v>346</v>
      </c>
      <c r="L30" s="298" t="s">
        <v>347</v>
      </c>
      <c r="M30" s="369"/>
      <c r="N30" s="369"/>
      <c r="O30" s="369"/>
      <c r="P30" s="369"/>
      <c r="Q30" s="369"/>
      <c r="R30" s="369"/>
      <c r="S30" s="369"/>
      <c r="T30" s="369"/>
      <c r="U30" s="369"/>
      <c r="V30" s="369"/>
      <c r="W30" s="369"/>
      <c r="X30" s="369"/>
      <c r="Y30" s="369"/>
      <c r="Z30" s="369"/>
      <c r="AA30" s="369"/>
      <c r="AB30" s="369"/>
      <c r="AC30" s="369"/>
      <c r="AD30" s="369"/>
    </row>
    <row r="31" ht="24.0" customHeight="1">
      <c r="A31" s="388"/>
      <c r="B31" s="298" t="s">
        <v>439</v>
      </c>
      <c r="C31" s="298" t="s">
        <v>440</v>
      </c>
      <c r="D31" s="298" t="s">
        <v>54</v>
      </c>
      <c r="E31" s="394" t="s">
        <v>3056</v>
      </c>
      <c r="F31" s="298" t="s">
        <v>1027</v>
      </c>
      <c r="G31" s="298" t="s">
        <v>320</v>
      </c>
      <c r="H31" s="397" t="s">
        <v>3064</v>
      </c>
      <c r="I31" s="298" t="s">
        <v>442</v>
      </c>
      <c r="J31" s="392" t="s">
        <v>443</v>
      </c>
      <c r="K31" s="389" t="s">
        <v>444</v>
      </c>
      <c r="L31" s="298" t="s">
        <v>3065</v>
      </c>
      <c r="M31" s="369"/>
      <c r="N31" s="369"/>
      <c r="O31" s="369"/>
      <c r="P31" s="369"/>
      <c r="Q31" s="369"/>
      <c r="R31" s="369"/>
      <c r="S31" s="369"/>
      <c r="T31" s="369"/>
      <c r="U31" s="369"/>
      <c r="V31" s="369"/>
      <c r="W31" s="369"/>
      <c r="X31" s="369"/>
      <c r="Y31" s="369"/>
      <c r="Z31" s="369"/>
      <c r="AA31" s="369"/>
      <c r="AB31" s="369"/>
      <c r="AC31" s="369"/>
      <c r="AD31" s="369"/>
    </row>
    <row r="32" ht="25.5" customHeight="1">
      <c r="A32" s="388">
        <v>9.0</v>
      </c>
      <c r="B32" s="298" t="s">
        <v>330</v>
      </c>
      <c r="C32" s="298" t="s">
        <v>331</v>
      </c>
      <c r="D32" s="298" t="s">
        <v>27</v>
      </c>
      <c r="E32" s="390" t="s">
        <v>1814</v>
      </c>
      <c r="F32" s="298" t="s">
        <v>1018</v>
      </c>
      <c r="G32" s="298" t="s">
        <v>320</v>
      </c>
      <c r="H32" s="285" t="s">
        <v>1919</v>
      </c>
      <c r="I32" s="298" t="s">
        <v>334</v>
      </c>
      <c r="J32" s="392" t="s">
        <v>335</v>
      </c>
      <c r="K32" s="389">
        <v>2.746603889E10</v>
      </c>
      <c r="L32" s="298" t="s">
        <v>336</v>
      </c>
      <c r="M32" s="369"/>
      <c r="N32" s="369"/>
      <c r="O32" s="369"/>
      <c r="P32" s="369"/>
      <c r="Q32" s="369"/>
      <c r="R32" s="369"/>
      <c r="S32" s="369"/>
      <c r="T32" s="369"/>
      <c r="U32" s="369"/>
      <c r="V32" s="369"/>
      <c r="W32" s="369"/>
      <c r="X32" s="369"/>
      <c r="Y32" s="369"/>
      <c r="Z32" s="369"/>
      <c r="AA32" s="369"/>
      <c r="AB32" s="369"/>
      <c r="AC32" s="369"/>
      <c r="AD32" s="369"/>
    </row>
    <row r="33" ht="24.75" customHeight="1">
      <c r="A33" s="388"/>
      <c r="B33" s="298" t="s">
        <v>406</v>
      </c>
      <c r="C33" s="298" t="s">
        <v>407</v>
      </c>
      <c r="D33" s="298" t="s">
        <v>27</v>
      </c>
      <c r="E33" s="390" t="s">
        <v>3060</v>
      </c>
      <c r="F33" s="298" t="s">
        <v>1027</v>
      </c>
      <c r="G33" s="298" t="s">
        <v>320</v>
      </c>
      <c r="H33" s="285" t="s">
        <v>3066</v>
      </c>
      <c r="I33" s="298" t="s">
        <v>409</v>
      </c>
      <c r="J33" s="392" t="s">
        <v>410</v>
      </c>
      <c r="K33" s="389">
        <v>2.7734913005E10</v>
      </c>
      <c r="L33" s="298" t="s">
        <v>411</v>
      </c>
      <c r="M33" s="369"/>
      <c r="N33" s="369"/>
      <c r="O33" s="369"/>
      <c r="P33" s="369"/>
      <c r="Q33" s="369"/>
      <c r="R33" s="369"/>
      <c r="S33" s="369"/>
      <c r="T33" s="369"/>
      <c r="U33" s="369"/>
      <c r="V33" s="369"/>
      <c r="W33" s="369"/>
      <c r="X33" s="369"/>
      <c r="Y33" s="369"/>
      <c r="Z33" s="369"/>
      <c r="AA33" s="369"/>
      <c r="AB33" s="369"/>
      <c r="AC33" s="369"/>
      <c r="AD33" s="369"/>
    </row>
    <row r="34" ht="24.75" customHeight="1">
      <c r="A34" s="396">
        <v>17.0</v>
      </c>
      <c r="B34" s="352" t="s">
        <v>430</v>
      </c>
      <c r="C34" s="352" t="s">
        <v>431</v>
      </c>
      <c r="D34" s="298" t="s">
        <v>27</v>
      </c>
      <c r="E34" s="390" t="s">
        <v>3067</v>
      </c>
      <c r="F34" s="298" t="s">
        <v>1018</v>
      </c>
      <c r="G34" s="298" t="s">
        <v>320</v>
      </c>
      <c r="H34" s="285" t="s">
        <v>3068</v>
      </c>
      <c r="I34" s="298" t="s">
        <v>434</v>
      </c>
      <c r="J34" s="392" t="s">
        <v>435</v>
      </c>
      <c r="K34" s="389">
        <v>2.7159628185E10</v>
      </c>
      <c r="L34" s="298" t="s">
        <v>436</v>
      </c>
      <c r="M34" s="369"/>
      <c r="N34" s="369"/>
      <c r="O34" s="369"/>
      <c r="P34" s="369"/>
      <c r="Q34" s="369"/>
      <c r="R34" s="369"/>
      <c r="S34" s="369"/>
      <c r="T34" s="369"/>
      <c r="U34" s="369"/>
      <c r="V34" s="369"/>
      <c r="W34" s="369"/>
      <c r="X34" s="369"/>
      <c r="Y34" s="369"/>
      <c r="Z34" s="369"/>
      <c r="AA34" s="369"/>
      <c r="AB34" s="369"/>
      <c r="AC34" s="369"/>
      <c r="AD34" s="369"/>
    </row>
    <row r="35" ht="24.0" customHeight="1">
      <c r="A35" s="373"/>
      <c r="B35" s="374" t="s">
        <v>374</v>
      </c>
      <c r="C35" s="374" t="s">
        <v>375</v>
      </c>
      <c r="D35" s="374" t="s">
        <v>27</v>
      </c>
      <c r="E35" s="375" t="s">
        <v>3053</v>
      </c>
      <c r="F35" s="374" t="s">
        <v>1018</v>
      </c>
      <c r="G35" s="374" t="s">
        <v>320</v>
      </c>
      <c r="H35" s="376" t="s">
        <v>3048</v>
      </c>
      <c r="I35" s="374" t="s">
        <v>377</v>
      </c>
      <c r="J35" s="377" t="s">
        <v>2889</v>
      </c>
      <c r="K35" s="378" t="s">
        <v>379</v>
      </c>
      <c r="L35" s="374" t="s">
        <v>2890</v>
      </c>
      <c r="M35" s="379"/>
      <c r="N35" s="379"/>
      <c r="O35" s="379"/>
      <c r="P35" s="379"/>
      <c r="Q35" s="379"/>
      <c r="R35" s="379"/>
      <c r="S35" s="379"/>
      <c r="T35" s="379"/>
      <c r="U35" s="379"/>
      <c r="V35" s="379"/>
      <c r="W35" s="379"/>
      <c r="X35" s="379"/>
      <c r="Y35" s="379"/>
      <c r="Z35" s="379"/>
      <c r="AA35" s="379"/>
      <c r="AB35" s="379"/>
      <c r="AC35" s="379"/>
      <c r="AD35" s="379"/>
    </row>
    <row r="36" ht="23.25" customHeight="1">
      <c r="A36" s="373"/>
      <c r="B36" s="374" t="s">
        <v>387</v>
      </c>
      <c r="C36" s="374" t="s">
        <v>388</v>
      </c>
      <c r="D36" s="374" t="s">
        <v>27</v>
      </c>
      <c r="E36" s="375" t="s">
        <v>3053</v>
      </c>
      <c r="F36" s="374" t="s">
        <v>1027</v>
      </c>
      <c r="G36" s="374" t="s">
        <v>320</v>
      </c>
      <c r="H36" s="376" t="s">
        <v>3050</v>
      </c>
      <c r="I36" s="374" t="s">
        <v>390</v>
      </c>
      <c r="J36" s="377" t="s">
        <v>2893</v>
      </c>
      <c r="K36" s="378">
        <v>1.24203986E8</v>
      </c>
      <c r="L36" s="374" t="s">
        <v>392</v>
      </c>
      <c r="M36" s="379"/>
      <c r="N36" s="379"/>
      <c r="O36" s="379"/>
      <c r="P36" s="379"/>
      <c r="Q36" s="379"/>
      <c r="R36" s="379"/>
      <c r="S36" s="379"/>
      <c r="T36" s="379"/>
      <c r="U36" s="379"/>
      <c r="V36" s="379"/>
      <c r="W36" s="379"/>
      <c r="X36" s="379"/>
      <c r="Y36" s="379"/>
      <c r="Z36" s="379"/>
      <c r="AA36" s="379"/>
      <c r="AB36" s="379"/>
      <c r="AC36" s="379"/>
      <c r="AD36" s="379"/>
    </row>
    <row r="37" ht="24.75" customHeight="1">
      <c r="A37" s="373"/>
      <c r="B37" s="374" t="s">
        <v>397</v>
      </c>
      <c r="C37" s="374" t="s">
        <v>398</v>
      </c>
      <c r="D37" s="374" t="s">
        <v>27</v>
      </c>
      <c r="E37" s="375" t="s">
        <v>3053</v>
      </c>
      <c r="F37" s="374" t="s">
        <v>1018</v>
      </c>
      <c r="G37" s="374" t="s">
        <v>320</v>
      </c>
      <c r="H37" s="376" t="s">
        <v>3069</v>
      </c>
      <c r="I37" s="374" t="s">
        <v>400</v>
      </c>
      <c r="J37" s="374" t="s">
        <v>401</v>
      </c>
      <c r="K37" s="378">
        <v>2.7124202339E10</v>
      </c>
      <c r="L37" s="374" t="s">
        <v>402</v>
      </c>
      <c r="M37" s="379"/>
      <c r="N37" s="379"/>
      <c r="O37" s="379"/>
      <c r="P37" s="379"/>
      <c r="Q37" s="379"/>
      <c r="R37" s="379"/>
      <c r="S37" s="379"/>
      <c r="T37" s="379"/>
      <c r="U37" s="379"/>
      <c r="V37" s="379"/>
      <c r="W37" s="379"/>
      <c r="X37" s="379"/>
      <c r="Y37" s="379"/>
      <c r="Z37" s="379"/>
      <c r="AA37" s="379"/>
      <c r="AB37" s="379"/>
      <c r="AC37" s="379"/>
      <c r="AD37" s="379"/>
    </row>
    <row r="38" ht="24.75" customHeight="1">
      <c r="A38" s="388"/>
      <c r="B38" s="389" t="s">
        <v>354</v>
      </c>
      <c r="C38" s="389" t="s">
        <v>355</v>
      </c>
      <c r="D38" s="298" t="s">
        <v>183</v>
      </c>
      <c r="E38" s="390" t="s">
        <v>3059</v>
      </c>
      <c r="F38" s="389" t="s">
        <v>1027</v>
      </c>
      <c r="G38" s="298" t="s">
        <v>320</v>
      </c>
      <c r="H38" s="397" t="s">
        <v>1919</v>
      </c>
      <c r="I38" s="389" t="s">
        <v>357</v>
      </c>
      <c r="J38" s="391" t="s">
        <v>358</v>
      </c>
      <c r="K38" s="389">
        <v>2.316519229E9</v>
      </c>
      <c r="L38" s="389" t="s">
        <v>359</v>
      </c>
      <c r="M38" s="369"/>
      <c r="N38" s="369"/>
      <c r="O38" s="369"/>
      <c r="P38" s="369"/>
      <c r="Q38" s="369"/>
      <c r="R38" s="369"/>
      <c r="S38" s="369"/>
      <c r="T38" s="369"/>
      <c r="U38" s="369"/>
      <c r="V38" s="369"/>
      <c r="W38" s="369"/>
      <c r="X38" s="369"/>
      <c r="Y38" s="369"/>
      <c r="Z38" s="369"/>
      <c r="AA38" s="369"/>
      <c r="AB38" s="369"/>
      <c r="AC38" s="369"/>
      <c r="AD38" s="369"/>
    </row>
    <row r="39" ht="22.5" customHeight="1">
      <c r="A39" s="388"/>
      <c r="B39" s="298" t="s">
        <v>363</v>
      </c>
      <c r="C39" s="298" t="s">
        <v>364</v>
      </c>
      <c r="D39" s="298" t="s">
        <v>183</v>
      </c>
      <c r="E39" s="390" t="s">
        <v>3059</v>
      </c>
      <c r="F39" s="389" t="s">
        <v>1027</v>
      </c>
      <c r="G39" s="298" t="s">
        <v>320</v>
      </c>
      <c r="H39" s="397" t="s">
        <v>1868</v>
      </c>
      <c r="I39" s="298" t="s">
        <v>366</v>
      </c>
      <c r="J39" s="391" t="s">
        <v>368</v>
      </c>
      <c r="K39" s="389">
        <v>2.316466687E9</v>
      </c>
      <c r="L39" s="389" t="s">
        <v>369</v>
      </c>
      <c r="M39" s="369"/>
      <c r="N39" s="369"/>
      <c r="O39" s="369"/>
      <c r="P39" s="369"/>
      <c r="Q39" s="369"/>
      <c r="R39" s="369"/>
      <c r="S39" s="369"/>
      <c r="T39" s="369"/>
      <c r="U39" s="369"/>
      <c r="V39" s="369"/>
      <c r="W39" s="369"/>
      <c r="X39" s="369"/>
      <c r="Y39" s="369"/>
      <c r="Z39" s="369"/>
      <c r="AA39" s="369"/>
      <c r="AB39" s="369"/>
      <c r="AC39" s="369"/>
      <c r="AD39" s="369"/>
    </row>
    <row r="40" ht="24.0" customHeight="1">
      <c r="A40" s="388"/>
      <c r="B40" s="352" t="s">
        <v>449</v>
      </c>
      <c r="C40" s="352" t="s">
        <v>450</v>
      </c>
      <c r="D40" s="298" t="s">
        <v>183</v>
      </c>
      <c r="E40" s="390" t="s">
        <v>3059</v>
      </c>
      <c r="F40" s="298" t="s">
        <v>1027</v>
      </c>
      <c r="G40" s="298" t="s">
        <v>320</v>
      </c>
      <c r="H40" s="285" t="s">
        <v>3070</v>
      </c>
      <c r="I40" s="298" t="s">
        <v>453</v>
      </c>
      <c r="J40" s="392" t="s">
        <v>454</v>
      </c>
      <c r="K40" s="389" t="s">
        <v>455</v>
      </c>
      <c r="L40" s="298" t="s">
        <v>2919</v>
      </c>
      <c r="M40" s="369"/>
      <c r="N40" s="369"/>
      <c r="O40" s="369"/>
      <c r="P40" s="369"/>
      <c r="Q40" s="369"/>
      <c r="R40" s="369"/>
      <c r="S40" s="369"/>
      <c r="T40" s="369"/>
      <c r="U40" s="369"/>
      <c r="V40" s="369"/>
      <c r="W40" s="369"/>
      <c r="X40" s="369"/>
      <c r="Y40" s="369"/>
      <c r="Z40" s="369"/>
      <c r="AA40" s="369"/>
      <c r="AB40" s="369"/>
      <c r="AC40" s="369"/>
      <c r="AD40" s="369"/>
    </row>
    <row r="41" ht="23.25" customHeight="1">
      <c r="A41" s="388"/>
      <c r="B41" s="298" t="s">
        <v>482</v>
      </c>
      <c r="C41" s="298" t="s">
        <v>483</v>
      </c>
      <c r="D41" s="298" t="s">
        <v>54</v>
      </c>
      <c r="E41" s="394" t="s">
        <v>3056</v>
      </c>
      <c r="F41" s="298" t="s">
        <v>1027</v>
      </c>
      <c r="G41" s="298" t="s">
        <v>466</v>
      </c>
      <c r="H41" s="285" t="s">
        <v>1959</v>
      </c>
      <c r="I41" s="298" t="s">
        <v>485</v>
      </c>
      <c r="J41" s="392" t="s">
        <v>487</v>
      </c>
      <c r="K41" s="389" t="s">
        <v>488</v>
      </c>
      <c r="L41" s="298" t="s">
        <v>489</v>
      </c>
      <c r="M41" s="399"/>
      <c r="N41" s="399"/>
      <c r="O41" s="399"/>
      <c r="P41" s="399"/>
      <c r="Q41" s="399"/>
      <c r="R41" s="399"/>
      <c r="S41" s="399"/>
      <c r="T41" s="399"/>
      <c r="U41" s="399"/>
      <c r="V41" s="399"/>
      <c r="W41" s="399"/>
      <c r="X41" s="399"/>
      <c r="Y41" s="399"/>
      <c r="Z41" s="399"/>
      <c r="AA41" s="399"/>
      <c r="AB41" s="399"/>
      <c r="AC41" s="399"/>
      <c r="AD41" s="399"/>
    </row>
    <row r="42" ht="23.25" customHeight="1">
      <c r="A42" s="388"/>
      <c r="B42" s="298" t="s">
        <v>501</v>
      </c>
      <c r="C42" s="298" t="s">
        <v>502</v>
      </c>
      <c r="D42" s="298" t="s">
        <v>54</v>
      </c>
      <c r="E42" s="394" t="s">
        <v>3056</v>
      </c>
      <c r="F42" s="389" t="s">
        <v>1027</v>
      </c>
      <c r="G42" s="298" t="s">
        <v>466</v>
      </c>
      <c r="H42" s="397" t="s">
        <v>3064</v>
      </c>
      <c r="I42" s="298" t="s">
        <v>504</v>
      </c>
      <c r="J42" s="391" t="s">
        <v>505</v>
      </c>
      <c r="K42" s="389" t="s">
        <v>506</v>
      </c>
      <c r="L42" s="389" t="s">
        <v>507</v>
      </c>
      <c r="M42" s="369"/>
      <c r="N42" s="369"/>
      <c r="O42" s="369"/>
      <c r="P42" s="369"/>
      <c r="Q42" s="369"/>
      <c r="R42" s="369"/>
      <c r="S42" s="369"/>
      <c r="T42" s="369"/>
      <c r="U42" s="369"/>
      <c r="V42" s="369"/>
      <c r="W42" s="369"/>
      <c r="X42" s="369"/>
      <c r="Y42" s="369"/>
      <c r="Z42" s="369"/>
      <c r="AA42" s="369"/>
      <c r="AB42" s="369"/>
      <c r="AC42" s="369"/>
      <c r="AD42" s="369"/>
    </row>
    <row r="43" ht="23.25" customHeight="1">
      <c r="A43" s="388"/>
      <c r="B43" s="298" t="s">
        <v>512</v>
      </c>
      <c r="C43" s="298" t="s">
        <v>513</v>
      </c>
      <c r="D43" s="298" t="s">
        <v>54</v>
      </c>
      <c r="E43" s="394" t="s">
        <v>3056</v>
      </c>
      <c r="F43" s="298" t="s">
        <v>1027</v>
      </c>
      <c r="G43" s="298" t="s">
        <v>466</v>
      </c>
      <c r="H43" s="285" t="s">
        <v>3071</v>
      </c>
      <c r="I43" s="298" t="s">
        <v>515</v>
      </c>
      <c r="J43" s="392" t="s">
        <v>517</v>
      </c>
      <c r="K43" s="389" t="s">
        <v>518</v>
      </c>
      <c r="L43" s="298" t="s">
        <v>519</v>
      </c>
      <c r="M43" s="369"/>
      <c r="N43" s="369"/>
      <c r="O43" s="369"/>
      <c r="P43" s="369"/>
      <c r="Q43" s="369"/>
      <c r="R43" s="369"/>
      <c r="S43" s="369"/>
      <c r="T43" s="369"/>
      <c r="U43" s="369"/>
      <c r="V43" s="369"/>
      <c r="W43" s="369"/>
      <c r="X43" s="369"/>
      <c r="Y43" s="369"/>
      <c r="Z43" s="369"/>
      <c r="AA43" s="369"/>
      <c r="AB43" s="369"/>
      <c r="AC43" s="369"/>
      <c r="AD43" s="369"/>
    </row>
    <row r="44" ht="24.75" customHeight="1">
      <c r="A44" s="373">
        <v>4.0</v>
      </c>
      <c r="B44" s="374" t="s">
        <v>583</v>
      </c>
      <c r="C44" s="374" t="s">
        <v>192</v>
      </c>
      <c r="D44" s="374" t="s">
        <v>54</v>
      </c>
      <c r="E44" s="375" t="s">
        <v>3072</v>
      </c>
      <c r="F44" s="374" t="s">
        <v>1027</v>
      </c>
      <c r="G44" s="374" t="s">
        <v>466</v>
      </c>
      <c r="H44" s="376" t="s">
        <v>3073</v>
      </c>
      <c r="I44" s="374" t="s">
        <v>586</v>
      </c>
      <c r="J44" s="377" t="s">
        <v>587</v>
      </c>
      <c r="K44" s="378" t="s">
        <v>588</v>
      </c>
      <c r="L44" s="374" t="s">
        <v>589</v>
      </c>
      <c r="M44" s="379"/>
      <c r="N44" s="379"/>
      <c r="O44" s="379"/>
      <c r="P44" s="379"/>
      <c r="Q44" s="379"/>
      <c r="R44" s="379"/>
      <c r="S44" s="379"/>
      <c r="T44" s="379"/>
      <c r="U44" s="379"/>
      <c r="V44" s="379"/>
      <c r="W44" s="379"/>
      <c r="X44" s="379"/>
      <c r="Y44" s="379"/>
      <c r="Z44" s="379"/>
      <c r="AA44" s="379"/>
      <c r="AB44" s="379"/>
      <c r="AC44" s="379"/>
      <c r="AD44" s="379"/>
    </row>
    <row r="45" ht="24.0" customHeight="1">
      <c r="A45" s="396">
        <v>19.0</v>
      </c>
      <c r="B45" s="298" t="s">
        <v>525</v>
      </c>
      <c r="C45" s="298" t="s">
        <v>526</v>
      </c>
      <c r="D45" s="298" t="s">
        <v>27</v>
      </c>
      <c r="E45" s="390" t="s">
        <v>3074</v>
      </c>
      <c r="F45" s="298" t="s">
        <v>1027</v>
      </c>
      <c r="G45" s="298" t="s">
        <v>466</v>
      </c>
      <c r="H45" s="285" t="s">
        <v>1842</v>
      </c>
      <c r="I45" s="298" t="s">
        <v>529</v>
      </c>
      <c r="J45" s="392" t="s">
        <v>530</v>
      </c>
      <c r="K45" s="389" t="s">
        <v>531</v>
      </c>
      <c r="L45" s="298" t="s">
        <v>532</v>
      </c>
      <c r="M45" s="400"/>
      <c r="N45" s="400"/>
      <c r="O45" s="400"/>
      <c r="P45" s="400"/>
      <c r="Q45" s="400"/>
      <c r="R45" s="400"/>
      <c r="S45" s="400"/>
      <c r="T45" s="400"/>
      <c r="U45" s="400"/>
      <c r="V45" s="400"/>
      <c r="W45" s="400"/>
      <c r="X45" s="400"/>
      <c r="Y45" s="400"/>
      <c r="Z45" s="400"/>
      <c r="AA45" s="400"/>
      <c r="AB45" s="400"/>
      <c r="AC45" s="400"/>
      <c r="AD45" s="400"/>
    </row>
    <row r="46" ht="25.5" customHeight="1">
      <c r="A46" s="388"/>
      <c r="B46" s="285" t="s">
        <v>554</v>
      </c>
      <c r="C46" s="298" t="s">
        <v>2670</v>
      </c>
      <c r="D46" s="298" t="s">
        <v>27</v>
      </c>
      <c r="E46" s="390" t="s">
        <v>3074</v>
      </c>
      <c r="F46" s="298" t="s">
        <v>1018</v>
      </c>
      <c r="G46" s="298" t="s">
        <v>466</v>
      </c>
      <c r="H46" s="285" t="s">
        <v>3075</v>
      </c>
      <c r="I46" s="298" t="s">
        <v>557</v>
      </c>
      <c r="J46" s="401" t="s">
        <v>558</v>
      </c>
      <c r="K46" s="389">
        <v>2.19593895E8</v>
      </c>
      <c r="L46" s="298" t="s">
        <v>2791</v>
      </c>
      <c r="M46" s="400"/>
      <c r="N46" s="400"/>
      <c r="O46" s="400"/>
      <c r="P46" s="400"/>
      <c r="Q46" s="400"/>
      <c r="R46" s="400"/>
      <c r="S46" s="400"/>
      <c r="T46" s="400"/>
      <c r="U46" s="400"/>
      <c r="V46" s="400"/>
      <c r="W46" s="400"/>
      <c r="X46" s="400"/>
      <c r="Y46" s="400"/>
      <c r="Z46" s="400"/>
      <c r="AA46" s="400"/>
      <c r="AB46" s="400"/>
      <c r="AC46" s="400"/>
      <c r="AD46" s="400"/>
    </row>
    <row r="47" ht="24.0" customHeight="1">
      <c r="A47" s="388"/>
      <c r="B47" s="298" t="s">
        <v>475</v>
      </c>
      <c r="C47" s="298" t="s">
        <v>476</v>
      </c>
      <c r="D47" s="298" t="s">
        <v>183</v>
      </c>
      <c r="E47" s="390" t="s">
        <v>3059</v>
      </c>
      <c r="F47" s="298" t="s">
        <v>1027</v>
      </c>
      <c r="G47" s="298" t="s">
        <v>466</v>
      </c>
      <c r="H47" s="298" t="s">
        <v>184</v>
      </c>
      <c r="I47" s="398" t="s">
        <v>477</v>
      </c>
      <c r="J47" s="392" t="s">
        <v>478</v>
      </c>
      <c r="K47" s="398"/>
      <c r="L47" s="398" t="s">
        <v>479</v>
      </c>
      <c r="M47" s="369"/>
      <c r="N47" s="369"/>
      <c r="O47" s="369"/>
      <c r="P47" s="369"/>
      <c r="Q47" s="369"/>
      <c r="R47" s="369"/>
      <c r="S47" s="369"/>
      <c r="T47" s="369"/>
      <c r="U47" s="369"/>
      <c r="V47" s="369"/>
      <c r="W47" s="369"/>
      <c r="X47" s="369"/>
      <c r="Y47" s="369"/>
      <c r="Z47" s="369"/>
      <c r="AA47" s="369"/>
      <c r="AB47" s="369"/>
      <c r="AC47" s="369"/>
      <c r="AD47" s="369"/>
    </row>
    <row r="48" ht="24.75" customHeight="1">
      <c r="A48" s="388"/>
      <c r="B48" s="298" t="s">
        <v>2921</v>
      </c>
      <c r="C48" s="298" t="s">
        <v>495</v>
      </c>
      <c r="D48" s="298" t="s">
        <v>183</v>
      </c>
      <c r="E48" s="390" t="s">
        <v>3059</v>
      </c>
      <c r="F48" s="389" t="s">
        <v>1027</v>
      </c>
      <c r="G48" s="298" t="s">
        <v>466</v>
      </c>
      <c r="H48" s="397" t="s">
        <v>3076</v>
      </c>
      <c r="I48" s="298" t="s">
        <v>497</v>
      </c>
      <c r="J48" s="391" t="s">
        <v>498</v>
      </c>
      <c r="K48" s="389"/>
      <c r="L48" s="389" t="s">
        <v>499</v>
      </c>
      <c r="M48" s="369"/>
      <c r="N48" s="369"/>
      <c r="O48" s="369"/>
      <c r="P48" s="369"/>
      <c r="Q48" s="369"/>
      <c r="R48" s="369"/>
      <c r="S48" s="369"/>
      <c r="T48" s="369"/>
      <c r="U48" s="369"/>
      <c r="V48" s="369"/>
      <c r="W48" s="369"/>
      <c r="X48" s="369"/>
      <c r="Y48" s="369"/>
      <c r="Z48" s="369"/>
      <c r="AA48" s="369"/>
      <c r="AB48" s="369"/>
      <c r="AC48" s="369"/>
      <c r="AD48" s="369"/>
    </row>
    <row r="49" ht="21.75" customHeight="1">
      <c r="A49" s="388"/>
      <c r="B49" s="298" t="s">
        <v>547</v>
      </c>
      <c r="C49" s="298" t="s">
        <v>548</v>
      </c>
      <c r="D49" s="298" t="s">
        <v>183</v>
      </c>
      <c r="E49" s="390" t="s">
        <v>3059</v>
      </c>
      <c r="F49" s="298" t="s">
        <v>1027</v>
      </c>
      <c r="G49" s="298" t="s">
        <v>466</v>
      </c>
      <c r="H49" s="298" t="s">
        <v>184</v>
      </c>
      <c r="I49" s="298" t="s">
        <v>549</v>
      </c>
      <c r="J49" s="392" t="s">
        <v>550</v>
      </c>
      <c r="K49" s="389"/>
      <c r="L49" s="298" t="s">
        <v>2922</v>
      </c>
      <c r="M49" s="369"/>
      <c r="N49" s="369"/>
      <c r="O49" s="369"/>
      <c r="P49" s="369"/>
      <c r="Q49" s="369"/>
      <c r="R49" s="369"/>
      <c r="S49" s="369"/>
      <c r="T49" s="369"/>
      <c r="U49" s="369"/>
      <c r="V49" s="369"/>
      <c r="W49" s="369"/>
      <c r="X49" s="369"/>
      <c r="Y49" s="369"/>
      <c r="Z49" s="369"/>
      <c r="AA49" s="369"/>
      <c r="AB49" s="369"/>
      <c r="AC49" s="369"/>
      <c r="AD49" s="369"/>
    </row>
    <row r="50" ht="20.25" customHeight="1">
      <c r="A50" s="388"/>
      <c r="B50" s="298" t="s">
        <v>576</v>
      </c>
      <c r="C50" s="298" t="s">
        <v>577</v>
      </c>
      <c r="D50" s="298" t="s">
        <v>183</v>
      </c>
      <c r="E50" s="390" t="s">
        <v>3059</v>
      </c>
      <c r="F50" s="298" t="s">
        <v>1027</v>
      </c>
      <c r="G50" s="298" t="s">
        <v>466</v>
      </c>
      <c r="H50" s="298" t="s">
        <v>184</v>
      </c>
      <c r="I50" s="298" t="s">
        <v>578</v>
      </c>
      <c r="J50" s="392" t="s">
        <v>3077</v>
      </c>
      <c r="K50" s="389"/>
      <c r="L50" s="298" t="s">
        <v>580</v>
      </c>
      <c r="M50" s="369"/>
      <c r="N50" s="369"/>
      <c r="O50" s="369"/>
      <c r="P50" s="369"/>
      <c r="Q50" s="369"/>
      <c r="R50" s="369"/>
      <c r="S50" s="369"/>
      <c r="T50" s="369"/>
      <c r="U50" s="369"/>
      <c r="V50" s="369"/>
      <c r="W50" s="369"/>
      <c r="X50" s="369"/>
      <c r="Y50" s="369"/>
      <c r="Z50" s="369"/>
      <c r="AA50" s="369"/>
      <c r="AB50" s="369"/>
      <c r="AC50" s="369"/>
      <c r="AD50" s="369"/>
    </row>
    <row r="51" ht="22.5" customHeight="1">
      <c r="A51" s="393">
        <v>24.0</v>
      </c>
      <c r="B51" s="374" t="s">
        <v>462</v>
      </c>
      <c r="C51" s="374" t="s">
        <v>463</v>
      </c>
      <c r="D51" s="374" t="s">
        <v>465</v>
      </c>
      <c r="E51" s="375" t="s">
        <v>2093</v>
      </c>
      <c r="F51" s="374" t="s">
        <v>1018</v>
      </c>
      <c r="G51" s="374" t="s">
        <v>466</v>
      </c>
      <c r="H51" s="376" t="s">
        <v>1919</v>
      </c>
      <c r="I51" s="374" t="s">
        <v>468</v>
      </c>
      <c r="J51" s="377" t="s">
        <v>469</v>
      </c>
      <c r="K51" s="378" t="s">
        <v>470</v>
      </c>
      <c r="L51" s="374" t="s">
        <v>471</v>
      </c>
      <c r="M51" s="379"/>
      <c r="N51" s="379"/>
      <c r="O51" s="379"/>
      <c r="P51" s="379"/>
      <c r="Q51" s="379"/>
      <c r="R51" s="379"/>
      <c r="S51" s="379"/>
      <c r="T51" s="379"/>
      <c r="U51" s="379"/>
      <c r="V51" s="379"/>
      <c r="W51" s="379"/>
      <c r="X51" s="379"/>
      <c r="Y51" s="379"/>
      <c r="Z51" s="379"/>
      <c r="AA51" s="379"/>
      <c r="AB51" s="379"/>
      <c r="AC51" s="379"/>
      <c r="AD51" s="379"/>
    </row>
    <row r="52" ht="25.5" customHeight="1">
      <c r="A52" s="373"/>
      <c r="B52" s="374" t="s">
        <v>537</v>
      </c>
      <c r="C52" s="374" t="s">
        <v>538</v>
      </c>
      <c r="D52" s="374" t="s">
        <v>465</v>
      </c>
      <c r="E52" s="375" t="s">
        <v>2093</v>
      </c>
      <c r="F52" s="374" t="s">
        <v>1027</v>
      </c>
      <c r="G52" s="374" t="s">
        <v>466</v>
      </c>
      <c r="H52" s="376" t="s">
        <v>1900</v>
      </c>
      <c r="I52" s="374" t="s">
        <v>540</v>
      </c>
      <c r="J52" s="377" t="s">
        <v>541</v>
      </c>
      <c r="K52" s="378" t="s">
        <v>542</v>
      </c>
      <c r="L52" s="374" t="s">
        <v>543</v>
      </c>
      <c r="M52" s="379"/>
      <c r="N52" s="379"/>
      <c r="O52" s="379"/>
      <c r="P52" s="379"/>
      <c r="Q52" s="379"/>
      <c r="R52" s="379"/>
      <c r="S52" s="379"/>
      <c r="T52" s="379"/>
      <c r="U52" s="379"/>
      <c r="V52" s="379"/>
      <c r="W52" s="379"/>
      <c r="X52" s="379"/>
      <c r="Y52" s="379"/>
      <c r="Z52" s="379"/>
      <c r="AA52" s="379"/>
      <c r="AB52" s="379"/>
      <c r="AC52" s="379"/>
      <c r="AD52" s="379"/>
    </row>
    <row r="53" ht="24.0" customHeight="1">
      <c r="A53" s="373"/>
      <c r="B53" s="374" t="s">
        <v>564</v>
      </c>
      <c r="C53" s="374" t="s">
        <v>565</v>
      </c>
      <c r="D53" s="374" t="s">
        <v>465</v>
      </c>
      <c r="E53" s="375" t="s">
        <v>2093</v>
      </c>
      <c r="F53" s="374" t="s">
        <v>1027</v>
      </c>
      <c r="G53" s="374" t="s">
        <v>466</v>
      </c>
      <c r="H53" s="376" t="s">
        <v>1919</v>
      </c>
      <c r="I53" s="374" t="s">
        <v>2936</v>
      </c>
      <c r="J53" s="377" t="s">
        <v>3078</v>
      </c>
      <c r="K53" s="378" t="s">
        <v>570</v>
      </c>
      <c r="L53" s="374" t="s">
        <v>571</v>
      </c>
      <c r="M53" s="379"/>
      <c r="N53" s="379"/>
      <c r="O53" s="379"/>
      <c r="P53" s="379"/>
      <c r="Q53" s="379"/>
      <c r="R53" s="379"/>
      <c r="S53" s="379"/>
      <c r="T53" s="379"/>
      <c r="U53" s="379"/>
      <c r="V53" s="379"/>
      <c r="W53" s="379"/>
      <c r="X53" s="379"/>
      <c r="Y53" s="379"/>
      <c r="Z53" s="379"/>
      <c r="AA53" s="379"/>
      <c r="AB53" s="379"/>
      <c r="AC53" s="379"/>
      <c r="AD53" s="379"/>
    </row>
    <row r="54" ht="24.0" customHeight="1">
      <c r="A54" s="373"/>
      <c r="B54" s="374" t="s">
        <v>705</v>
      </c>
      <c r="C54" s="374" t="s">
        <v>706</v>
      </c>
      <c r="D54" s="374" t="s">
        <v>54</v>
      </c>
      <c r="E54" s="375" t="s">
        <v>3042</v>
      </c>
      <c r="F54" s="374" t="s">
        <v>1018</v>
      </c>
      <c r="G54" s="374" t="s">
        <v>599</v>
      </c>
      <c r="H54" s="374" t="s">
        <v>90</v>
      </c>
      <c r="I54" s="374" t="s">
        <v>244</v>
      </c>
      <c r="J54" s="377" t="s">
        <v>2825</v>
      </c>
      <c r="K54" s="378" t="s">
        <v>2826</v>
      </c>
      <c r="L54" s="374" t="s">
        <v>709</v>
      </c>
      <c r="M54" s="379"/>
      <c r="N54" s="379"/>
      <c r="O54" s="379"/>
      <c r="P54" s="379"/>
      <c r="Q54" s="379"/>
      <c r="R54" s="379"/>
      <c r="S54" s="379"/>
      <c r="T54" s="379"/>
      <c r="U54" s="379"/>
      <c r="V54" s="379"/>
      <c r="W54" s="379"/>
      <c r="X54" s="379"/>
      <c r="Y54" s="379"/>
      <c r="Z54" s="379"/>
      <c r="AA54" s="379"/>
      <c r="AB54" s="379"/>
      <c r="AC54" s="379"/>
      <c r="AD54" s="379"/>
    </row>
    <row r="55" ht="24.0" customHeight="1">
      <c r="A55" s="388"/>
      <c r="B55" s="298" t="s">
        <v>597</v>
      </c>
      <c r="C55" s="298" t="s">
        <v>598</v>
      </c>
      <c r="D55" s="298" t="s">
        <v>54</v>
      </c>
      <c r="E55" s="394" t="s">
        <v>3056</v>
      </c>
      <c r="F55" s="298" t="s">
        <v>1027</v>
      </c>
      <c r="G55" s="298" t="s">
        <v>599</v>
      </c>
      <c r="H55" s="285" t="s">
        <v>1953</v>
      </c>
      <c r="I55" s="298" t="s">
        <v>601</v>
      </c>
      <c r="J55" s="298" t="s">
        <v>602</v>
      </c>
      <c r="K55" s="389" t="s">
        <v>603</v>
      </c>
      <c r="L55" s="298" t="s">
        <v>604</v>
      </c>
      <c r="M55" s="369"/>
      <c r="N55" s="369"/>
      <c r="O55" s="369"/>
      <c r="P55" s="369"/>
      <c r="Q55" s="369"/>
      <c r="R55" s="369"/>
      <c r="S55" s="369"/>
      <c r="T55" s="369"/>
      <c r="U55" s="369"/>
      <c r="V55" s="369"/>
      <c r="W55" s="369"/>
      <c r="X55" s="369"/>
      <c r="Y55" s="369"/>
      <c r="Z55" s="369"/>
      <c r="AA55" s="369"/>
      <c r="AB55" s="369"/>
      <c r="AC55" s="369"/>
      <c r="AD55" s="369"/>
    </row>
    <row r="56" ht="24.0" customHeight="1">
      <c r="A56" s="388"/>
      <c r="B56" s="298" t="s">
        <v>2675</v>
      </c>
      <c r="C56" s="298" t="s">
        <v>609</v>
      </c>
      <c r="D56" s="298" t="s">
        <v>54</v>
      </c>
      <c r="E56" s="394" t="s">
        <v>3056</v>
      </c>
      <c r="F56" s="298" t="s">
        <v>1018</v>
      </c>
      <c r="G56" s="298" t="s">
        <v>599</v>
      </c>
      <c r="H56" s="285" t="s">
        <v>3079</v>
      </c>
      <c r="I56" s="298" t="s">
        <v>611</v>
      </c>
      <c r="J56" s="392" t="s">
        <v>612</v>
      </c>
      <c r="K56" s="389" t="s">
        <v>613</v>
      </c>
      <c r="L56" s="298" t="s">
        <v>614</v>
      </c>
      <c r="M56" s="369"/>
      <c r="N56" s="369"/>
      <c r="O56" s="369"/>
      <c r="P56" s="369"/>
      <c r="Q56" s="369"/>
      <c r="R56" s="369"/>
      <c r="S56" s="369"/>
      <c r="T56" s="369"/>
      <c r="U56" s="369"/>
      <c r="V56" s="369"/>
      <c r="W56" s="369"/>
      <c r="X56" s="369"/>
      <c r="Y56" s="369"/>
      <c r="Z56" s="369"/>
      <c r="AA56" s="369"/>
      <c r="AB56" s="369"/>
      <c r="AC56" s="369"/>
      <c r="AD56" s="369"/>
    </row>
    <row r="57" ht="23.25" customHeight="1">
      <c r="A57" s="388"/>
      <c r="B57" s="298" t="s">
        <v>621</v>
      </c>
      <c r="C57" s="298" t="s">
        <v>622</v>
      </c>
      <c r="D57" s="298" t="s">
        <v>54</v>
      </c>
      <c r="E57" s="394" t="s">
        <v>3056</v>
      </c>
      <c r="F57" s="298" t="s">
        <v>1018</v>
      </c>
      <c r="G57" s="298" t="s">
        <v>599</v>
      </c>
      <c r="H57" s="298" t="s">
        <v>243</v>
      </c>
      <c r="I57" s="298" t="s">
        <v>623</v>
      </c>
      <c r="J57" s="298" t="s">
        <v>624</v>
      </c>
      <c r="K57" s="389" t="s">
        <v>625</v>
      </c>
      <c r="L57" s="298" t="s">
        <v>626</v>
      </c>
      <c r="M57" s="369"/>
      <c r="N57" s="369"/>
      <c r="O57" s="369"/>
      <c r="P57" s="369"/>
      <c r="Q57" s="369"/>
      <c r="R57" s="369"/>
      <c r="S57" s="369"/>
      <c r="T57" s="369"/>
      <c r="U57" s="369"/>
      <c r="V57" s="369"/>
      <c r="W57" s="369"/>
      <c r="X57" s="369"/>
      <c r="Y57" s="369"/>
      <c r="Z57" s="369"/>
      <c r="AA57" s="369"/>
      <c r="AB57" s="369"/>
      <c r="AC57" s="369"/>
      <c r="AD57" s="369"/>
    </row>
    <row r="58" ht="19.5" customHeight="1">
      <c r="A58" s="388"/>
      <c r="B58" s="298" t="s">
        <v>695</v>
      </c>
      <c r="C58" s="298" t="s">
        <v>696</v>
      </c>
      <c r="D58" s="298" t="s">
        <v>27</v>
      </c>
      <c r="E58" s="390" t="s">
        <v>3060</v>
      </c>
      <c r="F58" s="298" t="s">
        <v>1018</v>
      </c>
      <c r="G58" s="298" t="s">
        <v>599</v>
      </c>
      <c r="H58" s="285" t="s">
        <v>3080</v>
      </c>
      <c r="I58" s="298" t="s">
        <v>698</v>
      </c>
      <c r="J58" s="298" t="s">
        <v>699</v>
      </c>
      <c r="K58" s="389" t="s">
        <v>700</v>
      </c>
      <c r="L58" s="298" t="s">
        <v>701</v>
      </c>
      <c r="M58" s="369"/>
      <c r="N58" s="369"/>
      <c r="O58" s="369"/>
      <c r="P58" s="369"/>
      <c r="Q58" s="369"/>
      <c r="R58" s="369"/>
      <c r="S58" s="369"/>
      <c r="T58" s="369"/>
      <c r="U58" s="369"/>
      <c r="V58" s="369"/>
      <c r="W58" s="369"/>
      <c r="X58" s="369"/>
      <c r="Y58" s="369"/>
      <c r="Z58" s="369"/>
      <c r="AA58" s="369"/>
      <c r="AB58" s="369"/>
      <c r="AC58" s="369"/>
      <c r="AD58" s="369"/>
    </row>
    <row r="59" ht="19.5" customHeight="1">
      <c r="A59" s="388"/>
      <c r="B59" s="298" t="s">
        <v>675</v>
      </c>
      <c r="C59" s="298" t="s">
        <v>676</v>
      </c>
      <c r="D59" s="298" t="s">
        <v>27</v>
      </c>
      <c r="E59" s="390" t="s">
        <v>3074</v>
      </c>
      <c r="F59" s="298" t="s">
        <v>1027</v>
      </c>
      <c r="G59" s="298" t="s">
        <v>599</v>
      </c>
      <c r="H59" s="285" t="s">
        <v>3081</v>
      </c>
      <c r="I59" s="298"/>
      <c r="J59" s="298" t="s">
        <v>678</v>
      </c>
      <c r="K59" s="389" t="s">
        <v>679</v>
      </c>
      <c r="L59" s="298" t="s">
        <v>680</v>
      </c>
      <c r="M59" s="400"/>
      <c r="N59" s="400"/>
      <c r="O59" s="400"/>
      <c r="P59" s="400"/>
      <c r="Q59" s="400"/>
      <c r="R59" s="400"/>
      <c r="S59" s="400"/>
      <c r="T59" s="400"/>
      <c r="U59" s="400"/>
      <c r="V59" s="400"/>
      <c r="W59" s="400"/>
      <c r="X59" s="400"/>
      <c r="Y59" s="400"/>
      <c r="Z59" s="400"/>
      <c r="AA59" s="400"/>
      <c r="AB59" s="400"/>
      <c r="AC59" s="400"/>
      <c r="AD59" s="400"/>
    </row>
    <row r="60" ht="22.5" customHeight="1">
      <c r="A60" s="373"/>
      <c r="B60" s="374" t="s">
        <v>661</v>
      </c>
      <c r="C60" s="374" t="s">
        <v>662</v>
      </c>
      <c r="D60" s="374" t="s">
        <v>27</v>
      </c>
      <c r="E60" s="375" t="s">
        <v>3058</v>
      </c>
      <c r="F60" s="374" t="s">
        <v>1018</v>
      </c>
      <c r="G60" s="374" t="s">
        <v>599</v>
      </c>
      <c r="H60" s="376" t="s">
        <v>1767</v>
      </c>
      <c r="I60" s="374" t="s">
        <v>64</v>
      </c>
      <c r="J60" s="374" t="s">
        <v>665</v>
      </c>
      <c r="K60" s="378" t="s">
        <v>666</v>
      </c>
      <c r="L60" s="374" t="s">
        <v>667</v>
      </c>
      <c r="M60" s="379"/>
      <c r="N60" s="379"/>
      <c r="O60" s="379"/>
      <c r="P60" s="379"/>
      <c r="Q60" s="379"/>
      <c r="R60" s="379"/>
      <c r="S60" s="379"/>
      <c r="T60" s="379"/>
      <c r="U60" s="379"/>
      <c r="V60" s="379"/>
      <c r="W60" s="379"/>
      <c r="X60" s="379"/>
      <c r="Y60" s="379"/>
      <c r="Z60" s="379"/>
      <c r="AA60" s="379"/>
      <c r="AB60" s="379"/>
      <c r="AC60" s="379"/>
      <c r="AD60" s="379"/>
    </row>
    <row r="61" ht="23.25" customHeight="1">
      <c r="A61" s="388"/>
      <c r="B61" s="298" t="s">
        <v>643</v>
      </c>
      <c r="C61" s="298" t="s">
        <v>644</v>
      </c>
      <c r="D61" s="298" t="s">
        <v>183</v>
      </c>
      <c r="E61" s="390" t="s">
        <v>3059</v>
      </c>
      <c r="F61" s="298" t="s">
        <v>1018</v>
      </c>
      <c r="G61" s="298" t="s">
        <v>599</v>
      </c>
      <c r="H61" s="298" t="s">
        <v>217</v>
      </c>
      <c r="I61" s="298" t="s">
        <v>226</v>
      </c>
      <c r="J61" s="298" t="s">
        <v>2923</v>
      </c>
      <c r="K61" s="389">
        <v>2.316982629E9</v>
      </c>
      <c r="L61" s="298" t="s">
        <v>646</v>
      </c>
      <c r="M61" s="369"/>
      <c r="N61" s="369"/>
      <c r="O61" s="369"/>
      <c r="P61" s="369"/>
      <c r="Q61" s="369"/>
      <c r="R61" s="369"/>
      <c r="S61" s="369"/>
      <c r="T61" s="369"/>
      <c r="U61" s="369"/>
      <c r="V61" s="369"/>
      <c r="W61" s="369"/>
      <c r="X61" s="369"/>
      <c r="Y61" s="369"/>
      <c r="Z61" s="369"/>
      <c r="AA61" s="369"/>
      <c r="AB61" s="369"/>
      <c r="AC61" s="369"/>
      <c r="AD61" s="369"/>
    </row>
    <row r="62" ht="23.25" customHeight="1">
      <c r="A62" s="388"/>
      <c r="B62" s="298" t="s">
        <v>652</v>
      </c>
      <c r="C62" s="298" t="s">
        <v>653</v>
      </c>
      <c r="D62" s="298" t="s">
        <v>183</v>
      </c>
      <c r="E62" s="390" t="s">
        <v>3059</v>
      </c>
      <c r="F62" s="298" t="s">
        <v>1027</v>
      </c>
      <c r="G62" s="298" t="s">
        <v>599</v>
      </c>
      <c r="H62" s="298" t="s">
        <v>654</v>
      </c>
      <c r="I62" s="298" t="s">
        <v>655</v>
      </c>
      <c r="J62" s="298" t="s">
        <v>656</v>
      </c>
      <c r="K62" s="389" t="s">
        <v>657</v>
      </c>
      <c r="L62" s="298" t="s">
        <v>658</v>
      </c>
      <c r="M62" s="369"/>
      <c r="N62" s="369"/>
      <c r="O62" s="369"/>
      <c r="P62" s="369"/>
      <c r="Q62" s="369"/>
      <c r="R62" s="369"/>
      <c r="S62" s="369"/>
      <c r="T62" s="369"/>
      <c r="U62" s="369"/>
      <c r="V62" s="369"/>
      <c r="W62" s="369"/>
      <c r="X62" s="369"/>
      <c r="Y62" s="369"/>
      <c r="Z62" s="369"/>
      <c r="AA62" s="369"/>
      <c r="AB62" s="369"/>
      <c r="AC62" s="369"/>
      <c r="AD62" s="369"/>
    </row>
    <row r="63" ht="23.25" customHeight="1">
      <c r="A63" s="373"/>
      <c r="B63" s="374" t="s">
        <v>632</v>
      </c>
      <c r="C63" s="374" t="s">
        <v>598</v>
      </c>
      <c r="D63" s="374" t="s">
        <v>465</v>
      </c>
      <c r="E63" s="375" t="s">
        <v>2093</v>
      </c>
      <c r="F63" s="374" t="s">
        <v>1027</v>
      </c>
      <c r="G63" s="374" t="s">
        <v>599</v>
      </c>
      <c r="H63" s="376" t="s">
        <v>237</v>
      </c>
      <c r="I63" s="374" t="s">
        <v>634</v>
      </c>
      <c r="J63" s="374" t="s">
        <v>3082</v>
      </c>
      <c r="K63" s="378" t="s">
        <v>637</v>
      </c>
      <c r="L63" s="374" t="s">
        <v>638</v>
      </c>
      <c r="M63" s="379"/>
      <c r="N63" s="379"/>
      <c r="O63" s="379"/>
      <c r="P63" s="379"/>
      <c r="Q63" s="379"/>
      <c r="R63" s="379"/>
      <c r="S63" s="379"/>
      <c r="T63" s="379"/>
      <c r="U63" s="379"/>
      <c r="V63" s="379"/>
      <c r="W63" s="379"/>
      <c r="X63" s="379"/>
      <c r="Y63" s="379"/>
      <c r="Z63" s="379"/>
      <c r="AA63" s="379"/>
      <c r="AB63" s="379"/>
      <c r="AC63" s="379"/>
      <c r="AD63" s="379"/>
    </row>
    <row r="64" ht="23.25" customHeight="1">
      <c r="A64" s="373"/>
      <c r="B64" s="374" t="s">
        <v>685</v>
      </c>
      <c r="C64" s="374" t="s">
        <v>686</v>
      </c>
      <c r="D64" s="374" t="s">
        <v>465</v>
      </c>
      <c r="E64" s="375" t="s">
        <v>2093</v>
      </c>
      <c r="F64" s="374" t="s">
        <v>1018</v>
      </c>
      <c r="G64" s="374" t="s">
        <v>599</v>
      </c>
      <c r="H64" s="376" t="s">
        <v>3083</v>
      </c>
      <c r="I64" s="374" t="s">
        <v>688</v>
      </c>
      <c r="J64" s="374" t="s">
        <v>689</v>
      </c>
      <c r="K64" s="378" t="s">
        <v>690</v>
      </c>
      <c r="L64" s="374" t="s">
        <v>691</v>
      </c>
      <c r="M64" s="379"/>
      <c r="N64" s="379"/>
      <c r="O64" s="379"/>
      <c r="P64" s="379"/>
      <c r="Q64" s="379"/>
      <c r="R64" s="379"/>
      <c r="S64" s="379"/>
      <c r="T64" s="379"/>
      <c r="U64" s="379"/>
      <c r="V64" s="379"/>
      <c r="W64" s="379"/>
      <c r="X64" s="379"/>
      <c r="Y64" s="379"/>
      <c r="Z64" s="379"/>
      <c r="AA64" s="379"/>
      <c r="AB64" s="379"/>
      <c r="AC64" s="379"/>
      <c r="AD64" s="379"/>
    </row>
    <row r="65" ht="23.25" customHeight="1">
      <c r="A65" s="373"/>
      <c r="B65" s="374" t="s">
        <v>715</v>
      </c>
      <c r="C65" s="374" t="s">
        <v>716</v>
      </c>
      <c r="D65" s="374" t="s">
        <v>54</v>
      </c>
      <c r="E65" s="375" t="s">
        <v>3042</v>
      </c>
      <c r="F65" s="374" t="s">
        <v>1018</v>
      </c>
      <c r="G65" s="374" t="s">
        <v>717</v>
      </c>
      <c r="H65" s="376" t="s">
        <v>3084</v>
      </c>
      <c r="I65" s="374" t="s">
        <v>719</v>
      </c>
      <c r="J65" s="374" t="s">
        <v>720</v>
      </c>
      <c r="K65" s="402">
        <v>2.33208402413E11</v>
      </c>
      <c r="L65" s="374" t="s">
        <v>721</v>
      </c>
      <c r="M65" s="379"/>
      <c r="N65" s="379"/>
      <c r="O65" s="379"/>
      <c r="P65" s="379"/>
      <c r="Q65" s="379"/>
      <c r="R65" s="379"/>
      <c r="S65" s="379"/>
      <c r="T65" s="379"/>
      <c r="U65" s="379"/>
      <c r="V65" s="379"/>
      <c r="W65" s="379"/>
      <c r="X65" s="379"/>
      <c r="Y65" s="379"/>
      <c r="Z65" s="379"/>
      <c r="AA65" s="379"/>
      <c r="AB65" s="379"/>
      <c r="AC65" s="379"/>
      <c r="AD65" s="379"/>
    </row>
    <row r="66" ht="22.5" customHeight="1">
      <c r="A66" s="373"/>
      <c r="B66" s="374" t="s">
        <v>725</v>
      </c>
      <c r="C66" s="374" t="s">
        <v>726</v>
      </c>
      <c r="D66" s="374" t="s">
        <v>54</v>
      </c>
      <c r="E66" s="375" t="s">
        <v>3042</v>
      </c>
      <c r="F66" s="374" t="s">
        <v>1027</v>
      </c>
      <c r="G66" s="374" t="s">
        <v>717</v>
      </c>
      <c r="H66" s="376" t="s">
        <v>3085</v>
      </c>
      <c r="I66" s="374" t="s">
        <v>728</v>
      </c>
      <c r="J66" s="374" t="s">
        <v>729</v>
      </c>
      <c r="K66" s="402" t="s">
        <v>730</v>
      </c>
      <c r="L66" s="374" t="s">
        <v>731</v>
      </c>
      <c r="M66" s="379"/>
      <c r="N66" s="379"/>
      <c r="O66" s="379"/>
      <c r="P66" s="379"/>
      <c r="Q66" s="379"/>
      <c r="R66" s="379"/>
      <c r="S66" s="379"/>
      <c r="T66" s="379"/>
      <c r="U66" s="379"/>
      <c r="V66" s="379"/>
      <c r="W66" s="379"/>
      <c r="X66" s="379"/>
      <c r="Y66" s="379"/>
      <c r="Z66" s="379"/>
      <c r="AA66" s="379"/>
      <c r="AB66" s="379"/>
      <c r="AC66" s="379"/>
      <c r="AD66" s="379"/>
    </row>
    <row r="67" ht="21.0" customHeight="1">
      <c r="A67" s="388"/>
      <c r="B67" s="298" t="s">
        <v>2844</v>
      </c>
      <c r="C67" s="298" t="s">
        <v>762</v>
      </c>
      <c r="D67" s="298" t="s">
        <v>54</v>
      </c>
      <c r="E67" s="394" t="s">
        <v>3056</v>
      </c>
      <c r="F67" s="298" t="s">
        <v>1018</v>
      </c>
      <c r="G67" s="298" t="s">
        <v>717</v>
      </c>
      <c r="H67" s="285" t="s">
        <v>3086</v>
      </c>
      <c r="I67" s="298" t="s">
        <v>764</v>
      </c>
      <c r="J67" s="392" t="s">
        <v>765</v>
      </c>
      <c r="K67" s="403">
        <v>2.33200315879E11</v>
      </c>
      <c r="L67" s="298" t="s">
        <v>766</v>
      </c>
      <c r="M67" s="369"/>
      <c r="N67" s="369"/>
      <c r="O67" s="369"/>
      <c r="P67" s="369"/>
      <c r="Q67" s="369"/>
      <c r="R67" s="369"/>
      <c r="S67" s="369"/>
      <c r="T67" s="369"/>
      <c r="U67" s="369"/>
      <c r="V67" s="369"/>
      <c r="W67" s="369"/>
      <c r="X67" s="369"/>
      <c r="Y67" s="369"/>
      <c r="Z67" s="369"/>
      <c r="AA67" s="369"/>
      <c r="AB67" s="369"/>
      <c r="AC67" s="369"/>
      <c r="AD67" s="369"/>
    </row>
    <row r="68" ht="24.75" customHeight="1">
      <c r="A68" s="388"/>
      <c r="B68" s="298" t="s">
        <v>770</v>
      </c>
      <c r="C68" s="298" t="s">
        <v>598</v>
      </c>
      <c r="D68" s="298" t="s">
        <v>54</v>
      </c>
      <c r="E68" s="394" t="s">
        <v>3056</v>
      </c>
      <c r="F68" s="298" t="s">
        <v>1027</v>
      </c>
      <c r="G68" s="298" t="s">
        <v>717</v>
      </c>
      <c r="H68" s="285" t="s">
        <v>3087</v>
      </c>
      <c r="I68" s="298" t="s">
        <v>772</v>
      </c>
      <c r="J68" s="298" t="s">
        <v>774</v>
      </c>
      <c r="K68" s="403">
        <v>2.33207457532E11</v>
      </c>
      <c r="L68" s="298" t="s">
        <v>775</v>
      </c>
      <c r="M68" s="369"/>
      <c r="N68" s="369"/>
      <c r="O68" s="369"/>
      <c r="P68" s="369"/>
      <c r="Q68" s="369"/>
      <c r="R68" s="369"/>
      <c r="S68" s="369"/>
      <c r="T68" s="369"/>
      <c r="U68" s="369"/>
      <c r="V68" s="369"/>
      <c r="W68" s="369"/>
      <c r="X68" s="369"/>
      <c r="Y68" s="369"/>
      <c r="Z68" s="369"/>
      <c r="AA68" s="369"/>
      <c r="AB68" s="369"/>
      <c r="AC68" s="369"/>
      <c r="AD68" s="369"/>
    </row>
    <row r="69" ht="21.75" customHeight="1">
      <c r="A69" s="373"/>
      <c r="B69" s="374" t="s">
        <v>748</v>
      </c>
      <c r="C69" s="374" t="s">
        <v>331</v>
      </c>
      <c r="D69" s="374" t="s">
        <v>54</v>
      </c>
      <c r="E69" s="375" t="s">
        <v>3072</v>
      </c>
      <c r="F69" s="374" t="s">
        <v>1018</v>
      </c>
      <c r="G69" s="374" t="s">
        <v>717</v>
      </c>
      <c r="H69" s="376" t="s">
        <v>3046</v>
      </c>
      <c r="I69" s="374" t="s">
        <v>750</v>
      </c>
      <c r="J69" s="374" t="s">
        <v>751</v>
      </c>
      <c r="K69" s="402" t="s">
        <v>752</v>
      </c>
      <c r="L69" s="374" t="s">
        <v>753</v>
      </c>
      <c r="M69" s="379"/>
      <c r="N69" s="379"/>
      <c r="O69" s="379"/>
      <c r="P69" s="379"/>
      <c r="Q69" s="379"/>
      <c r="R69" s="379"/>
      <c r="S69" s="379"/>
      <c r="T69" s="379"/>
      <c r="U69" s="379"/>
      <c r="V69" s="379"/>
      <c r="W69" s="379"/>
      <c r="X69" s="379"/>
      <c r="Y69" s="379"/>
      <c r="Z69" s="379"/>
      <c r="AA69" s="379"/>
      <c r="AB69" s="379"/>
      <c r="AC69" s="379"/>
      <c r="AD69" s="379"/>
    </row>
    <row r="70" ht="22.5" customHeight="1">
      <c r="A70" s="388">
        <v>5.0</v>
      </c>
      <c r="B70" s="298" t="s">
        <v>735</v>
      </c>
      <c r="C70" s="298" t="s">
        <v>736</v>
      </c>
      <c r="D70" s="298" t="s">
        <v>54</v>
      </c>
      <c r="E70" s="390" t="s">
        <v>3088</v>
      </c>
      <c r="F70" s="298" t="s">
        <v>1027</v>
      </c>
      <c r="G70" s="298" t="s">
        <v>717</v>
      </c>
      <c r="H70" s="285" t="s">
        <v>3089</v>
      </c>
      <c r="I70" s="298" t="s">
        <v>739</v>
      </c>
      <c r="J70" s="298" t="s">
        <v>740</v>
      </c>
      <c r="K70" s="403">
        <v>2.7798021532E10</v>
      </c>
      <c r="L70" s="298" t="s">
        <v>741</v>
      </c>
      <c r="M70" s="369"/>
      <c r="N70" s="369"/>
      <c r="O70" s="369"/>
      <c r="P70" s="369"/>
      <c r="Q70" s="369"/>
      <c r="R70" s="369"/>
      <c r="S70" s="369"/>
      <c r="T70" s="369"/>
      <c r="U70" s="369"/>
      <c r="V70" s="369"/>
      <c r="W70" s="369"/>
      <c r="X70" s="369"/>
      <c r="Y70" s="369"/>
      <c r="Z70" s="369"/>
      <c r="AA70" s="369"/>
      <c r="AB70" s="369"/>
      <c r="AC70" s="369"/>
      <c r="AD70" s="369"/>
    </row>
    <row r="71" ht="22.5" customHeight="1">
      <c r="A71" s="388"/>
      <c r="B71" s="298" t="s">
        <v>812</v>
      </c>
      <c r="C71" s="298" t="s">
        <v>813</v>
      </c>
      <c r="D71" s="298" t="s">
        <v>27</v>
      </c>
      <c r="E71" s="390" t="s">
        <v>3074</v>
      </c>
      <c r="F71" s="298" t="s">
        <v>1018</v>
      </c>
      <c r="G71" s="298" t="s">
        <v>717</v>
      </c>
      <c r="H71" s="285" t="s">
        <v>3090</v>
      </c>
      <c r="I71" s="298" t="s">
        <v>815</v>
      </c>
      <c r="J71" s="298" t="s">
        <v>816</v>
      </c>
      <c r="K71" s="403" t="s">
        <v>817</v>
      </c>
      <c r="L71" s="298" t="s">
        <v>818</v>
      </c>
      <c r="M71" s="400"/>
      <c r="N71" s="400"/>
      <c r="O71" s="400"/>
      <c r="P71" s="400"/>
      <c r="Q71" s="400"/>
      <c r="R71" s="400"/>
      <c r="S71" s="400"/>
      <c r="T71" s="400"/>
      <c r="U71" s="400"/>
      <c r="V71" s="400"/>
      <c r="W71" s="400"/>
      <c r="X71" s="400"/>
      <c r="Y71" s="400"/>
      <c r="Z71" s="400"/>
      <c r="AA71" s="400"/>
      <c r="AB71" s="400"/>
      <c r="AC71" s="400"/>
      <c r="AD71" s="400"/>
    </row>
    <row r="72" ht="22.5" customHeight="1">
      <c r="A72" s="373"/>
      <c r="B72" s="374" t="s">
        <v>782</v>
      </c>
      <c r="C72" s="374" t="s">
        <v>783</v>
      </c>
      <c r="D72" s="374" t="s">
        <v>27</v>
      </c>
      <c r="E72" s="375" t="s">
        <v>3058</v>
      </c>
      <c r="F72" s="374" t="s">
        <v>1027</v>
      </c>
      <c r="G72" s="374" t="s">
        <v>717</v>
      </c>
      <c r="H72" s="376" t="s">
        <v>1900</v>
      </c>
      <c r="I72" s="374" t="s">
        <v>44</v>
      </c>
      <c r="J72" s="374" t="s">
        <v>2897</v>
      </c>
      <c r="K72" s="402">
        <v>2.7117174315E10</v>
      </c>
      <c r="L72" s="374" t="s">
        <v>789</v>
      </c>
      <c r="M72" s="379"/>
      <c r="N72" s="379"/>
      <c r="O72" s="379"/>
      <c r="P72" s="379"/>
      <c r="Q72" s="379"/>
      <c r="R72" s="379"/>
      <c r="S72" s="379"/>
      <c r="T72" s="379"/>
      <c r="U72" s="379"/>
      <c r="V72" s="379"/>
      <c r="W72" s="379"/>
      <c r="X72" s="379"/>
      <c r="Y72" s="379"/>
      <c r="Z72" s="379"/>
      <c r="AA72" s="379"/>
      <c r="AB72" s="379"/>
      <c r="AC72" s="379"/>
      <c r="AD72" s="379"/>
    </row>
    <row r="73" ht="23.25" customHeight="1">
      <c r="A73" s="388"/>
      <c r="B73" s="298" t="s">
        <v>795</v>
      </c>
      <c r="C73" s="298" t="s">
        <v>796</v>
      </c>
      <c r="D73" s="298" t="s">
        <v>183</v>
      </c>
      <c r="E73" s="390" t="s">
        <v>3059</v>
      </c>
      <c r="F73" s="298" t="s">
        <v>1027</v>
      </c>
      <c r="G73" s="298" t="s">
        <v>717</v>
      </c>
      <c r="H73" s="285" t="s">
        <v>3091</v>
      </c>
      <c r="I73" s="298" t="s">
        <v>798</v>
      </c>
      <c r="J73" s="285" t="s">
        <v>799</v>
      </c>
      <c r="K73" s="403">
        <v>2.31886592341E11</v>
      </c>
      <c r="L73" s="298" t="s">
        <v>800</v>
      </c>
      <c r="M73" s="369"/>
      <c r="N73" s="369"/>
      <c r="O73" s="369"/>
      <c r="P73" s="369"/>
      <c r="Q73" s="369"/>
      <c r="R73" s="369"/>
      <c r="S73" s="369"/>
      <c r="T73" s="369"/>
      <c r="U73" s="369"/>
      <c r="V73" s="369"/>
      <c r="W73" s="369"/>
      <c r="X73" s="369"/>
      <c r="Y73" s="369"/>
      <c r="Z73" s="369"/>
      <c r="AA73" s="369"/>
      <c r="AB73" s="369"/>
      <c r="AC73" s="369"/>
      <c r="AD73" s="369"/>
    </row>
    <row r="74" ht="22.5" customHeight="1">
      <c r="A74" s="388"/>
      <c r="B74" s="298" t="s">
        <v>834</v>
      </c>
      <c r="C74" s="298" t="s">
        <v>835</v>
      </c>
      <c r="D74" s="298" t="s">
        <v>183</v>
      </c>
      <c r="E74" s="390" t="s">
        <v>3059</v>
      </c>
      <c r="F74" s="298" t="s">
        <v>1027</v>
      </c>
      <c r="G74" s="298" t="s">
        <v>717</v>
      </c>
      <c r="H74" s="285" t="s">
        <v>1948</v>
      </c>
      <c r="I74" s="298" t="s">
        <v>837</v>
      </c>
      <c r="J74" s="392" t="s">
        <v>838</v>
      </c>
      <c r="K74" s="403"/>
      <c r="L74" s="298" t="s">
        <v>839</v>
      </c>
      <c r="M74" s="369"/>
      <c r="N74" s="369"/>
      <c r="O74" s="369"/>
      <c r="P74" s="369"/>
      <c r="Q74" s="369"/>
      <c r="R74" s="369"/>
      <c r="S74" s="369"/>
      <c r="T74" s="369"/>
      <c r="U74" s="369"/>
      <c r="V74" s="369"/>
      <c r="W74" s="369"/>
      <c r="X74" s="369"/>
      <c r="Y74" s="369"/>
      <c r="Z74" s="369"/>
      <c r="AA74" s="369"/>
      <c r="AB74" s="369"/>
      <c r="AC74" s="369"/>
      <c r="AD74" s="369"/>
    </row>
    <row r="75" ht="21.0" customHeight="1">
      <c r="A75" s="373"/>
      <c r="B75" s="374" t="s">
        <v>804</v>
      </c>
      <c r="C75" s="374" t="s">
        <v>331</v>
      </c>
      <c r="D75" s="374" t="s">
        <v>465</v>
      </c>
      <c r="E75" s="375" t="s">
        <v>2093</v>
      </c>
      <c r="F75" s="374" t="s">
        <v>1018</v>
      </c>
      <c r="G75" s="374" t="s">
        <v>717</v>
      </c>
      <c r="H75" s="376" t="s">
        <v>3048</v>
      </c>
      <c r="I75" s="374" t="s">
        <v>806</v>
      </c>
      <c r="J75" s="374" t="s">
        <v>2939</v>
      </c>
      <c r="K75" s="402">
        <v>2.56772407885E11</v>
      </c>
      <c r="L75" s="374" t="s">
        <v>808</v>
      </c>
      <c r="M75" s="379"/>
      <c r="N75" s="379"/>
      <c r="O75" s="379"/>
      <c r="P75" s="379"/>
      <c r="Q75" s="379"/>
      <c r="R75" s="379"/>
      <c r="S75" s="379"/>
      <c r="T75" s="379"/>
      <c r="U75" s="379"/>
      <c r="V75" s="379"/>
      <c r="W75" s="379"/>
      <c r="X75" s="379"/>
      <c r="Y75" s="379"/>
      <c r="Z75" s="379"/>
      <c r="AA75" s="379"/>
      <c r="AB75" s="379"/>
      <c r="AC75" s="379"/>
      <c r="AD75" s="379"/>
    </row>
    <row r="76" ht="21.0" customHeight="1">
      <c r="A76" s="393">
        <v>26.0</v>
      </c>
      <c r="B76" s="374" t="s">
        <v>823</v>
      </c>
      <c r="C76" s="374" t="s">
        <v>824</v>
      </c>
      <c r="D76" s="374" t="s">
        <v>465</v>
      </c>
      <c r="E76" s="375" t="s">
        <v>3092</v>
      </c>
      <c r="F76" s="374" t="s">
        <v>1027</v>
      </c>
      <c r="G76" s="374" t="s">
        <v>717</v>
      </c>
      <c r="H76" s="376" t="s">
        <v>148</v>
      </c>
      <c r="I76" s="374" t="s">
        <v>149</v>
      </c>
      <c r="J76" s="374" t="s">
        <v>2954</v>
      </c>
      <c r="K76" s="402">
        <v>2.5677543008E10</v>
      </c>
      <c r="L76" s="374" t="s">
        <v>829</v>
      </c>
      <c r="M76" s="379"/>
      <c r="N76" s="379"/>
      <c r="O76" s="379"/>
      <c r="P76" s="379"/>
      <c r="Q76" s="379"/>
      <c r="R76" s="379"/>
      <c r="S76" s="379"/>
      <c r="T76" s="379"/>
      <c r="U76" s="379"/>
      <c r="V76" s="379"/>
      <c r="W76" s="379"/>
      <c r="X76" s="379"/>
      <c r="Y76" s="379"/>
      <c r="Z76" s="379"/>
      <c r="AA76" s="379"/>
      <c r="AB76" s="379"/>
      <c r="AC76" s="379"/>
      <c r="AD76" s="379"/>
    </row>
    <row r="77" ht="24.75" customHeight="1">
      <c r="A77" s="373"/>
      <c r="B77" s="378" t="s">
        <v>748</v>
      </c>
      <c r="C77" s="378" t="s">
        <v>856</v>
      </c>
      <c r="D77" s="374" t="s">
        <v>54</v>
      </c>
      <c r="E77" s="375" t="s">
        <v>3042</v>
      </c>
      <c r="F77" s="374" t="s">
        <v>1027</v>
      </c>
      <c r="G77" s="374" t="s">
        <v>845</v>
      </c>
      <c r="H77" s="376" t="s">
        <v>3093</v>
      </c>
      <c r="I77" s="374" t="s">
        <v>858</v>
      </c>
      <c r="J77" s="404" t="s">
        <v>3094</v>
      </c>
      <c r="K77" s="378"/>
      <c r="L77" s="374" t="s">
        <v>860</v>
      </c>
      <c r="M77" s="379"/>
      <c r="N77" s="379"/>
      <c r="O77" s="379"/>
      <c r="P77" s="379"/>
      <c r="Q77" s="379"/>
      <c r="R77" s="379"/>
      <c r="S77" s="379"/>
      <c r="T77" s="379"/>
      <c r="U77" s="379"/>
      <c r="V77" s="379"/>
      <c r="W77" s="379"/>
      <c r="X77" s="379"/>
      <c r="Y77" s="379"/>
      <c r="Z77" s="379"/>
      <c r="AA77" s="379"/>
      <c r="AB77" s="379"/>
      <c r="AC77" s="379"/>
      <c r="AD77" s="379"/>
    </row>
    <row r="78" ht="21.0" customHeight="1">
      <c r="A78" s="373"/>
      <c r="B78" s="374" t="s">
        <v>957</v>
      </c>
      <c r="C78" s="374" t="s">
        <v>158</v>
      </c>
      <c r="D78" s="374" t="s">
        <v>54</v>
      </c>
      <c r="E78" s="375" t="s">
        <v>3042</v>
      </c>
      <c r="F78" s="374" t="s">
        <v>1027</v>
      </c>
      <c r="G78" s="374" t="s">
        <v>845</v>
      </c>
      <c r="H78" s="376" t="s">
        <v>3095</v>
      </c>
      <c r="I78" s="374" t="s">
        <v>959</v>
      </c>
      <c r="J78" s="404" t="s">
        <v>2829</v>
      </c>
      <c r="K78" s="378"/>
      <c r="L78" s="374" t="s">
        <v>962</v>
      </c>
      <c r="M78" s="379"/>
      <c r="N78" s="379"/>
      <c r="O78" s="379"/>
      <c r="P78" s="379"/>
      <c r="Q78" s="379"/>
      <c r="R78" s="379"/>
      <c r="S78" s="379"/>
      <c r="T78" s="379"/>
      <c r="U78" s="379"/>
      <c r="V78" s="379"/>
      <c r="W78" s="379"/>
      <c r="X78" s="379"/>
      <c r="Y78" s="379"/>
      <c r="Z78" s="379"/>
      <c r="AA78" s="379"/>
      <c r="AB78" s="379"/>
      <c r="AC78" s="379"/>
      <c r="AD78" s="379"/>
    </row>
    <row r="79" ht="24.0" customHeight="1">
      <c r="A79" s="388"/>
      <c r="B79" s="389" t="s">
        <v>843</v>
      </c>
      <c r="C79" s="389" t="s">
        <v>844</v>
      </c>
      <c r="D79" s="298" t="s">
        <v>54</v>
      </c>
      <c r="E79" s="394" t="s">
        <v>3056</v>
      </c>
      <c r="F79" s="298" t="s">
        <v>1018</v>
      </c>
      <c r="G79" s="298" t="s">
        <v>845</v>
      </c>
      <c r="H79" s="285" t="s">
        <v>3084</v>
      </c>
      <c r="I79" s="298" t="s">
        <v>847</v>
      </c>
      <c r="J79" s="392" t="s">
        <v>848</v>
      </c>
      <c r="K79" s="389"/>
      <c r="L79" s="298" t="s">
        <v>2847</v>
      </c>
      <c r="M79" s="369"/>
      <c r="N79" s="369"/>
      <c r="O79" s="369"/>
      <c r="P79" s="369"/>
      <c r="Q79" s="369"/>
      <c r="R79" s="369"/>
      <c r="S79" s="369"/>
      <c r="T79" s="369"/>
      <c r="U79" s="369"/>
      <c r="V79" s="369"/>
      <c r="W79" s="369"/>
      <c r="X79" s="369"/>
      <c r="Y79" s="369"/>
      <c r="Z79" s="369"/>
      <c r="AA79" s="369"/>
      <c r="AB79" s="369"/>
      <c r="AC79" s="369"/>
      <c r="AD79" s="369"/>
    </row>
    <row r="80" ht="27.75" customHeight="1">
      <c r="A80" s="388"/>
      <c r="B80" s="405" t="s">
        <v>890</v>
      </c>
      <c r="C80" s="405" t="s">
        <v>891</v>
      </c>
      <c r="D80" s="298" t="s">
        <v>54</v>
      </c>
      <c r="E80" s="394" t="s">
        <v>3056</v>
      </c>
      <c r="F80" s="298" t="s">
        <v>1018</v>
      </c>
      <c r="G80" s="298" t="s">
        <v>845</v>
      </c>
      <c r="H80" s="285" t="s">
        <v>3096</v>
      </c>
      <c r="I80" s="298" t="s">
        <v>893</v>
      </c>
      <c r="J80" s="406" t="s">
        <v>894</v>
      </c>
      <c r="K80" s="389"/>
      <c r="L80" s="298" t="s">
        <v>895</v>
      </c>
      <c r="M80" s="369"/>
      <c r="N80" s="369"/>
      <c r="O80" s="369"/>
      <c r="P80" s="369"/>
      <c r="Q80" s="369"/>
      <c r="R80" s="369"/>
      <c r="S80" s="369"/>
      <c r="T80" s="369"/>
      <c r="U80" s="369"/>
      <c r="V80" s="369"/>
      <c r="W80" s="369"/>
      <c r="X80" s="369"/>
      <c r="Y80" s="369"/>
      <c r="Z80" s="369"/>
      <c r="AA80" s="369"/>
      <c r="AB80" s="369"/>
      <c r="AC80" s="369"/>
      <c r="AD80" s="369"/>
    </row>
    <row r="81" ht="27.75" customHeight="1">
      <c r="A81" s="388"/>
      <c r="B81" s="407" t="s">
        <v>867</v>
      </c>
      <c r="C81" s="407" t="s">
        <v>868</v>
      </c>
      <c r="D81" s="298" t="s">
        <v>54</v>
      </c>
      <c r="E81" s="390" t="s">
        <v>3088</v>
      </c>
      <c r="F81" s="298" t="s">
        <v>1027</v>
      </c>
      <c r="G81" s="298" t="s">
        <v>845</v>
      </c>
      <c r="H81" s="285" t="s">
        <v>3055</v>
      </c>
      <c r="I81" s="298" t="s">
        <v>870</v>
      </c>
      <c r="J81" s="406" t="s">
        <v>871</v>
      </c>
      <c r="K81" s="389"/>
      <c r="L81" s="298" t="s">
        <v>872</v>
      </c>
      <c r="M81" s="369"/>
      <c r="N81" s="369"/>
      <c r="O81" s="369"/>
      <c r="P81" s="369"/>
      <c r="Q81" s="369"/>
      <c r="R81" s="369"/>
      <c r="S81" s="369"/>
      <c r="T81" s="369"/>
      <c r="U81" s="369"/>
      <c r="V81" s="369"/>
      <c r="W81" s="369"/>
      <c r="X81" s="369"/>
      <c r="Y81" s="369"/>
      <c r="Z81" s="369"/>
      <c r="AA81" s="369"/>
      <c r="AB81" s="369"/>
      <c r="AC81" s="369"/>
      <c r="AD81" s="369"/>
    </row>
    <row r="82" ht="27.75" customHeight="1">
      <c r="A82" s="373">
        <v>6.0</v>
      </c>
      <c r="B82" s="374" t="s">
        <v>981</v>
      </c>
      <c r="C82" s="374" t="s">
        <v>982</v>
      </c>
      <c r="D82" s="374" t="s">
        <v>54</v>
      </c>
      <c r="E82" s="408" t="s">
        <v>983</v>
      </c>
      <c r="F82" s="374" t="s">
        <v>1027</v>
      </c>
      <c r="G82" s="374" t="s">
        <v>845</v>
      </c>
      <c r="H82" s="376" t="s">
        <v>3097</v>
      </c>
      <c r="I82" s="374" t="s">
        <v>985</v>
      </c>
      <c r="J82" s="404" t="s">
        <v>986</v>
      </c>
      <c r="K82" s="378"/>
      <c r="L82" s="374" t="s">
        <v>988</v>
      </c>
      <c r="M82" s="379"/>
      <c r="N82" s="379"/>
      <c r="O82" s="379"/>
      <c r="P82" s="379"/>
      <c r="Q82" s="379"/>
      <c r="R82" s="379"/>
      <c r="S82" s="379"/>
      <c r="T82" s="379"/>
      <c r="U82" s="379"/>
      <c r="V82" s="379"/>
      <c r="W82" s="379"/>
      <c r="X82" s="379"/>
      <c r="Y82" s="379"/>
      <c r="Z82" s="379"/>
      <c r="AA82" s="379"/>
      <c r="AB82" s="379"/>
      <c r="AC82" s="379"/>
      <c r="AD82" s="379"/>
    </row>
    <row r="83" ht="27.75" customHeight="1">
      <c r="A83" s="388">
        <v>7.0</v>
      </c>
      <c r="B83" s="298" t="s">
        <v>994</v>
      </c>
      <c r="C83" s="298" t="s">
        <v>995</v>
      </c>
      <c r="D83" s="298" t="s">
        <v>27</v>
      </c>
      <c r="E83" s="390" t="s">
        <v>3098</v>
      </c>
      <c r="F83" s="298" t="s">
        <v>1027</v>
      </c>
      <c r="G83" s="298" t="s">
        <v>845</v>
      </c>
      <c r="H83" s="285" t="s">
        <v>296</v>
      </c>
      <c r="I83" s="298" t="s">
        <v>998</v>
      </c>
      <c r="J83" s="392" t="s">
        <v>999</v>
      </c>
      <c r="K83" s="389"/>
      <c r="L83" s="298" t="s">
        <v>1000</v>
      </c>
      <c r="M83" s="369"/>
      <c r="N83" s="369"/>
      <c r="O83" s="369"/>
      <c r="P83" s="369"/>
      <c r="Q83" s="369"/>
      <c r="R83" s="369"/>
      <c r="S83" s="369"/>
      <c r="T83" s="369"/>
      <c r="U83" s="369"/>
      <c r="V83" s="369"/>
      <c r="W83" s="369"/>
      <c r="X83" s="369"/>
      <c r="Y83" s="369"/>
      <c r="Z83" s="369"/>
      <c r="AA83" s="369"/>
      <c r="AB83" s="369"/>
      <c r="AC83" s="369"/>
      <c r="AD83" s="369"/>
    </row>
    <row r="84" ht="27.75" customHeight="1">
      <c r="A84" s="388"/>
      <c r="B84" s="298" t="s">
        <v>1005</v>
      </c>
      <c r="C84" s="298" t="s">
        <v>1006</v>
      </c>
      <c r="D84" s="298" t="s">
        <v>27</v>
      </c>
      <c r="E84" s="390" t="s">
        <v>3098</v>
      </c>
      <c r="F84" s="298" t="s">
        <v>1027</v>
      </c>
      <c r="G84" s="298" t="s">
        <v>845</v>
      </c>
      <c r="H84" s="285" t="s">
        <v>3099</v>
      </c>
      <c r="I84" s="298" t="s">
        <v>1009</v>
      </c>
      <c r="J84" s="406" t="s">
        <v>1010</v>
      </c>
      <c r="K84" s="389"/>
      <c r="L84" s="298" t="s">
        <v>1011</v>
      </c>
      <c r="M84" s="369"/>
      <c r="N84" s="369"/>
      <c r="O84" s="369"/>
      <c r="P84" s="369"/>
      <c r="Q84" s="369"/>
      <c r="R84" s="369"/>
      <c r="S84" s="369"/>
      <c r="T84" s="369"/>
      <c r="U84" s="369"/>
      <c r="V84" s="369"/>
      <c r="W84" s="369"/>
      <c r="X84" s="369"/>
      <c r="Y84" s="369"/>
      <c r="Z84" s="369"/>
      <c r="AA84" s="369"/>
      <c r="AB84" s="369"/>
      <c r="AC84" s="369"/>
      <c r="AD84" s="369"/>
    </row>
    <row r="85" ht="27.75" customHeight="1">
      <c r="A85" s="373">
        <v>12.0</v>
      </c>
      <c r="B85" s="374" t="s">
        <v>969</v>
      </c>
      <c r="C85" s="374" t="s">
        <v>970</v>
      </c>
      <c r="D85" s="374" t="s">
        <v>27</v>
      </c>
      <c r="E85" s="375" t="s">
        <v>3100</v>
      </c>
      <c r="F85" s="374" t="s">
        <v>1018</v>
      </c>
      <c r="G85" s="374" t="s">
        <v>845</v>
      </c>
      <c r="H85" s="376" t="s">
        <v>3101</v>
      </c>
      <c r="I85" s="374" t="s">
        <v>973</v>
      </c>
      <c r="J85" s="377" t="s">
        <v>974</v>
      </c>
      <c r="K85" s="378"/>
      <c r="L85" s="374" t="s">
        <v>975</v>
      </c>
      <c r="M85" s="379"/>
      <c r="N85" s="379"/>
      <c r="O85" s="379"/>
      <c r="P85" s="379"/>
      <c r="Q85" s="379"/>
      <c r="R85" s="379"/>
      <c r="S85" s="379"/>
      <c r="T85" s="379"/>
      <c r="U85" s="379"/>
      <c r="V85" s="379"/>
      <c r="W85" s="379"/>
      <c r="X85" s="379"/>
      <c r="Y85" s="379"/>
      <c r="Z85" s="379"/>
      <c r="AA85" s="379"/>
      <c r="AB85" s="379"/>
      <c r="AC85" s="379"/>
      <c r="AD85" s="379"/>
    </row>
    <row r="86" ht="27.75" customHeight="1">
      <c r="A86" s="388"/>
      <c r="B86" s="405" t="s">
        <v>909</v>
      </c>
      <c r="C86" s="405" t="s">
        <v>868</v>
      </c>
      <c r="D86" s="298" t="s">
        <v>27</v>
      </c>
      <c r="E86" s="390" t="s">
        <v>3049</v>
      </c>
      <c r="F86" s="298" t="s">
        <v>1027</v>
      </c>
      <c r="G86" s="298" t="s">
        <v>845</v>
      </c>
      <c r="H86" s="285" t="s">
        <v>3102</v>
      </c>
      <c r="I86" s="298" t="s">
        <v>911</v>
      </c>
      <c r="J86" s="298" t="s">
        <v>2901</v>
      </c>
      <c r="K86" s="389"/>
      <c r="L86" s="298" t="s">
        <v>914</v>
      </c>
      <c r="M86" s="369"/>
      <c r="N86" s="369"/>
      <c r="O86" s="369"/>
      <c r="P86" s="369"/>
      <c r="Q86" s="369"/>
      <c r="R86" s="369"/>
      <c r="S86" s="369"/>
      <c r="T86" s="369"/>
      <c r="U86" s="369"/>
      <c r="V86" s="369"/>
      <c r="W86" s="369"/>
      <c r="X86" s="369"/>
      <c r="Y86" s="369"/>
      <c r="Z86" s="369"/>
      <c r="AA86" s="369"/>
      <c r="AB86" s="369"/>
      <c r="AC86" s="369"/>
      <c r="AD86" s="369"/>
    </row>
    <row r="87" ht="27.75" customHeight="1">
      <c r="A87" s="373"/>
      <c r="B87" s="378" t="s">
        <v>878</v>
      </c>
      <c r="C87" s="378" t="s">
        <v>879</v>
      </c>
      <c r="D87" s="374" t="s">
        <v>27</v>
      </c>
      <c r="E87" s="375" t="s">
        <v>3058</v>
      </c>
      <c r="F87" s="374" t="s">
        <v>1018</v>
      </c>
      <c r="G87" s="374" t="s">
        <v>845</v>
      </c>
      <c r="H87" s="376" t="s">
        <v>1906</v>
      </c>
      <c r="I87" s="374" t="s">
        <v>881</v>
      </c>
      <c r="J87" s="404" t="s">
        <v>2903</v>
      </c>
      <c r="K87" s="378"/>
      <c r="L87" s="374" t="s">
        <v>883</v>
      </c>
      <c r="M87" s="379"/>
      <c r="N87" s="379"/>
      <c r="O87" s="379"/>
      <c r="P87" s="379"/>
      <c r="Q87" s="379"/>
      <c r="R87" s="379"/>
      <c r="S87" s="379"/>
      <c r="T87" s="379"/>
      <c r="U87" s="379"/>
      <c r="V87" s="379"/>
      <c r="W87" s="379"/>
      <c r="X87" s="379"/>
      <c r="Y87" s="379"/>
      <c r="Z87" s="379"/>
      <c r="AA87" s="379"/>
      <c r="AB87" s="379"/>
      <c r="AC87" s="379"/>
      <c r="AD87" s="379"/>
    </row>
    <row r="88" ht="27.75" customHeight="1">
      <c r="A88" s="373"/>
      <c r="B88" s="374" t="s">
        <v>928</v>
      </c>
      <c r="C88" s="374" t="s">
        <v>929</v>
      </c>
      <c r="D88" s="374" t="s">
        <v>27</v>
      </c>
      <c r="E88" s="375" t="s">
        <v>3058</v>
      </c>
      <c r="F88" s="374" t="s">
        <v>1027</v>
      </c>
      <c r="G88" s="374" t="s">
        <v>845</v>
      </c>
      <c r="H88" s="376" t="s">
        <v>1900</v>
      </c>
      <c r="I88" s="374" t="s">
        <v>932</v>
      </c>
      <c r="J88" s="404" t="s">
        <v>2905</v>
      </c>
      <c r="K88" s="378"/>
      <c r="L88" s="374" t="s">
        <v>2906</v>
      </c>
      <c r="M88" s="379"/>
      <c r="N88" s="379"/>
      <c r="O88" s="379"/>
      <c r="P88" s="379"/>
      <c r="Q88" s="379"/>
      <c r="R88" s="379"/>
      <c r="S88" s="379"/>
      <c r="T88" s="379"/>
      <c r="U88" s="379"/>
      <c r="V88" s="379"/>
      <c r="W88" s="379"/>
      <c r="X88" s="379"/>
      <c r="Y88" s="379"/>
      <c r="Z88" s="379"/>
      <c r="AA88" s="379"/>
      <c r="AB88" s="379"/>
      <c r="AC88" s="379"/>
      <c r="AD88" s="379"/>
    </row>
    <row r="89" ht="27.75" customHeight="1">
      <c r="A89" s="373"/>
      <c r="B89" s="374" t="s">
        <v>943</v>
      </c>
      <c r="C89" s="374" t="s">
        <v>944</v>
      </c>
      <c r="D89" s="374" t="s">
        <v>27</v>
      </c>
      <c r="E89" s="375" t="s">
        <v>3058</v>
      </c>
      <c r="F89" s="374" t="s">
        <v>1018</v>
      </c>
      <c r="G89" s="374" t="s">
        <v>845</v>
      </c>
      <c r="H89" s="376" t="s">
        <v>3103</v>
      </c>
      <c r="I89" s="374" t="s">
        <v>947</v>
      </c>
      <c r="J89" s="404" t="s">
        <v>3104</v>
      </c>
      <c r="K89" s="378"/>
      <c r="L89" s="374" t="s">
        <v>950</v>
      </c>
      <c r="M89" s="379"/>
      <c r="N89" s="379"/>
      <c r="O89" s="379"/>
      <c r="P89" s="379"/>
      <c r="Q89" s="379"/>
      <c r="R89" s="379"/>
      <c r="S89" s="379"/>
      <c r="T89" s="379"/>
      <c r="U89" s="379"/>
      <c r="V89" s="379"/>
      <c r="W89" s="379"/>
      <c r="X89" s="379"/>
      <c r="Y89" s="379"/>
      <c r="Z89" s="379"/>
      <c r="AA89" s="379"/>
      <c r="AB89" s="379"/>
      <c r="AC89" s="379"/>
      <c r="AD89" s="379"/>
    </row>
    <row r="90" ht="27.75" customHeight="1">
      <c r="A90" s="388"/>
      <c r="B90" s="389" t="s">
        <v>900</v>
      </c>
      <c r="C90" s="389" t="s">
        <v>901</v>
      </c>
      <c r="D90" s="298" t="s">
        <v>183</v>
      </c>
      <c r="E90" s="390" t="s">
        <v>3059</v>
      </c>
      <c r="F90" s="298" t="s">
        <v>1018</v>
      </c>
      <c r="G90" s="298" t="s">
        <v>845</v>
      </c>
      <c r="H90" s="285" t="s">
        <v>184</v>
      </c>
      <c r="I90" s="298" t="s">
        <v>903</v>
      </c>
      <c r="J90" s="406" t="s">
        <v>904</v>
      </c>
      <c r="K90" s="389"/>
      <c r="L90" s="298" t="s">
        <v>905</v>
      </c>
      <c r="M90" s="369"/>
      <c r="N90" s="369"/>
      <c r="O90" s="369"/>
      <c r="P90" s="369"/>
      <c r="Q90" s="369"/>
      <c r="R90" s="369"/>
      <c r="S90" s="369"/>
      <c r="T90" s="369"/>
      <c r="U90" s="369"/>
      <c r="V90" s="369"/>
      <c r="W90" s="369"/>
      <c r="X90" s="369"/>
      <c r="Y90" s="369"/>
      <c r="Z90" s="369"/>
      <c r="AA90" s="369"/>
      <c r="AB90" s="369"/>
      <c r="AC90" s="369"/>
      <c r="AD90" s="369"/>
    </row>
    <row r="91" ht="27.75" customHeight="1">
      <c r="A91" s="388"/>
      <c r="B91" s="298" t="s">
        <v>920</v>
      </c>
      <c r="C91" s="298" t="s">
        <v>921</v>
      </c>
      <c r="D91" s="298" t="s">
        <v>183</v>
      </c>
      <c r="E91" s="390" t="s">
        <v>3059</v>
      </c>
      <c r="F91" s="298" t="s">
        <v>1027</v>
      </c>
      <c r="G91" s="298" t="s">
        <v>845</v>
      </c>
      <c r="H91" s="285" t="s">
        <v>3105</v>
      </c>
      <c r="I91" s="298" t="s">
        <v>923</v>
      </c>
      <c r="J91" s="298" t="s">
        <v>924</v>
      </c>
      <c r="K91" s="389"/>
      <c r="L91" s="298" t="s">
        <v>925</v>
      </c>
      <c r="M91" s="369"/>
      <c r="N91" s="369"/>
      <c r="O91" s="369"/>
      <c r="P91" s="369"/>
      <c r="Q91" s="369"/>
      <c r="R91" s="369"/>
      <c r="S91" s="369"/>
      <c r="T91" s="369"/>
      <c r="U91" s="369"/>
      <c r="V91" s="369"/>
      <c r="W91" s="369"/>
      <c r="X91" s="369"/>
      <c r="Y91" s="369"/>
      <c r="Z91" s="369"/>
      <c r="AA91" s="369"/>
      <c r="AB91" s="369"/>
      <c r="AC91" s="369"/>
      <c r="AD91" s="369"/>
    </row>
    <row r="92" ht="27.75" customHeight="1">
      <c r="A92" s="373"/>
      <c r="B92" s="374" t="s">
        <v>1069</v>
      </c>
      <c r="C92" s="374" t="s">
        <v>1070</v>
      </c>
      <c r="D92" s="374" t="s">
        <v>54</v>
      </c>
      <c r="E92" s="375" t="s">
        <v>3042</v>
      </c>
      <c r="F92" s="374" t="s">
        <v>1027</v>
      </c>
      <c r="G92" s="374" t="s">
        <v>1019</v>
      </c>
      <c r="H92" s="376" t="s">
        <v>1953</v>
      </c>
      <c r="I92" s="374" t="s">
        <v>2832</v>
      </c>
      <c r="J92" s="377" t="s">
        <v>1074</v>
      </c>
      <c r="K92" s="374"/>
      <c r="L92" s="374" t="s">
        <v>1075</v>
      </c>
      <c r="M92" s="379"/>
      <c r="N92" s="379"/>
      <c r="O92" s="379"/>
      <c r="P92" s="379"/>
      <c r="Q92" s="379"/>
      <c r="R92" s="379"/>
      <c r="S92" s="379"/>
      <c r="T92" s="379"/>
      <c r="U92" s="379"/>
      <c r="V92" s="379"/>
      <c r="W92" s="379"/>
      <c r="X92" s="379"/>
      <c r="Y92" s="379"/>
      <c r="Z92" s="379"/>
      <c r="AA92" s="379"/>
      <c r="AB92" s="379"/>
      <c r="AC92" s="379"/>
      <c r="AD92" s="379"/>
    </row>
    <row r="93" ht="27.75" customHeight="1">
      <c r="A93" s="388"/>
      <c r="B93" s="298" t="s">
        <v>1136</v>
      </c>
      <c r="C93" s="298" t="s">
        <v>1137</v>
      </c>
      <c r="D93" s="298" t="s">
        <v>54</v>
      </c>
      <c r="E93" s="394" t="s">
        <v>3056</v>
      </c>
      <c r="F93" s="298" t="s">
        <v>1027</v>
      </c>
      <c r="G93" s="298" t="s">
        <v>1019</v>
      </c>
      <c r="H93" s="340" t="s">
        <v>3096</v>
      </c>
      <c r="I93" s="298" t="s">
        <v>1139</v>
      </c>
      <c r="J93" s="392" t="s">
        <v>2849</v>
      </c>
      <c r="K93" s="298"/>
      <c r="L93" s="298" t="s">
        <v>1142</v>
      </c>
      <c r="M93" s="369"/>
      <c r="N93" s="369"/>
      <c r="O93" s="369"/>
      <c r="P93" s="369"/>
      <c r="Q93" s="369"/>
      <c r="R93" s="369"/>
      <c r="S93" s="369"/>
      <c r="T93" s="369"/>
      <c r="U93" s="369"/>
      <c r="V93" s="369"/>
      <c r="W93" s="369"/>
      <c r="X93" s="369"/>
      <c r="Y93" s="369"/>
      <c r="Z93" s="369"/>
      <c r="AA93" s="369"/>
      <c r="AB93" s="369"/>
      <c r="AC93" s="369"/>
      <c r="AD93" s="369"/>
    </row>
    <row r="94" ht="27.75" customHeight="1">
      <c r="A94" s="373"/>
      <c r="B94" s="374" t="s">
        <v>1015</v>
      </c>
      <c r="C94" s="374" t="s">
        <v>1016</v>
      </c>
      <c r="D94" s="374" t="s">
        <v>27</v>
      </c>
      <c r="E94" s="375" t="s">
        <v>3053</v>
      </c>
      <c r="F94" s="374" t="s">
        <v>1018</v>
      </c>
      <c r="G94" s="374" t="s">
        <v>1019</v>
      </c>
      <c r="H94" s="376" t="s">
        <v>1919</v>
      </c>
      <c r="I94" s="374" t="s">
        <v>881</v>
      </c>
      <c r="J94" s="377" t="s">
        <v>1020</v>
      </c>
      <c r="K94" s="378"/>
      <c r="L94" s="374" t="s">
        <v>1021</v>
      </c>
      <c r="M94" s="395"/>
      <c r="N94" s="395"/>
      <c r="O94" s="395"/>
      <c r="P94" s="395"/>
      <c r="Q94" s="395"/>
      <c r="R94" s="395"/>
      <c r="S94" s="395"/>
      <c r="T94" s="395"/>
      <c r="U94" s="395"/>
      <c r="V94" s="395"/>
      <c r="W94" s="395"/>
      <c r="X94" s="395"/>
      <c r="Y94" s="395"/>
      <c r="Z94" s="395"/>
      <c r="AA94" s="395"/>
      <c r="AB94" s="395"/>
      <c r="AC94" s="395"/>
      <c r="AD94" s="395"/>
    </row>
    <row r="95" ht="27.75" customHeight="1">
      <c r="A95" s="388"/>
      <c r="B95" s="298" t="s">
        <v>1024</v>
      </c>
      <c r="C95" s="298" t="s">
        <v>1025</v>
      </c>
      <c r="D95" s="298" t="s">
        <v>27</v>
      </c>
      <c r="E95" s="390" t="s">
        <v>3074</v>
      </c>
      <c r="F95" s="298" t="s">
        <v>1027</v>
      </c>
      <c r="G95" s="298" t="s">
        <v>1019</v>
      </c>
      <c r="H95" s="285" t="s">
        <v>1752</v>
      </c>
      <c r="I95" s="298" t="s">
        <v>1081</v>
      </c>
      <c r="J95" s="392" t="s">
        <v>1028</v>
      </c>
      <c r="K95" s="298"/>
      <c r="L95" s="298" t="s">
        <v>1029</v>
      </c>
      <c r="M95" s="400"/>
      <c r="N95" s="400"/>
      <c r="O95" s="400"/>
      <c r="P95" s="400"/>
      <c r="Q95" s="400"/>
      <c r="R95" s="400"/>
      <c r="S95" s="400"/>
      <c r="T95" s="400"/>
      <c r="U95" s="400"/>
      <c r="V95" s="400"/>
      <c r="W95" s="400"/>
      <c r="X95" s="400"/>
      <c r="Y95" s="400"/>
      <c r="Z95" s="400"/>
      <c r="AA95" s="400"/>
      <c r="AB95" s="400"/>
      <c r="AC95" s="400"/>
      <c r="AD95" s="400"/>
    </row>
    <row r="96" ht="27.75" customHeight="1">
      <c r="A96" s="388"/>
      <c r="B96" s="298" t="s">
        <v>1031</v>
      </c>
      <c r="C96" s="298" t="s">
        <v>1032</v>
      </c>
      <c r="D96" s="298" t="s">
        <v>27</v>
      </c>
      <c r="E96" s="390" t="s">
        <v>3074</v>
      </c>
      <c r="F96" s="298" t="s">
        <v>1018</v>
      </c>
      <c r="G96" s="298" t="s">
        <v>1019</v>
      </c>
      <c r="H96" s="285" t="s">
        <v>243</v>
      </c>
      <c r="I96" s="298" t="s">
        <v>1159</v>
      </c>
      <c r="J96" s="392" t="s">
        <v>1033</v>
      </c>
      <c r="K96" s="298"/>
      <c r="L96" s="298" t="s">
        <v>1034</v>
      </c>
      <c r="M96" s="400"/>
      <c r="N96" s="400"/>
      <c r="O96" s="400"/>
      <c r="P96" s="400"/>
      <c r="Q96" s="400"/>
      <c r="R96" s="400"/>
      <c r="S96" s="400"/>
      <c r="T96" s="400"/>
      <c r="U96" s="400"/>
      <c r="V96" s="400"/>
      <c r="W96" s="400"/>
      <c r="X96" s="400"/>
      <c r="Y96" s="400"/>
      <c r="Z96" s="400"/>
      <c r="AA96" s="400"/>
      <c r="AB96" s="400"/>
      <c r="AC96" s="400"/>
      <c r="AD96" s="400"/>
    </row>
    <row r="97" ht="27.75" customHeight="1">
      <c r="A97" s="373"/>
      <c r="B97" s="374" t="s">
        <v>1095</v>
      </c>
      <c r="C97" s="374" t="s">
        <v>1096</v>
      </c>
      <c r="D97" s="374" t="s">
        <v>465</v>
      </c>
      <c r="E97" s="375" t="s">
        <v>2093</v>
      </c>
      <c r="F97" s="374" t="s">
        <v>1018</v>
      </c>
      <c r="G97" s="374" t="s">
        <v>1019</v>
      </c>
      <c r="H97" s="376" t="s">
        <v>3106</v>
      </c>
      <c r="I97" s="374" t="s">
        <v>1097</v>
      </c>
      <c r="J97" s="377" t="s">
        <v>1098</v>
      </c>
      <c r="K97" s="374"/>
      <c r="L97" s="374" t="s">
        <v>1099</v>
      </c>
      <c r="M97" s="379"/>
      <c r="N97" s="379"/>
      <c r="O97" s="379"/>
      <c r="P97" s="379"/>
      <c r="Q97" s="379"/>
      <c r="R97" s="379"/>
      <c r="S97" s="379"/>
      <c r="T97" s="379"/>
      <c r="U97" s="379"/>
      <c r="V97" s="379"/>
      <c r="W97" s="379"/>
      <c r="X97" s="379"/>
      <c r="Y97" s="379"/>
      <c r="Z97" s="379"/>
      <c r="AA97" s="379"/>
      <c r="AB97" s="379"/>
      <c r="AC97" s="379"/>
      <c r="AD97" s="379"/>
    </row>
    <row r="98" ht="27.75" customHeight="1">
      <c r="A98" s="373"/>
      <c r="B98" s="374" t="s">
        <v>1115</v>
      </c>
      <c r="C98" s="374" t="s">
        <v>192</v>
      </c>
      <c r="D98" s="374" t="s">
        <v>465</v>
      </c>
      <c r="E98" s="375" t="s">
        <v>2093</v>
      </c>
      <c r="F98" s="374" t="s">
        <v>1027</v>
      </c>
      <c r="G98" s="374" t="s">
        <v>1019</v>
      </c>
      <c r="H98" s="376" t="s">
        <v>3107</v>
      </c>
      <c r="I98" s="374" t="s">
        <v>1117</v>
      </c>
      <c r="J98" s="377" t="s">
        <v>1119</v>
      </c>
      <c r="K98" s="374"/>
      <c r="L98" s="374" t="s">
        <v>1120</v>
      </c>
      <c r="M98" s="379"/>
      <c r="N98" s="379"/>
      <c r="O98" s="379"/>
      <c r="P98" s="379"/>
      <c r="Q98" s="379"/>
      <c r="R98" s="379"/>
      <c r="S98" s="379"/>
      <c r="T98" s="379"/>
      <c r="U98" s="379"/>
      <c r="V98" s="379"/>
      <c r="W98" s="379"/>
      <c r="X98" s="379"/>
      <c r="Y98" s="379"/>
      <c r="Z98" s="379"/>
      <c r="AA98" s="379"/>
      <c r="AB98" s="379"/>
      <c r="AC98" s="379"/>
      <c r="AD98" s="379"/>
    </row>
    <row r="99" ht="27.75" customHeight="1">
      <c r="A99" s="373"/>
      <c r="B99" s="374" t="s">
        <v>1124</v>
      </c>
      <c r="C99" s="374" t="s">
        <v>1125</v>
      </c>
      <c r="D99" s="374" t="s">
        <v>465</v>
      </c>
      <c r="E99" s="375" t="s">
        <v>2093</v>
      </c>
      <c r="F99" s="374" t="s">
        <v>1018</v>
      </c>
      <c r="G99" s="374" t="s">
        <v>1019</v>
      </c>
      <c r="H99" s="376" t="s">
        <v>3108</v>
      </c>
      <c r="I99" s="374" t="s">
        <v>1127</v>
      </c>
      <c r="J99" s="377" t="s">
        <v>1129</v>
      </c>
      <c r="K99" s="374"/>
      <c r="L99" s="374" t="s">
        <v>1130</v>
      </c>
      <c r="M99" s="379"/>
      <c r="N99" s="379"/>
      <c r="O99" s="379"/>
      <c r="P99" s="379"/>
      <c r="Q99" s="379"/>
      <c r="R99" s="379"/>
      <c r="S99" s="379"/>
      <c r="T99" s="379"/>
      <c r="U99" s="379"/>
      <c r="V99" s="379"/>
      <c r="W99" s="379"/>
      <c r="X99" s="379"/>
      <c r="Y99" s="379"/>
      <c r="Z99" s="379"/>
      <c r="AA99" s="379"/>
      <c r="AB99" s="379"/>
      <c r="AC99" s="379"/>
      <c r="AD99" s="379"/>
    </row>
    <row r="100" ht="28.5" customHeight="1">
      <c r="A100" s="396">
        <v>25.0</v>
      </c>
      <c r="B100" s="298" t="s">
        <v>1147</v>
      </c>
      <c r="C100" s="298" t="s">
        <v>1148</v>
      </c>
      <c r="D100" s="298" t="s">
        <v>465</v>
      </c>
      <c r="E100" s="390" t="s">
        <v>3109</v>
      </c>
      <c r="F100" s="298" t="s">
        <v>1027</v>
      </c>
      <c r="G100" s="298" t="s">
        <v>1019</v>
      </c>
      <c r="H100" s="285" t="s">
        <v>3083</v>
      </c>
      <c r="I100" s="298" t="s">
        <v>932</v>
      </c>
      <c r="J100" s="392" t="s">
        <v>1152</v>
      </c>
      <c r="K100" s="298"/>
      <c r="L100" s="298" t="s">
        <v>1153</v>
      </c>
      <c r="M100" s="369"/>
      <c r="N100" s="369"/>
      <c r="O100" s="369"/>
      <c r="P100" s="369"/>
      <c r="Q100" s="369"/>
      <c r="R100" s="369"/>
      <c r="S100" s="369"/>
      <c r="T100" s="369"/>
      <c r="U100" s="369"/>
      <c r="V100" s="369"/>
      <c r="W100" s="369"/>
      <c r="X100" s="369"/>
      <c r="Y100" s="369"/>
      <c r="Z100" s="369"/>
      <c r="AA100" s="369"/>
      <c r="AB100" s="369"/>
      <c r="AC100" s="369"/>
      <c r="AD100" s="369"/>
    </row>
    <row r="101" ht="28.5" customHeight="1">
      <c r="A101" s="393">
        <v>28.0</v>
      </c>
      <c r="B101" s="374" t="s">
        <v>1036</v>
      </c>
      <c r="C101" s="374" t="s">
        <v>1037</v>
      </c>
      <c r="D101" s="374" t="s">
        <v>1039</v>
      </c>
      <c r="E101" s="375" t="s">
        <v>2623</v>
      </c>
      <c r="F101" s="374" t="s">
        <v>1027</v>
      </c>
      <c r="G101" s="374" t="s">
        <v>1019</v>
      </c>
      <c r="H101" s="376" t="s">
        <v>1900</v>
      </c>
      <c r="I101" s="374" t="s">
        <v>1041</v>
      </c>
      <c r="J101" s="377" t="s">
        <v>1042</v>
      </c>
      <c r="K101" s="378"/>
      <c r="L101" s="374" t="s">
        <v>1043</v>
      </c>
      <c r="M101" s="379"/>
      <c r="N101" s="379"/>
      <c r="O101" s="379"/>
      <c r="P101" s="379"/>
      <c r="Q101" s="379"/>
      <c r="R101" s="379"/>
      <c r="S101" s="379"/>
      <c r="T101" s="379"/>
      <c r="U101" s="379"/>
      <c r="V101" s="379"/>
      <c r="W101" s="379"/>
      <c r="X101" s="379"/>
      <c r="Y101" s="379"/>
      <c r="Z101" s="379"/>
      <c r="AA101" s="379"/>
      <c r="AB101" s="379"/>
      <c r="AC101" s="379"/>
      <c r="AD101" s="379"/>
    </row>
    <row r="102" ht="28.5" customHeight="1">
      <c r="A102" s="373"/>
      <c r="B102" s="374" t="s">
        <v>1048</v>
      </c>
      <c r="C102" s="374" t="s">
        <v>1049</v>
      </c>
      <c r="D102" s="374" t="s">
        <v>1039</v>
      </c>
      <c r="E102" s="375" t="s">
        <v>2623</v>
      </c>
      <c r="F102" s="374" t="s">
        <v>1027</v>
      </c>
      <c r="G102" s="374" t="s">
        <v>1019</v>
      </c>
      <c r="H102" s="376" t="s">
        <v>1868</v>
      </c>
      <c r="I102" s="374" t="s">
        <v>985</v>
      </c>
      <c r="J102" s="377" t="s">
        <v>1051</v>
      </c>
      <c r="K102" s="378"/>
      <c r="L102" s="374" t="s">
        <v>1052</v>
      </c>
      <c r="M102" s="379"/>
      <c r="N102" s="379"/>
      <c r="O102" s="379"/>
      <c r="P102" s="379"/>
      <c r="Q102" s="379"/>
      <c r="R102" s="379"/>
      <c r="S102" s="379"/>
      <c r="T102" s="379"/>
      <c r="U102" s="379"/>
      <c r="V102" s="379"/>
      <c r="W102" s="379"/>
      <c r="X102" s="379"/>
      <c r="Y102" s="379"/>
      <c r="Z102" s="379"/>
      <c r="AA102" s="379"/>
      <c r="AB102" s="379"/>
      <c r="AC102" s="379"/>
      <c r="AD102" s="379"/>
    </row>
    <row r="103" ht="28.5" customHeight="1">
      <c r="A103" s="373"/>
      <c r="B103" s="374" t="s">
        <v>1059</v>
      </c>
      <c r="C103" s="374" t="s">
        <v>1060</v>
      </c>
      <c r="D103" s="374" t="s">
        <v>1039</v>
      </c>
      <c r="E103" s="375" t="s">
        <v>2623</v>
      </c>
      <c r="F103" s="374" t="s">
        <v>1018</v>
      </c>
      <c r="G103" s="374" t="s">
        <v>1019</v>
      </c>
      <c r="H103" s="376" t="s">
        <v>3110</v>
      </c>
      <c r="I103" s="374" t="s">
        <v>1062</v>
      </c>
      <c r="J103" s="377" t="s">
        <v>1063</v>
      </c>
      <c r="K103" s="374"/>
      <c r="L103" s="374" t="s">
        <v>1064</v>
      </c>
      <c r="M103" s="379"/>
      <c r="N103" s="379"/>
      <c r="O103" s="379"/>
      <c r="P103" s="379"/>
      <c r="Q103" s="379"/>
      <c r="R103" s="379"/>
      <c r="S103" s="379"/>
      <c r="T103" s="379"/>
      <c r="U103" s="379"/>
      <c r="V103" s="379"/>
      <c r="W103" s="379"/>
      <c r="X103" s="379"/>
      <c r="Y103" s="379"/>
      <c r="Z103" s="379"/>
      <c r="AA103" s="379"/>
      <c r="AB103" s="379"/>
      <c r="AC103" s="379"/>
      <c r="AD103" s="379"/>
    </row>
    <row r="104" ht="28.5" customHeight="1">
      <c r="A104" s="373"/>
      <c r="B104" s="374" t="s">
        <v>2697</v>
      </c>
      <c r="C104" s="374" t="s">
        <v>2698</v>
      </c>
      <c r="D104" s="374" t="s">
        <v>1039</v>
      </c>
      <c r="E104" s="375" t="s">
        <v>2623</v>
      </c>
      <c r="F104" s="374" t="s">
        <v>1027</v>
      </c>
      <c r="G104" s="374" t="s">
        <v>1019</v>
      </c>
      <c r="H104" s="376" t="s">
        <v>3111</v>
      </c>
      <c r="I104" s="374" t="s">
        <v>985</v>
      </c>
      <c r="J104" s="377" t="s">
        <v>2967</v>
      </c>
      <c r="K104" s="374"/>
      <c r="L104" s="374" t="s">
        <v>1090</v>
      </c>
      <c r="M104" s="379"/>
      <c r="N104" s="379"/>
      <c r="O104" s="379"/>
      <c r="P104" s="379"/>
      <c r="Q104" s="379"/>
      <c r="R104" s="379"/>
      <c r="S104" s="379"/>
      <c r="T104" s="379"/>
      <c r="U104" s="379"/>
      <c r="V104" s="379"/>
      <c r="W104" s="379"/>
      <c r="X104" s="379"/>
      <c r="Y104" s="379"/>
      <c r="Z104" s="379"/>
      <c r="AA104" s="379"/>
      <c r="AB104" s="379"/>
      <c r="AC104" s="379"/>
      <c r="AD104" s="379"/>
    </row>
    <row r="105" ht="28.5" customHeight="1">
      <c r="A105" s="396">
        <v>33.0</v>
      </c>
      <c r="B105" s="352" t="s">
        <v>3012</v>
      </c>
      <c r="C105" s="352" t="s">
        <v>1104</v>
      </c>
      <c r="D105" s="352" t="s">
        <v>1106</v>
      </c>
      <c r="E105" s="390" t="s">
        <v>3112</v>
      </c>
      <c r="F105" s="298" t="s">
        <v>1018</v>
      </c>
      <c r="G105" s="298" t="s">
        <v>1019</v>
      </c>
      <c r="H105" s="285" t="s">
        <v>3050</v>
      </c>
      <c r="I105" s="298" t="s">
        <v>1108</v>
      </c>
      <c r="J105" s="392" t="s">
        <v>1109</v>
      </c>
      <c r="K105" s="298"/>
      <c r="L105" s="298" t="s">
        <v>1110</v>
      </c>
      <c r="M105" s="369"/>
      <c r="N105" s="369"/>
      <c r="O105" s="369"/>
      <c r="P105" s="369"/>
      <c r="Q105" s="369"/>
      <c r="R105" s="369"/>
      <c r="S105" s="369"/>
      <c r="T105" s="369"/>
      <c r="U105" s="369"/>
      <c r="V105" s="369"/>
      <c r="W105" s="369"/>
      <c r="X105" s="369"/>
      <c r="Y105" s="369"/>
      <c r="Z105" s="369"/>
      <c r="AA105" s="369"/>
      <c r="AB105" s="369"/>
      <c r="AC105" s="369"/>
      <c r="AD105" s="369"/>
    </row>
    <row r="106" ht="28.5" customHeight="1">
      <c r="A106" s="393">
        <v>34.0</v>
      </c>
      <c r="B106" s="374" t="s">
        <v>1165</v>
      </c>
      <c r="C106" s="374" t="s">
        <v>1166</v>
      </c>
      <c r="D106" s="374" t="s">
        <v>1106</v>
      </c>
      <c r="E106" s="375" t="s">
        <v>3113</v>
      </c>
      <c r="F106" s="374" t="s">
        <v>1027</v>
      </c>
      <c r="G106" s="374" t="s">
        <v>1019</v>
      </c>
      <c r="H106" s="376" t="s">
        <v>3081</v>
      </c>
      <c r="I106" s="374" t="s">
        <v>3015</v>
      </c>
      <c r="J106" s="377" t="s">
        <v>1171</v>
      </c>
      <c r="K106" s="374"/>
      <c r="L106" s="374" t="s">
        <v>1172</v>
      </c>
      <c r="M106" s="379"/>
      <c r="N106" s="379"/>
      <c r="O106" s="379"/>
      <c r="P106" s="379"/>
      <c r="Q106" s="379"/>
      <c r="R106" s="379"/>
      <c r="S106" s="379"/>
      <c r="T106" s="379"/>
      <c r="U106" s="379"/>
      <c r="V106" s="379"/>
      <c r="W106" s="379"/>
      <c r="X106" s="379"/>
      <c r="Y106" s="379"/>
      <c r="Z106" s="379"/>
      <c r="AA106" s="379"/>
      <c r="AB106" s="379"/>
      <c r="AC106" s="379"/>
      <c r="AD106" s="379"/>
    </row>
    <row r="107" ht="28.5" customHeight="1">
      <c r="A107" s="396">
        <v>35.0</v>
      </c>
      <c r="B107" s="298" t="s">
        <v>1176</v>
      </c>
      <c r="C107" s="298" t="s">
        <v>1177</v>
      </c>
      <c r="D107" s="298" t="s">
        <v>1179</v>
      </c>
      <c r="E107" s="390" t="s">
        <v>3114</v>
      </c>
      <c r="F107" s="298" t="s">
        <v>1027</v>
      </c>
      <c r="G107" s="298" t="s">
        <v>1019</v>
      </c>
      <c r="H107" s="285" t="s">
        <v>1919</v>
      </c>
      <c r="I107" s="298" t="s">
        <v>1181</v>
      </c>
      <c r="J107" s="392" t="s">
        <v>3017</v>
      </c>
      <c r="K107" s="298"/>
      <c r="L107" s="298" t="s">
        <v>1183</v>
      </c>
      <c r="M107" s="369"/>
      <c r="N107" s="369"/>
      <c r="O107" s="369"/>
      <c r="P107" s="369"/>
      <c r="Q107" s="369"/>
      <c r="R107" s="369"/>
      <c r="S107" s="369"/>
      <c r="T107" s="369"/>
      <c r="U107" s="369"/>
      <c r="V107" s="369"/>
      <c r="W107" s="369"/>
      <c r="X107" s="369"/>
      <c r="Y107" s="369"/>
      <c r="Z107" s="369"/>
      <c r="AA107" s="369"/>
      <c r="AB107" s="369"/>
      <c r="AC107" s="369"/>
      <c r="AD107" s="369"/>
    </row>
    <row r="108" ht="28.5" customHeight="1">
      <c r="A108" s="396">
        <v>49.0</v>
      </c>
      <c r="B108" s="298" t="s">
        <v>1186</v>
      </c>
      <c r="C108" s="298" t="s">
        <v>856</v>
      </c>
      <c r="D108" s="298" t="s">
        <v>1188</v>
      </c>
      <c r="E108" s="390" t="s">
        <v>3115</v>
      </c>
      <c r="F108" s="298" t="s">
        <v>1027</v>
      </c>
      <c r="G108" s="298" t="s">
        <v>1019</v>
      </c>
      <c r="H108" s="280" t="s">
        <v>3116</v>
      </c>
      <c r="I108" s="298" t="s">
        <v>1190</v>
      </c>
      <c r="J108" s="392" t="s">
        <v>1191</v>
      </c>
      <c r="K108" s="298"/>
      <c r="L108" s="298" t="s">
        <v>1192</v>
      </c>
      <c r="M108" s="369"/>
      <c r="N108" s="369"/>
      <c r="O108" s="369"/>
      <c r="P108" s="369"/>
      <c r="Q108" s="369"/>
      <c r="R108" s="369"/>
      <c r="S108" s="369"/>
      <c r="T108" s="369"/>
      <c r="U108" s="369"/>
      <c r="V108" s="369"/>
      <c r="W108" s="369"/>
      <c r="X108" s="369"/>
      <c r="Y108" s="369"/>
      <c r="Z108" s="369"/>
      <c r="AA108" s="369"/>
      <c r="AB108" s="369"/>
      <c r="AC108" s="369"/>
      <c r="AD108" s="369"/>
    </row>
    <row r="109" ht="28.5" customHeight="1">
      <c r="A109" s="388"/>
      <c r="B109" s="389" t="s">
        <v>1256</v>
      </c>
      <c r="C109" s="389" t="s">
        <v>1257</v>
      </c>
      <c r="D109" s="298" t="s">
        <v>54</v>
      </c>
      <c r="E109" s="394" t="s">
        <v>3056</v>
      </c>
      <c r="F109" s="389" t="s">
        <v>1018</v>
      </c>
      <c r="G109" s="298" t="s">
        <v>1197</v>
      </c>
      <c r="H109" s="397" t="s">
        <v>3117</v>
      </c>
      <c r="I109" s="389" t="s">
        <v>1259</v>
      </c>
      <c r="J109" s="409" t="s">
        <v>1260</v>
      </c>
      <c r="K109" s="409" t="s">
        <v>1261</v>
      </c>
      <c r="L109" s="389" t="s">
        <v>1262</v>
      </c>
      <c r="M109" s="369"/>
      <c r="N109" s="369"/>
      <c r="O109" s="369"/>
      <c r="P109" s="369"/>
      <c r="Q109" s="369"/>
      <c r="R109" s="369"/>
      <c r="S109" s="369"/>
      <c r="T109" s="369"/>
      <c r="U109" s="369"/>
      <c r="V109" s="369"/>
      <c r="W109" s="369"/>
      <c r="X109" s="369"/>
      <c r="Y109" s="369"/>
      <c r="Z109" s="369"/>
      <c r="AA109" s="369"/>
      <c r="AB109" s="369"/>
      <c r="AC109" s="369"/>
      <c r="AD109" s="369"/>
    </row>
    <row r="110" ht="28.5" customHeight="1">
      <c r="A110" s="373">
        <v>8.0</v>
      </c>
      <c r="B110" s="378" t="s">
        <v>1207</v>
      </c>
      <c r="C110" s="378" t="s">
        <v>1208</v>
      </c>
      <c r="D110" s="374" t="s">
        <v>27</v>
      </c>
      <c r="E110" s="410" t="s">
        <v>3118</v>
      </c>
      <c r="F110" s="378" t="s">
        <v>1027</v>
      </c>
      <c r="G110" s="374" t="s">
        <v>1197</v>
      </c>
      <c r="H110" s="411" t="s">
        <v>3119</v>
      </c>
      <c r="I110" s="378" t="s">
        <v>1211</v>
      </c>
      <c r="J110" s="378" t="s">
        <v>1212</v>
      </c>
      <c r="K110" s="378" t="s">
        <v>2910</v>
      </c>
      <c r="L110" s="378" t="s">
        <v>1214</v>
      </c>
      <c r="M110" s="379"/>
      <c r="N110" s="379"/>
      <c r="O110" s="379"/>
      <c r="P110" s="379"/>
      <c r="Q110" s="379"/>
      <c r="R110" s="379"/>
      <c r="S110" s="379"/>
      <c r="T110" s="379"/>
      <c r="U110" s="379"/>
      <c r="V110" s="379"/>
      <c r="W110" s="379"/>
      <c r="X110" s="379"/>
      <c r="Y110" s="379"/>
      <c r="Z110" s="379"/>
      <c r="AA110" s="379"/>
      <c r="AB110" s="379"/>
      <c r="AC110" s="379"/>
      <c r="AD110" s="379"/>
    </row>
    <row r="111" ht="28.5" customHeight="1">
      <c r="A111" s="388"/>
      <c r="B111" s="389" t="s">
        <v>652</v>
      </c>
      <c r="C111" s="389" t="s">
        <v>158</v>
      </c>
      <c r="D111" s="298" t="s">
        <v>183</v>
      </c>
      <c r="E111" s="390" t="s">
        <v>3059</v>
      </c>
      <c r="F111" s="389" t="s">
        <v>1027</v>
      </c>
      <c r="G111" s="298" t="s">
        <v>1197</v>
      </c>
      <c r="H111" s="397" t="s">
        <v>243</v>
      </c>
      <c r="I111" s="298" t="s">
        <v>1239</v>
      </c>
      <c r="J111" s="409" t="s">
        <v>1240</v>
      </c>
      <c r="K111" s="389" t="s">
        <v>1241</v>
      </c>
      <c r="L111" s="389" t="s">
        <v>1242</v>
      </c>
      <c r="M111" s="369"/>
      <c r="N111" s="369"/>
      <c r="O111" s="369"/>
      <c r="P111" s="369"/>
      <c r="Q111" s="369"/>
      <c r="R111" s="369"/>
      <c r="S111" s="369"/>
      <c r="T111" s="369"/>
      <c r="U111" s="369"/>
      <c r="V111" s="369"/>
      <c r="W111" s="369"/>
      <c r="X111" s="369"/>
      <c r="Y111" s="369"/>
      <c r="Z111" s="369"/>
      <c r="AA111" s="369"/>
      <c r="AB111" s="369"/>
      <c r="AC111" s="369"/>
      <c r="AD111" s="369"/>
    </row>
    <row r="112" ht="28.5" customHeight="1">
      <c r="A112" s="393">
        <v>22.0</v>
      </c>
      <c r="B112" s="412" t="s">
        <v>1227</v>
      </c>
      <c r="C112" s="412" t="s">
        <v>1228</v>
      </c>
      <c r="D112" s="374" t="s">
        <v>183</v>
      </c>
      <c r="E112" s="410" t="s">
        <v>3120</v>
      </c>
      <c r="F112" s="378" t="s">
        <v>1027</v>
      </c>
      <c r="G112" s="374" t="s">
        <v>1197</v>
      </c>
      <c r="H112" s="411" t="s">
        <v>3121</v>
      </c>
      <c r="I112" s="374" t="s">
        <v>1231</v>
      </c>
      <c r="J112" s="413" t="s">
        <v>2933</v>
      </c>
      <c r="K112" s="378" t="s">
        <v>1233</v>
      </c>
      <c r="L112" s="378" t="s">
        <v>1234</v>
      </c>
      <c r="M112" s="379"/>
      <c r="N112" s="379"/>
      <c r="O112" s="379"/>
      <c r="P112" s="379"/>
      <c r="Q112" s="379"/>
      <c r="R112" s="379"/>
      <c r="S112" s="379"/>
      <c r="T112" s="379"/>
      <c r="U112" s="379"/>
      <c r="V112" s="379"/>
      <c r="W112" s="379"/>
      <c r="X112" s="379"/>
      <c r="Y112" s="379"/>
      <c r="Z112" s="379"/>
      <c r="AA112" s="379"/>
      <c r="AB112" s="379"/>
      <c r="AC112" s="379"/>
      <c r="AD112" s="379"/>
    </row>
    <row r="113" ht="28.5" customHeight="1">
      <c r="A113" s="373"/>
      <c r="B113" s="378" t="s">
        <v>1285</v>
      </c>
      <c r="C113" s="378" t="s">
        <v>1286</v>
      </c>
      <c r="D113" s="374" t="s">
        <v>465</v>
      </c>
      <c r="E113" s="375" t="s">
        <v>2093</v>
      </c>
      <c r="F113" s="378" t="s">
        <v>1027</v>
      </c>
      <c r="G113" s="374" t="s">
        <v>1197</v>
      </c>
      <c r="H113" s="411" t="s">
        <v>3122</v>
      </c>
      <c r="I113" s="378" t="s">
        <v>1288</v>
      </c>
      <c r="J113" s="413" t="s">
        <v>1289</v>
      </c>
      <c r="K113" s="413" t="s">
        <v>1290</v>
      </c>
      <c r="L113" s="378" t="s">
        <v>1291</v>
      </c>
      <c r="M113" s="379"/>
      <c r="N113" s="379"/>
      <c r="O113" s="379"/>
      <c r="P113" s="379"/>
      <c r="Q113" s="379"/>
      <c r="R113" s="379"/>
      <c r="S113" s="379"/>
      <c r="T113" s="379"/>
      <c r="U113" s="379"/>
      <c r="V113" s="379"/>
      <c r="W113" s="379"/>
      <c r="X113" s="379"/>
      <c r="Y113" s="379"/>
      <c r="Z113" s="379"/>
      <c r="AA113" s="379"/>
      <c r="AB113" s="379"/>
      <c r="AC113" s="379"/>
      <c r="AD113" s="379"/>
    </row>
    <row r="114" ht="28.5" customHeight="1">
      <c r="A114" s="373"/>
      <c r="B114" s="378" t="s">
        <v>1195</v>
      </c>
      <c r="C114" s="378" t="s">
        <v>1196</v>
      </c>
      <c r="D114" s="374" t="s">
        <v>1039</v>
      </c>
      <c r="E114" s="375" t="s">
        <v>2623</v>
      </c>
      <c r="F114" s="378" t="s">
        <v>1027</v>
      </c>
      <c r="G114" s="374" t="s">
        <v>1197</v>
      </c>
      <c r="H114" s="411" t="s">
        <v>3123</v>
      </c>
      <c r="I114" s="378" t="s">
        <v>1199</v>
      </c>
      <c r="J114" s="414" t="s">
        <v>1200</v>
      </c>
      <c r="K114" s="413" t="s">
        <v>1201</v>
      </c>
      <c r="L114" s="378" t="s">
        <v>1202</v>
      </c>
      <c r="M114" s="379"/>
      <c r="N114" s="379"/>
      <c r="O114" s="379"/>
      <c r="P114" s="379"/>
      <c r="Q114" s="379"/>
      <c r="R114" s="379"/>
      <c r="S114" s="379"/>
      <c r="T114" s="379"/>
      <c r="U114" s="379"/>
      <c r="V114" s="379"/>
      <c r="W114" s="379"/>
      <c r="X114" s="379"/>
      <c r="Y114" s="379"/>
      <c r="Z114" s="379"/>
      <c r="AA114" s="379"/>
      <c r="AB114" s="379"/>
      <c r="AC114" s="379"/>
      <c r="AD114" s="379"/>
    </row>
    <row r="115" ht="28.5" customHeight="1">
      <c r="A115" s="373"/>
      <c r="B115" s="378" t="s">
        <v>2969</v>
      </c>
      <c r="C115" s="378" t="s">
        <v>1218</v>
      </c>
      <c r="D115" s="374" t="s">
        <v>1039</v>
      </c>
      <c r="E115" s="375" t="s">
        <v>2623</v>
      </c>
      <c r="F115" s="378" t="s">
        <v>1027</v>
      </c>
      <c r="G115" s="374" t="s">
        <v>1197</v>
      </c>
      <c r="H115" s="411" t="s">
        <v>296</v>
      </c>
      <c r="I115" s="378" t="s">
        <v>1220</v>
      </c>
      <c r="J115" s="413" t="s">
        <v>2970</v>
      </c>
      <c r="K115" s="413" t="s">
        <v>1222</v>
      </c>
      <c r="L115" s="378" t="s">
        <v>1223</v>
      </c>
      <c r="M115" s="379"/>
      <c r="N115" s="379"/>
      <c r="O115" s="379"/>
      <c r="P115" s="379"/>
      <c r="Q115" s="379"/>
      <c r="R115" s="379"/>
      <c r="S115" s="379"/>
      <c r="T115" s="379"/>
      <c r="U115" s="379"/>
      <c r="V115" s="379"/>
      <c r="W115" s="379"/>
      <c r="X115" s="379"/>
      <c r="Y115" s="379"/>
      <c r="Z115" s="379"/>
      <c r="AA115" s="379"/>
      <c r="AB115" s="379"/>
      <c r="AC115" s="379"/>
      <c r="AD115" s="379"/>
    </row>
    <row r="116" ht="28.5" customHeight="1">
      <c r="A116" s="373"/>
      <c r="B116" s="378" t="s">
        <v>1277</v>
      </c>
      <c r="C116" s="378" t="s">
        <v>1278</v>
      </c>
      <c r="D116" s="374" t="s">
        <v>1039</v>
      </c>
      <c r="E116" s="375" t="s">
        <v>2623</v>
      </c>
      <c r="F116" s="378" t="s">
        <v>1027</v>
      </c>
      <c r="G116" s="374" t="s">
        <v>1197</v>
      </c>
      <c r="H116" s="411" t="s">
        <v>205</v>
      </c>
      <c r="I116" s="378" t="s">
        <v>1280</v>
      </c>
      <c r="J116" s="413" t="s">
        <v>1281</v>
      </c>
      <c r="K116" s="413" t="s">
        <v>1282</v>
      </c>
      <c r="L116" s="378" t="s">
        <v>1283</v>
      </c>
      <c r="M116" s="379"/>
      <c r="N116" s="379"/>
      <c r="O116" s="379"/>
      <c r="P116" s="379"/>
      <c r="Q116" s="379"/>
      <c r="R116" s="379"/>
      <c r="S116" s="379"/>
      <c r="T116" s="379"/>
      <c r="U116" s="379"/>
      <c r="V116" s="379"/>
      <c r="W116" s="379"/>
      <c r="X116" s="379"/>
      <c r="Y116" s="379"/>
      <c r="Z116" s="379"/>
      <c r="AA116" s="379"/>
      <c r="AB116" s="379"/>
      <c r="AC116" s="379"/>
      <c r="AD116" s="379"/>
    </row>
    <row r="117" ht="28.5" customHeight="1">
      <c r="A117" s="373"/>
      <c r="B117" s="378" t="s">
        <v>1295</v>
      </c>
      <c r="C117" s="378" t="s">
        <v>1296</v>
      </c>
      <c r="D117" s="374" t="s">
        <v>1039</v>
      </c>
      <c r="E117" s="375" t="s">
        <v>2623</v>
      </c>
      <c r="F117" s="378" t="s">
        <v>1018</v>
      </c>
      <c r="G117" s="374" t="s">
        <v>1197</v>
      </c>
      <c r="H117" s="411" t="s">
        <v>3124</v>
      </c>
      <c r="I117" s="378" t="s">
        <v>1298</v>
      </c>
      <c r="J117" s="378" t="s">
        <v>1299</v>
      </c>
      <c r="K117" s="378" t="s">
        <v>1300</v>
      </c>
      <c r="L117" s="378" t="s">
        <v>1301</v>
      </c>
      <c r="M117" s="379"/>
      <c r="N117" s="379"/>
      <c r="O117" s="379"/>
      <c r="P117" s="379"/>
      <c r="Q117" s="379"/>
      <c r="R117" s="379"/>
      <c r="S117" s="379"/>
      <c r="T117" s="379"/>
      <c r="U117" s="379"/>
      <c r="V117" s="379"/>
      <c r="W117" s="379"/>
      <c r="X117" s="379"/>
      <c r="Y117" s="379"/>
      <c r="Z117" s="379"/>
      <c r="AA117" s="379"/>
      <c r="AB117" s="379"/>
      <c r="AC117" s="379"/>
      <c r="AD117" s="379"/>
    </row>
    <row r="118" ht="28.5" customHeight="1">
      <c r="A118" s="373"/>
      <c r="B118" s="378" t="s">
        <v>1306</v>
      </c>
      <c r="C118" s="378" t="s">
        <v>1307</v>
      </c>
      <c r="D118" s="374" t="s">
        <v>1039</v>
      </c>
      <c r="E118" s="375" t="s">
        <v>2623</v>
      </c>
      <c r="F118" s="378" t="s">
        <v>1027</v>
      </c>
      <c r="G118" s="374" t="s">
        <v>1197</v>
      </c>
      <c r="H118" s="411" t="s">
        <v>3087</v>
      </c>
      <c r="I118" s="378" t="s">
        <v>1309</v>
      </c>
      <c r="J118" s="413" t="s">
        <v>1310</v>
      </c>
      <c r="K118" s="413" t="s">
        <v>1311</v>
      </c>
      <c r="L118" s="378" t="s">
        <v>1312</v>
      </c>
      <c r="M118" s="379"/>
      <c r="N118" s="379"/>
      <c r="O118" s="379"/>
      <c r="P118" s="379"/>
      <c r="Q118" s="379"/>
      <c r="R118" s="379"/>
      <c r="S118" s="379"/>
      <c r="T118" s="379"/>
      <c r="U118" s="379"/>
      <c r="V118" s="379"/>
      <c r="W118" s="379"/>
      <c r="X118" s="379"/>
      <c r="Y118" s="379"/>
      <c r="Z118" s="379"/>
      <c r="AA118" s="379"/>
      <c r="AB118" s="379"/>
      <c r="AC118" s="379"/>
      <c r="AD118" s="379"/>
    </row>
    <row r="119" ht="28.5" customHeight="1">
      <c r="A119" s="393">
        <v>41.0</v>
      </c>
      <c r="B119" s="378" t="s">
        <v>1265</v>
      </c>
      <c r="C119" s="378" t="s">
        <v>1266</v>
      </c>
      <c r="D119" s="378" t="s">
        <v>1268</v>
      </c>
      <c r="E119" s="410" t="s">
        <v>3125</v>
      </c>
      <c r="F119" s="378" t="s">
        <v>1027</v>
      </c>
      <c r="G119" s="374" t="s">
        <v>1197</v>
      </c>
      <c r="H119" s="411" t="s">
        <v>1842</v>
      </c>
      <c r="I119" s="378" t="s">
        <v>1270</v>
      </c>
      <c r="J119" s="413" t="s">
        <v>1272</v>
      </c>
      <c r="K119" s="413" t="s">
        <v>1273</v>
      </c>
      <c r="L119" s="378" t="s">
        <v>1274</v>
      </c>
      <c r="M119" s="379"/>
      <c r="N119" s="379"/>
      <c r="O119" s="379"/>
      <c r="P119" s="379"/>
      <c r="Q119" s="379"/>
      <c r="R119" s="379"/>
      <c r="S119" s="379"/>
      <c r="T119" s="379"/>
      <c r="U119" s="379"/>
      <c r="V119" s="379"/>
      <c r="W119" s="379"/>
      <c r="X119" s="379"/>
      <c r="Y119" s="379"/>
      <c r="Z119" s="379"/>
      <c r="AA119" s="379"/>
      <c r="AB119" s="379"/>
      <c r="AC119" s="379"/>
      <c r="AD119" s="379"/>
    </row>
    <row r="120" ht="28.5" customHeight="1">
      <c r="A120" s="388"/>
      <c r="B120" s="389" t="s">
        <v>1244</v>
      </c>
      <c r="C120" s="389" t="s">
        <v>1245</v>
      </c>
      <c r="D120" s="389" t="s">
        <v>1188</v>
      </c>
      <c r="E120" s="390" t="s">
        <v>3115</v>
      </c>
      <c r="F120" s="389" t="s">
        <v>1027</v>
      </c>
      <c r="G120" s="298" t="s">
        <v>1197</v>
      </c>
      <c r="H120" s="280" t="s">
        <v>3116</v>
      </c>
      <c r="I120" s="389" t="s">
        <v>1247</v>
      </c>
      <c r="J120" s="409" t="s">
        <v>1248</v>
      </c>
      <c r="K120" s="409" t="s">
        <v>1249</v>
      </c>
      <c r="L120" s="389" t="s">
        <v>1250</v>
      </c>
      <c r="M120" s="369"/>
      <c r="N120" s="369"/>
      <c r="O120" s="369"/>
      <c r="P120" s="369"/>
      <c r="Q120" s="369"/>
      <c r="R120" s="369"/>
      <c r="S120" s="369"/>
      <c r="T120" s="369"/>
      <c r="U120" s="369"/>
      <c r="V120" s="369"/>
      <c r="W120" s="369"/>
      <c r="X120" s="369"/>
      <c r="Y120" s="369"/>
      <c r="Z120" s="369"/>
      <c r="AA120" s="369"/>
      <c r="AB120" s="369"/>
      <c r="AC120" s="369"/>
      <c r="AD120" s="369"/>
    </row>
    <row r="121" ht="28.5" customHeight="1">
      <c r="A121" s="388"/>
      <c r="B121" s="389" t="s">
        <v>1358</v>
      </c>
      <c r="C121" s="389" t="s">
        <v>2850</v>
      </c>
      <c r="D121" s="298" t="s">
        <v>54</v>
      </c>
      <c r="E121" s="394" t="s">
        <v>3056</v>
      </c>
      <c r="F121" s="298" t="s">
        <v>1018</v>
      </c>
      <c r="G121" s="298" t="s">
        <v>1318</v>
      </c>
      <c r="H121" s="285" t="s">
        <v>3101</v>
      </c>
      <c r="I121" s="298" t="s">
        <v>1361</v>
      </c>
      <c r="J121" s="298"/>
      <c r="K121" s="298"/>
      <c r="L121" s="298" t="s">
        <v>1365</v>
      </c>
      <c r="M121" s="369"/>
      <c r="N121" s="369"/>
      <c r="O121" s="369"/>
      <c r="P121" s="369"/>
      <c r="Q121" s="369"/>
      <c r="R121" s="369"/>
      <c r="S121" s="369"/>
      <c r="T121" s="369"/>
      <c r="U121" s="369"/>
      <c r="V121" s="369"/>
      <c r="W121" s="369"/>
      <c r="X121" s="369"/>
      <c r="Y121" s="369"/>
      <c r="Z121" s="369"/>
      <c r="AA121" s="369"/>
      <c r="AB121" s="369"/>
      <c r="AC121" s="369"/>
      <c r="AD121" s="369"/>
    </row>
    <row r="122" ht="28.5" customHeight="1">
      <c r="A122" s="373"/>
      <c r="B122" s="378" t="s">
        <v>1316</v>
      </c>
      <c r="C122" s="378" t="s">
        <v>1317</v>
      </c>
      <c r="D122" s="374" t="s">
        <v>54</v>
      </c>
      <c r="E122" s="375" t="s">
        <v>3072</v>
      </c>
      <c r="F122" s="374" t="s">
        <v>1027</v>
      </c>
      <c r="G122" s="374" t="s">
        <v>1318</v>
      </c>
      <c r="H122" s="376" t="s">
        <v>1787</v>
      </c>
      <c r="I122" s="374" t="s">
        <v>1320</v>
      </c>
      <c r="J122" s="374"/>
      <c r="K122" s="374"/>
      <c r="L122" s="374" t="s">
        <v>1323</v>
      </c>
      <c r="M122" s="379"/>
      <c r="N122" s="379"/>
      <c r="O122" s="379"/>
      <c r="P122" s="379"/>
      <c r="Q122" s="379"/>
      <c r="R122" s="379"/>
      <c r="S122" s="379"/>
      <c r="T122" s="379"/>
      <c r="U122" s="379"/>
      <c r="V122" s="379"/>
      <c r="W122" s="379"/>
      <c r="X122" s="379"/>
      <c r="Y122" s="379"/>
      <c r="Z122" s="379"/>
      <c r="AA122" s="379"/>
      <c r="AB122" s="379"/>
      <c r="AC122" s="379"/>
      <c r="AD122" s="379"/>
    </row>
    <row r="123" ht="28.5" customHeight="1">
      <c r="A123" s="373"/>
      <c r="B123" s="378" t="s">
        <v>1451</v>
      </c>
      <c r="C123" s="378" t="s">
        <v>1452</v>
      </c>
      <c r="D123" s="374" t="s">
        <v>27</v>
      </c>
      <c r="E123" s="375" t="s">
        <v>3047</v>
      </c>
      <c r="F123" s="374" t="s">
        <v>1027</v>
      </c>
      <c r="G123" s="374" t="s">
        <v>1318</v>
      </c>
      <c r="H123" s="376" t="s">
        <v>1868</v>
      </c>
      <c r="I123" s="374"/>
      <c r="J123" s="374"/>
      <c r="K123" s="374"/>
      <c r="L123" s="374" t="s">
        <v>1458</v>
      </c>
      <c r="M123" s="379"/>
      <c r="N123" s="379"/>
      <c r="O123" s="379"/>
      <c r="P123" s="379"/>
      <c r="Q123" s="379"/>
      <c r="R123" s="379"/>
      <c r="S123" s="379"/>
      <c r="T123" s="379"/>
      <c r="U123" s="379"/>
      <c r="V123" s="379"/>
      <c r="W123" s="379"/>
      <c r="X123" s="379"/>
      <c r="Y123" s="379"/>
      <c r="Z123" s="379"/>
      <c r="AA123" s="379"/>
      <c r="AB123" s="379"/>
      <c r="AC123" s="379"/>
      <c r="AD123" s="379"/>
    </row>
    <row r="124" ht="28.5" customHeight="1">
      <c r="A124" s="388"/>
      <c r="B124" s="389" t="s">
        <v>1370</v>
      </c>
      <c r="C124" s="389" t="s">
        <v>1371</v>
      </c>
      <c r="D124" s="298" t="s">
        <v>27</v>
      </c>
      <c r="E124" s="390" t="s">
        <v>3074</v>
      </c>
      <c r="F124" s="298" t="s">
        <v>1018</v>
      </c>
      <c r="G124" s="298" t="s">
        <v>1318</v>
      </c>
      <c r="H124" s="285" t="s">
        <v>3048</v>
      </c>
      <c r="I124" s="285" t="s">
        <v>3126</v>
      </c>
      <c r="J124" s="298"/>
      <c r="K124" s="298"/>
      <c r="L124" s="298" t="s">
        <v>1377</v>
      </c>
      <c r="M124" s="400"/>
      <c r="N124" s="400"/>
      <c r="O124" s="400"/>
      <c r="P124" s="400"/>
      <c r="Q124" s="400"/>
      <c r="R124" s="400"/>
      <c r="S124" s="400"/>
      <c r="T124" s="400"/>
      <c r="U124" s="400"/>
      <c r="V124" s="400"/>
      <c r="W124" s="400"/>
      <c r="X124" s="400"/>
      <c r="Y124" s="400"/>
      <c r="Z124" s="400"/>
      <c r="AA124" s="400"/>
      <c r="AB124" s="400"/>
      <c r="AC124" s="400"/>
      <c r="AD124" s="400"/>
    </row>
    <row r="125" ht="28.5" customHeight="1">
      <c r="A125" s="388"/>
      <c r="B125" s="389" t="s">
        <v>1419</v>
      </c>
      <c r="C125" s="389" t="s">
        <v>1420</v>
      </c>
      <c r="D125" s="298" t="s">
        <v>27</v>
      </c>
      <c r="E125" s="390" t="s">
        <v>3074</v>
      </c>
      <c r="F125" s="298" t="s">
        <v>1018</v>
      </c>
      <c r="G125" s="298" t="s">
        <v>1318</v>
      </c>
      <c r="H125" s="285" t="s">
        <v>1752</v>
      </c>
      <c r="I125" s="298"/>
      <c r="J125" s="298"/>
      <c r="K125" s="298"/>
      <c r="L125" s="298" t="s">
        <v>1424</v>
      </c>
      <c r="M125" s="415"/>
      <c r="N125" s="415"/>
      <c r="O125" s="415"/>
      <c r="P125" s="415"/>
      <c r="Q125" s="415"/>
      <c r="R125" s="415"/>
      <c r="S125" s="415"/>
      <c r="T125" s="415"/>
      <c r="U125" s="415"/>
      <c r="V125" s="415"/>
      <c r="W125" s="415"/>
      <c r="X125" s="415"/>
      <c r="Y125" s="415"/>
      <c r="Z125" s="415"/>
      <c r="AA125" s="415"/>
      <c r="AB125" s="415"/>
      <c r="AC125" s="415"/>
      <c r="AD125" s="415"/>
    </row>
    <row r="126" ht="28.5" customHeight="1">
      <c r="A126" s="388"/>
      <c r="B126" s="389" t="s">
        <v>1348</v>
      </c>
      <c r="C126" s="389" t="s">
        <v>1349</v>
      </c>
      <c r="D126" s="298" t="s">
        <v>183</v>
      </c>
      <c r="E126" s="390" t="s">
        <v>3059</v>
      </c>
      <c r="F126" s="298" t="s">
        <v>1027</v>
      </c>
      <c r="G126" s="285" t="s">
        <v>1318</v>
      </c>
      <c r="H126" s="285" t="s">
        <v>3127</v>
      </c>
      <c r="I126" s="298" t="s">
        <v>2928</v>
      </c>
      <c r="J126" s="298"/>
      <c r="K126" s="298"/>
      <c r="L126" s="298" t="s">
        <v>1354</v>
      </c>
      <c r="M126" s="369"/>
      <c r="N126" s="369"/>
      <c r="O126" s="369"/>
      <c r="P126" s="369"/>
      <c r="Q126" s="369"/>
      <c r="R126" s="369"/>
      <c r="S126" s="369"/>
      <c r="T126" s="369"/>
      <c r="U126" s="369"/>
      <c r="V126" s="369"/>
      <c r="W126" s="369"/>
      <c r="X126" s="369"/>
      <c r="Y126" s="369"/>
      <c r="Z126" s="369"/>
      <c r="AA126" s="369"/>
      <c r="AB126" s="369"/>
      <c r="AC126" s="369"/>
      <c r="AD126" s="369"/>
    </row>
    <row r="127" ht="24.75" customHeight="1">
      <c r="A127" s="373"/>
      <c r="B127" s="378" t="s">
        <v>1338</v>
      </c>
      <c r="C127" s="378" t="s">
        <v>1339</v>
      </c>
      <c r="D127" s="374" t="s">
        <v>465</v>
      </c>
      <c r="E127" s="375" t="s">
        <v>2093</v>
      </c>
      <c r="F127" s="374" t="s">
        <v>1027</v>
      </c>
      <c r="G127" s="376" t="s">
        <v>1318</v>
      </c>
      <c r="H127" s="376" t="s">
        <v>3128</v>
      </c>
      <c r="I127" s="374" t="s">
        <v>2945</v>
      </c>
      <c r="J127" s="374"/>
      <c r="K127" s="374"/>
      <c r="L127" s="374" t="s">
        <v>1344</v>
      </c>
      <c r="M127" s="379"/>
      <c r="N127" s="379"/>
      <c r="O127" s="379"/>
      <c r="P127" s="379"/>
      <c r="Q127" s="379"/>
      <c r="R127" s="379"/>
      <c r="S127" s="379"/>
      <c r="T127" s="379"/>
      <c r="U127" s="379"/>
      <c r="V127" s="379"/>
      <c r="W127" s="379"/>
      <c r="X127" s="379"/>
      <c r="Y127" s="379"/>
      <c r="Z127" s="379"/>
      <c r="AA127" s="379"/>
      <c r="AB127" s="379"/>
      <c r="AC127" s="379"/>
      <c r="AD127" s="379"/>
    </row>
    <row r="128" ht="23.25" customHeight="1">
      <c r="A128" s="373"/>
      <c r="B128" s="378" t="s">
        <v>1393</v>
      </c>
      <c r="C128" s="378" t="s">
        <v>1394</v>
      </c>
      <c r="D128" s="374" t="s">
        <v>465</v>
      </c>
      <c r="E128" s="375" t="s">
        <v>2093</v>
      </c>
      <c r="F128" s="374" t="s">
        <v>1018</v>
      </c>
      <c r="G128" s="376" t="s">
        <v>1318</v>
      </c>
      <c r="H128" s="376" t="s">
        <v>3129</v>
      </c>
      <c r="I128" s="374" t="s">
        <v>540</v>
      </c>
      <c r="J128" s="374"/>
      <c r="K128" s="374"/>
      <c r="L128" s="374" t="s">
        <v>1398</v>
      </c>
      <c r="M128" s="379"/>
      <c r="N128" s="379"/>
      <c r="O128" s="379"/>
      <c r="P128" s="379"/>
      <c r="Q128" s="379"/>
      <c r="R128" s="379"/>
      <c r="S128" s="379"/>
      <c r="T128" s="379"/>
      <c r="U128" s="379"/>
      <c r="V128" s="379"/>
      <c r="W128" s="379"/>
      <c r="X128" s="379"/>
      <c r="Y128" s="379"/>
      <c r="Z128" s="379"/>
      <c r="AA128" s="379"/>
      <c r="AB128" s="379"/>
      <c r="AC128" s="379"/>
      <c r="AD128" s="379"/>
    </row>
    <row r="129" ht="24.75" customHeight="1">
      <c r="A129" s="373"/>
      <c r="B129" s="378" t="s">
        <v>1411</v>
      </c>
      <c r="C129" s="378" t="s">
        <v>1228</v>
      </c>
      <c r="D129" s="374" t="s">
        <v>465</v>
      </c>
      <c r="E129" s="375" t="s">
        <v>3092</v>
      </c>
      <c r="F129" s="374" t="s">
        <v>1027</v>
      </c>
      <c r="G129" s="376" t="s">
        <v>1318</v>
      </c>
      <c r="H129" s="376" t="s">
        <v>3130</v>
      </c>
      <c r="I129" s="374" t="s">
        <v>1413</v>
      </c>
      <c r="J129" s="374"/>
      <c r="K129" s="374"/>
      <c r="L129" s="374" t="s">
        <v>1416</v>
      </c>
      <c r="M129" s="379"/>
      <c r="N129" s="379"/>
      <c r="O129" s="379"/>
      <c r="P129" s="379"/>
      <c r="Q129" s="379"/>
      <c r="R129" s="379"/>
      <c r="S129" s="379"/>
      <c r="T129" s="379"/>
      <c r="U129" s="379"/>
      <c r="V129" s="379"/>
      <c r="W129" s="379"/>
      <c r="X129" s="379"/>
      <c r="Y129" s="379"/>
      <c r="Z129" s="379"/>
      <c r="AA129" s="379"/>
      <c r="AB129" s="379"/>
      <c r="AC129" s="379"/>
      <c r="AD129" s="379"/>
    </row>
    <row r="130" ht="23.25" customHeight="1">
      <c r="A130" s="373"/>
      <c r="B130" s="378" t="s">
        <v>1469</v>
      </c>
      <c r="C130" s="378" t="s">
        <v>1470</v>
      </c>
      <c r="D130" s="374" t="s">
        <v>1039</v>
      </c>
      <c r="E130" s="375" t="s">
        <v>2623</v>
      </c>
      <c r="F130" s="374" t="s">
        <v>1027</v>
      </c>
      <c r="G130" s="374" t="s">
        <v>1318</v>
      </c>
      <c r="H130" s="376" t="s">
        <v>3131</v>
      </c>
      <c r="I130" s="374" t="s">
        <v>2971</v>
      </c>
      <c r="J130" s="374" t="s">
        <v>1473</v>
      </c>
      <c r="K130" s="374"/>
      <c r="L130" s="374" t="s">
        <v>1475</v>
      </c>
      <c r="M130" s="379"/>
      <c r="N130" s="379"/>
      <c r="O130" s="379"/>
      <c r="P130" s="379"/>
      <c r="Q130" s="379"/>
      <c r="R130" s="379"/>
      <c r="S130" s="379"/>
      <c r="T130" s="379"/>
      <c r="U130" s="379"/>
      <c r="V130" s="379"/>
      <c r="W130" s="379"/>
      <c r="X130" s="379"/>
      <c r="Y130" s="379"/>
      <c r="Z130" s="379"/>
      <c r="AA130" s="379"/>
      <c r="AB130" s="379"/>
      <c r="AC130" s="379"/>
      <c r="AD130" s="379"/>
    </row>
    <row r="131" ht="24.0" customHeight="1">
      <c r="A131" s="396">
        <v>29.0</v>
      </c>
      <c r="B131" s="389" t="s">
        <v>1427</v>
      </c>
      <c r="C131" s="389" t="s">
        <v>1428</v>
      </c>
      <c r="D131" s="298" t="s">
        <v>1039</v>
      </c>
      <c r="E131" s="368" t="s">
        <v>1429</v>
      </c>
      <c r="F131" s="298" t="s">
        <v>1027</v>
      </c>
      <c r="G131" s="298" t="s">
        <v>1318</v>
      </c>
      <c r="H131" s="285" t="s">
        <v>3132</v>
      </c>
      <c r="I131" s="298" t="s">
        <v>1431</v>
      </c>
      <c r="J131" s="392" t="s">
        <v>1432</v>
      </c>
      <c r="K131" s="298"/>
      <c r="L131" s="298" t="s">
        <v>1434</v>
      </c>
      <c r="M131" s="369"/>
      <c r="N131" s="369"/>
      <c r="O131" s="369"/>
      <c r="P131" s="369"/>
      <c r="Q131" s="369"/>
      <c r="R131" s="369"/>
      <c r="S131" s="369"/>
      <c r="T131" s="369"/>
      <c r="U131" s="369"/>
      <c r="V131" s="369"/>
      <c r="W131" s="369"/>
      <c r="X131" s="369"/>
      <c r="Y131" s="369"/>
      <c r="Z131" s="369"/>
      <c r="AA131" s="369"/>
      <c r="AB131" s="369"/>
      <c r="AC131" s="369"/>
      <c r="AD131" s="369"/>
    </row>
    <row r="132" ht="24.75" customHeight="1">
      <c r="A132" s="396">
        <v>31.0</v>
      </c>
      <c r="B132" s="389" t="s">
        <v>1329</v>
      </c>
      <c r="C132" s="389" t="s">
        <v>1330</v>
      </c>
      <c r="D132" s="298" t="s">
        <v>1039</v>
      </c>
      <c r="E132" s="368" t="s">
        <v>1331</v>
      </c>
      <c r="F132" s="298" t="s">
        <v>1027</v>
      </c>
      <c r="G132" s="298" t="s">
        <v>1318</v>
      </c>
      <c r="H132" s="285" t="s">
        <v>3117</v>
      </c>
      <c r="I132" s="298" t="s">
        <v>2981</v>
      </c>
      <c r="J132" s="298" t="s">
        <v>1334</v>
      </c>
      <c r="K132" s="298"/>
      <c r="L132" s="298" t="s">
        <v>2982</v>
      </c>
      <c r="M132" s="369"/>
      <c r="N132" s="369"/>
      <c r="O132" s="369"/>
      <c r="P132" s="369"/>
      <c r="Q132" s="369"/>
      <c r="R132" s="369"/>
      <c r="S132" s="369"/>
      <c r="T132" s="369"/>
      <c r="U132" s="369"/>
      <c r="V132" s="369"/>
      <c r="W132" s="369"/>
      <c r="X132" s="369"/>
      <c r="Y132" s="369"/>
      <c r="Z132" s="369"/>
      <c r="AA132" s="369"/>
      <c r="AB132" s="369"/>
      <c r="AC132" s="369"/>
      <c r="AD132" s="369"/>
    </row>
    <row r="133" ht="24.0" customHeight="1">
      <c r="A133" s="388"/>
      <c r="B133" s="389" t="s">
        <v>1403</v>
      </c>
      <c r="C133" s="389" t="s">
        <v>2984</v>
      </c>
      <c r="D133" s="298" t="s">
        <v>1039</v>
      </c>
      <c r="E133" s="368" t="s">
        <v>1331</v>
      </c>
      <c r="F133" s="298" t="s">
        <v>1018</v>
      </c>
      <c r="G133" s="298" t="s">
        <v>1318</v>
      </c>
      <c r="H133" s="285" t="s">
        <v>3111</v>
      </c>
      <c r="I133" s="298" t="s">
        <v>1406</v>
      </c>
      <c r="J133" s="406" t="s">
        <v>1407</v>
      </c>
      <c r="K133" s="298"/>
      <c r="L133" s="298" t="s">
        <v>1408</v>
      </c>
      <c r="M133" s="369"/>
      <c r="N133" s="369"/>
      <c r="O133" s="369"/>
      <c r="P133" s="369"/>
      <c r="Q133" s="369"/>
      <c r="R133" s="369"/>
      <c r="S133" s="369"/>
      <c r="T133" s="369"/>
      <c r="U133" s="369"/>
      <c r="V133" s="369"/>
      <c r="W133" s="369"/>
      <c r="X133" s="369"/>
      <c r="Y133" s="369"/>
      <c r="Z133" s="369"/>
      <c r="AA133" s="369"/>
      <c r="AB133" s="369"/>
      <c r="AC133" s="369"/>
      <c r="AD133" s="369"/>
    </row>
    <row r="134" ht="24.75" customHeight="1">
      <c r="A134" s="388"/>
      <c r="B134" s="389" t="s">
        <v>1462</v>
      </c>
      <c r="C134" s="389" t="s">
        <v>1463</v>
      </c>
      <c r="D134" s="298" t="s">
        <v>1039</v>
      </c>
      <c r="E134" s="368" t="s">
        <v>1331</v>
      </c>
      <c r="F134" s="298" t="s">
        <v>1027</v>
      </c>
      <c r="G134" s="298" t="s">
        <v>1318</v>
      </c>
      <c r="H134" s="285" t="s">
        <v>3133</v>
      </c>
      <c r="I134" s="298" t="s">
        <v>1465</v>
      </c>
      <c r="J134" s="406" t="s">
        <v>2987</v>
      </c>
      <c r="K134" s="298"/>
      <c r="L134" s="298"/>
      <c r="M134" s="369"/>
      <c r="N134" s="369"/>
      <c r="O134" s="369"/>
      <c r="P134" s="369"/>
      <c r="Q134" s="369"/>
      <c r="R134" s="369"/>
      <c r="S134" s="369"/>
      <c r="T134" s="369"/>
      <c r="U134" s="369"/>
      <c r="V134" s="369"/>
      <c r="W134" s="369"/>
      <c r="X134" s="369"/>
      <c r="Y134" s="369"/>
      <c r="Z134" s="369"/>
      <c r="AA134" s="369"/>
      <c r="AB134" s="369"/>
      <c r="AC134" s="369"/>
      <c r="AD134" s="369"/>
    </row>
    <row r="135" ht="24.75" customHeight="1">
      <c r="A135" s="388"/>
      <c r="B135" s="298" t="s">
        <v>1479</v>
      </c>
      <c r="C135" s="298" t="s">
        <v>1480</v>
      </c>
      <c r="D135" s="298" t="s">
        <v>1039</v>
      </c>
      <c r="E135" s="368" t="s">
        <v>1331</v>
      </c>
      <c r="F135" s="298" t="s">
        <v>1027</v>
      </c>
      <c r="G135" s="298" t="s">
        <v>1318</v>
      </c>
      <c r="H135" s="285" t="s">
        <v>3110</v>
      </c>
      <c r="I135" s="298" t="s">
        <v>1482</v>
      </c>
      <c r="J135" s="392" t="s">
        <v>1483</v>
      </c>
      <c r="K135" s="298"/>
      <c r="L135" s="416" t="s">
        <v>1484</v>
      </c>
      <c r="M135" s="369"/>
      <c r="N135" s="369"/>
      <c r="O135" s="369"/>
      <c r="P135" s="369"/>
      <c r="Q135" s="369"/>
      <c r="R135" s="369"/>
      <c r="S135" s="369"/>
      <c r="T135" s="369"/>
      <c r="U135" s="369"/>
      <c r="V135" s="369"/>
      <c r="W135" s="369"/>
      <c r="X135" s="369"/>
      <c r="Y135" s="369"/>
      <c r="Z135" s="369"/>
      <c r="AA135" s="369"/>
      <c r="AB135" s="369"/>
      <c r="AC135" s="369"/>
      <c r="AD135" s="369"/>
    </row>
    <row r="136" ht="22.5" customHeight="1">
      <c r="A136" s="396">
        <v>42.0</v>
      </c>
      <c r="B136" s="389" t="s">
        <v>1438</v>
      </c>
      <c r="C136" s="389" t="s">
        <v>1439</v>
      </c>
      <c r="D136" s="389" t="s">
        <v>1268</v>
      </c>
      <c r="E136" s="390" t="s">
        <v>1867</v>
      </c>
      <c r="F136" s="298" t="s">
        <v>1018</v>
      </c>
      <c r="G136" s="285" t="s">
        <v>1318</v>
      </c>
      <c r="H136" s="285" t="s">
        <v>3134</v>
      </c>
      <c r="I136" s="298" t="s">
        <v>1442</v>
      </c>
      <c r="J136" s="298"/>
      <c r="K136" s="298"/>
      <c r="L136" s="298" t="s">
        <v>1446</v>
      </c>
      <c r="M136" s="369"/>
      <c r="N136" s="369"/>
      <c r="O136" s="369"/>
      <c r="P136" s="369"/>
      <c r="Q136" s="369"/>
      <c r="R136" s="369"/>
      <c r="S136" s="369"/>
      <c r="T136" s="369"/>
      <c r="U136" s="369"/>
      <c r="V136" s="369"/>
      <c r="W136" s="369"/>
      <c r="X136" s="369"/>
      <c r="Y136" s="369"/>
      <c r="Z136" s="369"/>
      <c r="AA136" s="369"/>
      <c r="AB136" s="369"/>
      <c r="AC136" s="369"/>
      <c r="AD136" s="369"/>
    </row>
    <row r="137" ht="21.0" customHeight="1">
      <c r="A137" s="393">
        <v>50.0</v>
      </c>
      <c r="B137" s="378" t="s">
        <v>1380</v>
      </c>
      <c r="C137" s="378" t="s">
        <v>1381</v>
      </c>
      <c r="D137" s="378" t="s">
        <v>1383</v>
      </c>
      <c r="E137" s="375" t="s">
        <v>2366</v>
      </c>
      <c r="F137" s="374" t="s">
        <v>1018</v>
      </c>
      <c r="G137" s="376" t="s">
        <v>1318</v>
      </c>
      <c r="H137" s="376" t="s">
        <v>1906</v>
      </c>
      <c r="I137" s="374" t="s">
        <v>1385</v>
      </c>
      <c r="J137" s="374"/>
      <c r="K137" s="374"/>
      <c r="L137" s="374" t="s">
        <v>1388</v>
      </c>
      <c r="M137" s="379"/>
      <c r="N137" s="379"/>
      <c r="O137" s="379"/>
      <c r="P137" s="379"/>
      <c r="Q137" s="379"/>
      <c r="R137" s="379"/>
      <c r="S137" s="379"/>
      <c r="T137" s="379"/>
      <c r="U137" s="379"/>
      <c r="V137" s="379"/>
      <c r="W137" s="379"/>
      <c r="X137" s="379"/>
      <c r="Y137" s="379"/>
      <c r="Z137" s="379"/>
      <c r="AA137" s="379"/>
      <c r="AB137" s="379"/>
      <c r="AC137" s="379"/>
      <c r="AD137" s="379"/>
    </row>
    <row r="138" ht="23.25" customHeight="1">
      <c r="A138" s="388">
        <v>1.0</v>
      </c>
      <c r="B138" s="298" t="s">
        <v>1551</v>
      </c>
      <c r="C138" s="298" t="s">
        <v>1552</v>
      </c>
      <c r="D138" s="298" t="s">
        <v>54</v>
      </c>
      <c r="E138" s="390" t="s">
        <v>3135</v>
      </c>
      <c r="F138" s="285" t="s">
        <v>1018</v>
      </c>
      <c r="G138" s="298" t="s">
        <v>1489</v>
      </c>
      <c r="H138" s="285" t="s">
        <v>161</v>
      </c>
      <c r="I138" s="298" t="s">
        <v>1555</v>
      </c>
      <c r="J138" s="298" t="s">
        <v>1556</v>
      </c>
      <c r="K138" s="389" t="s">
        <v>1557</v>
      </c>
      <c r="L138" s="298" t="s">
        <v>1558</v>
      </c>
      <c r="M138" s="369"/>
      <c r="N138" s="369"/>
      <c r="O138" s="369"/>
      <c r="P138" s="369"/>
      <c r="Q138" s="369"/>
      <c r="R138" s="369"/>
      <c r="S138" s="369"/>
      <c r="T138" s="369"/>
      <c r="U138" s="369"/>
      <c r="V138" s="369"/>
      <c r="W138" s="369"/>
      <c r="X138" s="369"/>
      <c r="Y138" s="369"/>
      <c r="Z138" s="369"/>
      <c r="AA138" s="369"/>
      <c r="AB138" s="369"/>
      <c r="AC138" s="369"/>
      <c r="AD138" s="369"/>
    </row>
    <row r="139" ht="23.25" customHeight="1">
      <c r="A139" s="388"/>
      <c r="B139" s="298" t="s">
        <v>1510</v>
      </c>
      <c r="C139" s="298" t="s">
        <v>342</v>
      </c>
      <c r="D139" s="298" t="s">
        <v>54</v>
      </c>
      <c r="E139" s="394" t="s">
        <v>3056</v>
      </c>
      <c r="F139" s="298" t="s">
        <v>1027</v>
      </c>
      <c r="G139" s="298" t="s">
        <v>1489</v>
      </c>
      <c r="H139" s="285" t="s">
        <v>3136</v>
      </c>
      <c r="I139" s="298" t="s">
        <v>1220</v>
      </c>
      <c r="J139" s="392" t="s">
        <v>2852</v>
      </c>
      <c r="K139" s="389" t="s">
        <v>1513</v>
      </c>
      <c r="L139" s="298" t="s">
        <v>1514</v>
      </c>
      <c r="M139" s="369"/>
      <c r="N139" s="369"/>
      <c r="O139" s="369"/>
      <c r="P139" s="369"/>
      <c r="Q139" s="369"/>
      <c r="R139" s="369"/>
      <c r="S139" s="369"/>
      <c r="T139" s="369"/>
      <c r="U139" s="369"/>
      <c r="V139" s="369"/>
      <c r="W139" s="369"/>
      <c r="X139" s="369"/>
      <c r="Y139" s="369"/>
      <c r="Z139" s="369"/>
      <c r="AA139" s="369"/>
      <c r="AB139" s="369"/>
      <c r="AC139" s="369"/>
      <c r="AD139" s="369"/>
    </row>
    <row r="140" ht="25.5" customHeight="1">
      <c r="A140" s="373">
        <v>10.0</v>
      </c>
      <c r="B140" s="374" t="s">
        <v>1518</v>
      </c>
      <c r="C140" s="374" t="s">
        <v>1519</v>
      </c>
      <c r="D140" s="374" t="s">
        <v>27</v>
      </c>
      <c r="E140" s="375" t="s">
        <v>3137</v>
      </c>
      <c r="F140" s="376" t="s">
        <v>1027</v>
      </c>
      <c r="G140" s="374" t="s">
        <v>1489</v>
      </c>
      <c r="H140" s="376" t="s">
        <v>217</v>
      </c>
      <c r="I140" s="374" t="s">
        <v>1523</v>
      </c>
      <c r="J140" s="374" t="s">
        <v>1524</v>
      </c>
      <c r="K140" s="378" t="s">
        <v>1525</v>
      </c>
      <c r="L140" s="374" t="s">
        <v>1526</v>
      </c>
      <c r="M140" s="379"/>
      <c r="N140" s="379"/>
      <c r="O140" s="379"/>
      <c r="P140" s="379"/>
      <c r="Q140" s="379"/>
      <c r="R140" s="379"/>
      <c r="S140" s="379"/>
      <c r="T140" s="379"/>
      <c r="U140" s="379"/>
      <c r="V140" s="379"/>
      <c r="W140" s="379"/>
      <c r="X140" s="379"/>
      <c r="Y140" s="379"/>
      <c r="Z140" s="379"/>
      <c r="AA140" s="379"/>
      <c r="AB140" s="379"/>
      <c r="AC140" s="379"/>
      <c r="AD140" s="379"/>
    </row>
    <row r="141" ht="24.0" customHeight="1">
      <c r="A141" s="373"/>
      <c r="B141" s="374" t="s">
        <v>1572</v>
      </c>
      <c r="C141" s="374" t="s">
        <v>1573</v>
      </c>
      <c r="D141" s="374" t="s">
        <v>27</v>
      </c>
      <c r="E141" s="375" t="s">
        <v>3137</v>
      </c>
      <c r="F141" s="376" t="s">
        <v>1018</v>
      </c>
      <c r="G141" s="374" t="s">
        <v>1489</v>
      </c>
      <c r="H141" s="376" t="s">
        <v>3138</v>
      </c>
      <c r="I141" s="374" t="s">
        <v>1575</v>
      </c>
      <c r="J141" s="374" t="s">
        <v>1576</v>
      </c>
      <c r="K141" s="378" t="s">
        <v>1577</v>
      </c>
      <c r="L141" s="374" t="s">
        <v>1578</v>
      </c>
      <c r="M141" s="379"/>
      <c r="N141" s="379"/>
      <c r="O141" s="379"/>
      <c r="P141" s="379"/>
      <c r="Q141" s="379"/>
      <c r="R141" s="379"/>
      <c r="S141" s="379"/>
      <c r="T141" s="379"/>
      <c r="U141" s="379"/>
      <c r="V141" s="379"/>
      <c r="W141" s="379"/>
      <c r="X141" s="379"/>
      <c r="Y141" s="379"/>
      <c r="Z141" s="379"/>
      <c r="AA141" s="379"/>
      <c r="AB141" s="379"/>
      <c r="AC141" s="379"/>
      <c r="AD141" s="379"/>
    </row>
    <row r="142" ht="24.75" customHeight="1">
      <c r="A142" s="373"/>
      <c r="B142" s="374" t="s">
        <v>1486</v>
      </c>
      <c r="C142" s="374" t="s">
        <v>1487</v>
      </c>
      <c r="D142" s="374" t="s">
        <v>465</v>
      </c>
      <c r="E142" s="375" t="s">
        <v>2093</v>
      </c>
      <c r="F142" s="376" t="s">
        <v>1018</v>
      </c>
      <c r="G142" s="374" t="s">
        <v>1489</v>
      </c>
      <c r="H142" s="376" t="s">
        <v>3083</v>
      </c>
      <c r="I142" s="374" t="s">
        <v>1491</v>
      </c>
      <c r="J142" s="377" t="s">
        <v>1492</v>
      </c>
      <c r="K142" s="378" t="s">
        <v>1493</v>
      </c>
      <c r="L142" s="374" t="s">
        <v>1494</v>
      </c>
      <c r="M142" s="379"/>
      <c r="N142" s="379"/>
      <c r="O142" s="379"/>
      <c r="P142" s="379"/>
      <c r="Q142" s="379"/>
      <c r="R142" s="379"/>
      <c r="S142" s="379"/>
      <c r="T142" s="379"/>
      <c r="U142" s="379"/>
      <c r="V142" s="379"/>
      <c r="W142" s="379"/>
      <c r="X142" s="379"/>
      <c r="Y142" s="379"/>
      <c r="Z142" s="379"/>
      <c r="AA142" s="379"/>
      <c r="AB142" s="379"/>
      <c r="AC142" s="379"/>
      <c r="AD142" s="379"/>
    </row>
    <row r="143" ht="23.25" customHeight="1">
      <c r="A143" s="396">
        <v>27.0</v>
      </c>
      <c r="B143" s="298" t="s">
        <v>2958</v>
      </c>
      <c r="C143" s="298" t="s">
        <v>1591</v>
      </c>
      <c r="D143" s="298" t="s">
        <v>465</v>
      </c>
      <c r="E143" s="390" t="s">
        <v>3139</v>
      </c>
      <c r="F143" s="285" t="s">
        <v>1027</v>
      </c>
      <c r="G143" s="298" t="s">
        <v>1489</v>
      </c>
      <c r="H143" s="285" t="s">
        <v>1900</v>
      </c>
      <c r="I143" s="298" t="s">
        <v>1593</v>
      </c>
      <c r="J143" s="298" t="s">
        <v>1594</v>
      </c>
      <c r="K143" s="389" t="s">
        <v>1595</v>
      </c>
      <c r="L143" s="298" t="s">
        <v>2960</v>
      </c>
      <c r="M143" s="369"/>
      <c r="N143" s="369"/>
      <c r="O143" s="369"/>
      <c r="P143" s="369"/>
      <c r="Q143" s="369"/>
      <c r="R143" s="369"/>
      <c r="S143" s="369"/>
      <c r="T143" s="369"/>
      <c r="U143" s="369"/>
      <c r="V143" s="369"/>
      <c r="W143" s="369"/>
      <c r="X143" s="369"/>
      <c r="Y143" s="369"/>
      <c r="Z143" s="369"/>
      <c r="AA143" s="369"/>
      <c r="AB143" s="369"/>
      <c r="AC143" s="369"/>
      <c r="AD143" s="369"/>
    </row>
    <row r="144" ht="24.0" customHeight="1">
      <c r="A144" s="373"/>
      <c r="B144" s="417" t="s">
        <v>1498</v>
      </c>
      <c r="C144" s="417" t="s">
        <v>1499</v>
      </c>
      <c r="D144" s="374" t="s">
        <v>1039</v>
      </c>
      <c r="E144" s="375" t="s">
        <v>2623</v>
      </c>
      <c r="F144" s="418" t="s">
        <v>1018</v>
      </c>
      <c r="G144" s="417" t="s">
        <v>1489</v>
      </c>
      <c r="H144" s="418" t="s">
        <v>1829</v>
      </c>
      <c r="I144" s="417" t="s">
        <v>1502</v>
      </c>
      <c r="J144" s="417" t="s">
        <v>1503</v>
      </c>
      <c r="K144" s="419" t="s">
        <v>1504</v>
      </c>
      <c r="L144" s="417" t="s">
        <v>1505</v>
      </c>
      <c r="M144" s="379"/>
      <c r="N144" s="379"/>
      <c r="O144" s="379"/>
      <c r="P144" s="379"/>
      <c r="Q144" s="379"/>
      <c r="R144" s="379"/>
      <c r="S144" s="379"/>
      <c r="T144" s="379"/>
      <c r="U144" s="379"/>
      <c r="V144" s="379"/>
      <c r="W144" s="379"/>
      <c r="X144" s="379"/>
      <c r="Y144" s="379"/>
      <c r="Z144" s="379"/>
      <c r="AA144" s="379"/>
      <c r="AB144" s="379"/>
      <c r="AC144" s="379"/>
      <c r="AD144" s="379"/>
    </row>
    <row r="145" ht="24.0" customHeight="1">
      <c r="A145" s="373"/>
      <c r="B145" s="417" t="s">
        <v>1581</v>
      </c>
      <c r="C145" s="417" t="s">
        <v>1582</v>
      </c>
      <c r="D145" s="374" t="s">
        <v>1039</v>
      </c>
      <c r="E145" s="375" t="s">
        <v>2623</v>
      </c>
      <c r="F145" s="418" t="s">
        <v>1027</v>
      </c>
      <c r="G145" s="417" t="s">
        <v>1489</v>
      </c>
      <c r="H145" s="418" t="s">
        <v>3140</v>
      </c>
      <c r="I145" s="417" t="s">
        <v>1584</v>
      </c>
      <c r="J145" s="417" t="s">
        <v>1585</v>
      </c>
      <c r="K145" s="419" t="s">
        <v>1586</v>
      </c>
      <c r="L145" s="417" t="s">
        <v>1587</v>
      </c>
      <c r="M145" s="379"/>
      <c r="N145" s="379"/>
      <c r="O145" s="379"/>
      <c r="P145" s="379"/>
      <c r="Q145" s="379"/>
      <c r="R145" s="379"/>
      <c r="S145" s="379"/>
      <c r="T145" s="379"/>
      <c r="U145" s="379"/>
      <c r="V145" s="379"/>
      <c r="W145" s="379"/>
      <c r="X145" s="379"/>
      <c r="Y145" s="379"/>
      <c r="Z145" s="379"/>
      <c r="AA145" s="379"/>
      <c r="AB145" s="379"/>
      <c r="AC145" s="379"/>
      <c r="AD145" s="379"/>
    </row>
    <row r="146" ht="24.0" customHeight="1">
      <c r="A146" s="396">
        <v>32.0</v>
      </c>
      <c r="B146" s="298" t="s">
        <v>1601</v>
      </c>
      <c r="C146" s="298" t="s">
        <v>1602</v>
      </c>
      <c r="D146" s="298" t="s">
        <v>1039</v>
      </c>
      <c r="E146" s="390" t="s">
        <v>1808</v>
      </c>
      <c r="F146" s="285" t="s">
        <v>1027</v>
      </c>
      <c r="G146" s="298" t="s">
        <v>1489</v>
      </c>
      <c r="H146" s="285" t="s">
        <v>1842</v>
      </c>
      <c r="I146" s="298" t="s">
        <v>1605</v>
      </c>
      <c r="J146" s="298" t="s">
        <v>1606</v>
      </c>
      <c r="K146" s="389" t="s">
        <v>1607</v>
      </c>
      <c r="L146" s="298" t="s">
        <v>1608</v>
      </c>
      <c r="M146" s="369"/>
      <c r="N146" s="369"/>
      <c r="O146" s="369"/>
      <c r="P146" s="369"/>
      <c r="Q146" s="369"/>
      <c r="R146" s="369"/>
      <c r="S146" s="369"/>
      <c r="T146" s="369"/>
      <c r="U146" s="369"/>
      <c r="V146" s="369"/>
      <c r="W146" s="369"/>
      <c r="X146" s="369"/>
      <c r="Y146" s="369"/>
      <c r="Z146" s="369"/>
      <c r="AA146" s="369"/>
      <c r="AB146" s="369"/>
      <c r="AC146" s="369"/>
      <c r="AD146" s="369"/>
    </row>
    <row r="147" ht="22.5" customHeight="1">
      <c r="A147" s="388"/>
      <c r="B147" s="298" t="s">
        <v>1612</v>
      </c>
      <c r="C147" s="298" t="s">
        <v>1613</v>
      </c>
      <c r="D147" s="298" t="s">
        <v>1039</v>
      </c>
      <c r="E147" s="390" t="s">
        <v>1808</v>
      </c>
      <c r="F147" s="285" t="s">
        <v>1018</v>
      </c>
      <c r="G147" s="298" t="s">
        <v>1489</v>
      </c>
      <c r="H147" s="285" t="s">
        <v>3141</v>
      </c>
      <c r="I147" s="298" t="s">
        <v>1615</v>
      </c>
      <c r="J147" s="298" t="s">
        <v>1616</v>
      </c>
      <c r="K147" s="389" t="s">
        <v>1617</v>
      </c>
      <c r="L147" s="298" t="s">
        <v>1618</v>
      </c>
      <c r="M147" s="369"/>
      <c r="N147" s="369"/>
      <c r="O147" s="369"/>
      <c r="P147" s="369"/>
      <c r="Q147" s="369"/>
      <c r="R147" s="369"/>
      <c r="S147" s="369"/>
      <c r="T147" s="369"/>
      <c r="U147" s="369"/>
      <c r="V147" s="369"/>
      <c r="W147" s="369"/>
      <c r="X147" s="369"/>
      <c r="Y147" s="369"/>
      <c r="Z147" s="369"/>
      <c r="AA147" s="369"/>
      <c r="AB147" s="369"/>
      <c r="AC147" s="369"/>
      <c r="AD147" s="369"/>
    </row>
    <row r="148" ht="22.5" customHeight="1">
      <c r="A148" s="393">
        <v>36.0</v>
      </c>
      <c r="B148" s="374" t="s">
        <v>1531</v>
      </c>
      <c r="C148" s="374" t="s">
        <v>1532</v>
      </c>
      <c r="D148" s="374" t="s">
        <v>1534</v>
      </c>
      <c r="E148" s="375" t="s">
        <v>3142</v>
      </c>
      <c r="F148" s="376" t="s">
        <v>1018</v>
      </c>
      <c r="G148" s="374" t="s">
        <v>1489</v>
      </c>
      <c r="H148" s="376" t="s">
        <v>3143</v>
      </c>
      <c r="I148" s="374" t="s">
        <v>1536</v>
      </c>
      <c r="J148" s="377" t="s">
        <v>1537</v>
      </c>
      <c r="K148" s="378">
        <v>2.4105730656E10</v>
      </c>
      <c r="L148" s="374" t="s">
        <v>1538</v>
      </c>
      <c r="M148" s="379"/>
      <c r="N148" s="379"/>
      <c r="O148" s="379"/>
      <c r="P148" s="379"/>
      <c r="Q148" s="379"/>
      <c r="R148" s="379"/>
      <c r="S148" s="379"/>
      <c r="T148" s="379"/>
      <c r="U148" s="379"/>
      <c r="V148" s="379"/>
      <c r="W148" s="379"/>
      <c r="X148" s="379"/>
      <c r="Y148" s="379"/>
      <c r="Z148" s="379"/>
      <c r="AA148" s="379"/>
      <c r="AB148" s="379"/>
      <c r="AC148" s="379"/>
      <c r="AD148" s="379"/>
    </row>
    <row r="149" ht="25.5" customHeight="1">
      <c r="A149" s="393">
        <v>43.0</v>
      </c>
      <c r="B149" s="374" t="s">
        <v>1541</v>
      </c>
      <c r="C149" s="374" t="s">
        <v>1542</v>
      </c>
      <c r="D149" s="378" t="s">
        <v>1268</v>
      </c>
      <c r="E149" s="375" t="s">
        <v>3144</v>
      </c>
      <c r="F149" s="376" t="s">
        <v>1027</v>
      </c>
      <c r="G149" s="374" t="s">
        <v>1489</v>
      </c>
      <c r="H149" s="376" t="s">
        <v>3145</v>
      </c>
      <c r="I149" s="374" t="s">
        <v>1270</v>
      </c>
      <c r="J149" s="374" t="s">
        <v>1545</v>
      </c>
      <c r="K149" s="374"/>
      <c r="L149" s="374" t="s">
        <v>3146</v>
      </c>
      <c r="M149" s="379"/>
      <c r="N149" s="379"/>
      <c r="O149" s="379"/>
      <c r="P149" s="379"/>
      <c r="Q149" s="379"/>
      <c r="R149" s="379"/>
      <c r="S149" s="379"/>
      <c r="T149" s="379"/>
      <c r="U149" s="379"/>
      <c r="V149" s="379"/>
      <c r="W149" s="379"/>
      <c r="X149" s="379"/>
      <c r="Y149" s="379"/>
      <c r="Z149" s="379"/>
      <c r="AA149" s="379"/>
      <c r="AB149" s="379"/>
      <c r="AC149" s="379"/>
      <c r="AD149" s="379"/>
    </row>
    <row r="150" ht="24.75" customHeight="1">
      <c r="A150" s="396">
        <v>44.0</v>
      </c>
      <c r="B150" s="298" t="s">
        <v>1562</v>
      </c>
      <c r="C150" s="298" t="s">
        <v>1563</v>
      </c>
      <c r="D150" s="389" t="s">
        <v>1268</v>
      </c>
      <c r="E150" s="390" t="s">
        <v>3147</v>
      </c>
      <c r="F150" s="285" t="s">
        <v>1027</v>
      </c>
      <c r="G150" s="298" t="s">
        <v>1489</v>
      </c>
      <c r="H150" s="285" t="s">
        <v>243</v>
      </c>
      <c r="I150" s="298" t="s">
        <v>1566</v>
      </c>
      <c r="J150" s="392" t="s">
        <v>3148</v>
      </c>
      <c r="K150" s="389">
        <v>2.7733423586E10</v>
      </c>
      <c r="L150" s="298" t="s">
        <v>1568</v>
      </c>
      <c r="M150" s="369"/>
      <c r="N150" s="369"/>
      <c r="O150" s="369"/>
      <c r="P150" s="369"/>
      <c r="Q150" s="369"/>
      <c r="R150" s="369"/>
      <c r="S150" s="369"/>
      <c r="T150" s="369"/>
      <c r="U150" s="369"/>
      <c r="V150" s="369"/>
      <c r="W150" s="369"/>
      <c r="X150" s="369"/>
      <c r="Y150" s="369"/>
      <c r="Z150" s="369"/>
      <c r="AA150" s="369"/>
      <c r="AB150" s="369"/>
      <c r="AC150" s="369"/>
      <c r="AD150" s="369"/>
    </row>
    <row r="151" ht="23.25" customHeight="1">
      <c r="A151" s="388"/>
      <c r="B151" s="274" t="s">
        <v>1621</v>
      </c>
      <c r="C151" s="274" t="s">
        <v>1622</v>
      </c>
      <c r="D151" s="389" t="s">
        <v>1188</v>
      </c>
      <c r="E151" s="390" t="s">
        <v>3115</v>
      </c>
      <c r="F151" s="280" t="s">
        <v>1018</v>
      </c>
      <c r="G151" s="274" t="s">
        <v>1489</v>
      </c>
      <c r="H151" s="280" t="s">
        <v>3116</v>
      </c>
      <c r="I151" s="274" t="s">
        <v>2793</v>
      </c>
      <c r="J151" s="274" t="s">
        <v>1626</v>
      </c>
      <c r="K151" s="276" t="s">
        <v>1627</v>
      </c>
      <c r="L151" s="274" t="s">
        <v>1628</v>
      </c>
      <c r="M151" s="369"/>
      <c r="N151" s="369"/>
      <c r="O151" s="369"/>
      <c r="P151" s="369"/>
      <c r="Q151" s="369"/>
      <c r="R151" s="369"/>
      <c r="S151" s="369"/>
      <c r="T151" s="369"/>
      <c r="U151" s="369"/>
      <c r="V151" s="369"/>
      <c r="W151" s="369"/>
      <c r="X151" s="369"/>
      <c r="Y151" s="369"/>
      <c r="Z151" s="369"/>
      <c r="AA151" s="369"/>
      <c r="AB151" s="369"/>
      <c r="AC151" s="369"/>
      <c r="AD151" s="369"/>
    </row>
    <row r="152" ht="24.75" customHeight="1">
      <c r="A152" s="388"/>
      <c r="B152" s="294" t="s">
        <v>1631</v>
      </c>
      <c r="C152" s="294" t="s">
        <v>1632</v>
      </c>
      <c r="D152" s="298" t="s">
        <v>54</v>
      </c>
      <c r="E152" s="394" t="s">
        <v>3056</v>
      </c>
      <c r="F152" s="294" t="s">
        <v>1018</v>
      </c>
      <c r="G152" s="280" t="s">
        <v>1633</v>
      </c>
      <c r="H152" s="280" t="s">
        <v>1752</v>
      </c>
      <c r="I152" s="280" t="s">
        <v>1635</v>
      </c>
      <c r="J152" s="295" t="s">
        <v>1636</v>
      </c>
      <c r="K152" s="276"/>
      <c r="L152" s="283" t="s">
        <v>1637</v>
      </c>
      <c r="M152" s="369"/>
      <c r="N152" s="369"/>
      <c r="O152" s="369"/>
      <c r="P152" s="369"/>
      <c r="Q152" s="369"/>
      <c r="R152" s="369"/>
      <c r="S152" s="369"/>
      <c r="T152" s="369"/>
      <c r="U152" s="369"/>
      <c r="V152" s="369"/>
      <c r="W152" s="369"/>
      <c r="X152" s="369"/>
      <c r="Y152" s="369"/>
      <c r="Z152" s="369"/>
      <c r="AA152" s="369"/>
      <c r="AB152" s="369"/>
      <c r="AC152" s="369"/>
      <c r="AD152" s="369"/>
    </row>
    <row r="153" ht="22.5" customHeight="1">
      <c r="A153" s="388"/>
      <c r="B153" s="294" t="s">
        <v>1655</v>
      </c>
      <c r="C153" s="294" t="s">
        <v>1656</v>
      </c>
      <c r="D153" s="298" t="s">
        <v>54</v>
      </c>
      <c r="E153" s="394" t="s">
        <v>3056</v>
      </c>
      <c r="F153" s="294" t="s">
        <v>1027</v>
      </c>
      <c r="G153" s="280" t="s">
        <v>1633</v>
      </c>
      <c r="H153" s="280" t="s">
        <v>3046</v>
      </c>
      <c r="I153" s="280" t="s">
        <v>1658</v>
      </c>
      <c r="J153" s="295" t="s">
        <v>2853</v>
      </c>
      <c r="K153" s="276"/>
      <c r="L153" s="283" t="s">
        <v>1661</v>
      </c>
      <c r="M153" s="369"/>
      <c r="N153" s="369"/>
      <c r="O153" s="369"/>
      <c r="P153" s="369"/>
      <c r="Q153" s="369"/>
      <c r="R153" s="369"/>
      <c r="S153" s="369"/>
      <c r="T153" s="369"/>
      <c r="U153" s="369"/>
      <c r="V153" s="369"/>
      <c r="W153" s="369"/>
      <c r="X153" s="369"/>
      <c r="Y153" s="369"/>
      <c r="Z153" s="369"/>
      <c r="AA153" s="369"/>
      <c r="AB153" s="369"/>
      <c r="AC153" s="369"/>
      <c r="AD153" s="369"/>
    </row>
    <row r="154" ht="19.5" customHeight="1">
      <c r="A154" s="373"/>
      <c r="B154" s="420" t="s">
        <v>1704</v>
      </c>
      <c r="C154" s="420" t="s">
        <v>1705</v>
      </c>
      <c r="D154" s="374" t="s">
        <v>27</v>
      </c>
      <c r="E154" s="375" t="s">
        <v>3137</v>
      </c>
      <c r="F154" s="420" t="s">
        <v>1018</v>
      </c>
      <c r="G154" s="418" t="s">
        <v>1633</v>
      </c>
      <c r="H154" s="418" t="s">
        <v>217</v>
      </c>
      <c r="I154" s="418" t="s">
        <v>2797</v>
      </c>
      <c r="J154" s="421" t="s">
        <v>1708</v>
      </c>
      <c r="K154" s="422"/>
      <c r="L154" s="423" t="s">
        <v>1709</v>
      </c>
      <c r="M154" s="379"/>
      <c r="N154" s="379"/>
      <c r="O154" s="379"/>
      <c r="P154" s="379"/>
      <c r="Q154" s="379"/>
      <c r="R154" s="379"/>
      <c r="S154" s="379"/>
      <c r="T154" s="379"/>
      <c r="U154" s="379"/>
      <c r="V154" s="379"/>
      <c r="W154" s="379"/>
      <c r="X154" s="379"/>
      <c r="Y154" s="379"/>
      <c r="Z154" s="379"/>
      <c r="AA154" s="379"/>
      <c r="AB154" s="379"/>
      <c r="AC154" s="379"/>
      <c r="AD154" s="379"/>
    </row>
    <row r="155" ht="20.25" customHeight="1">
      <c r="A155" s="388"/>
      <c r="B155" s="294" t="s">
        <v>1696</v>
      </c>
      <c r="C155" s="294" t="s">
        <v>1697</v>
      </c>
      <c r="D155" s="298" t="s">
        <v>27</v>
      </c>
      <c r="E155" s="390" t="s">
        <v>3060</v>
      </c>
      <c r="F155" s="294" t="s">
        <v>1018</v>
      </c>
      <c r="G155" s="280" t="s">
        <v>1633</v>
      </c>
      <c r="H155" s="280" t="s">
        <v>3149</v>
      </c>
      <c r="I155" s="280" t="s">
        <v>1699</v>
      </c>
      <c r="J155" s="295" t="s">
        <v>1700</v>
      </c>
      <c r="K155" s="267"/>
      <c r="L155" s="283" t="s">
        <v>1701</v>
      </c>
      <c r="M155" s="369"/>
      <c r="N155" s="369"/>
      <c r="O155" s="369"/>
      <c r="P155" s="369"/>
      <c r="Q155" s="369"/>
      <c r="R155" s="369"/>
      <c r="S155" s="369"/>
      <c r="T155" s="369"/>
      <c r="U155" s="369"/>
      <c r="V155" s="369"/>
      <c r="W155" s="369"/>
      <c r="X155" s="369"/>
      <c r="Y155" s="369"/>
      <c r="Z155" s="369"/>
      <c r="AA155" s="369"/>
      <c r="AB155" s="369"/>
      <c r="AC155" s="369"/>
      <c r="AD155" s="369"/>
    </row>
    <row r="156" ht="19.5" customHeight="1">
      <c r="A156" s="388"/>
      <c r="B156" s="294" t="s">
        <v>2794</v>
      </c>
      <c r="C156" s="294" t="s">
        <v>1681</v>
      </c>
      <c r="D156" s="298" t="s">
        <v>27</v>
      </c>
      <c r="E156" s="390" t="s">
        <v>3074</v>
      </c>
      <c r="F156" s="294" t="s">
        <v>1018</v>
      </c>
      <c r="G156" s="280" t="s">
        <v>1633</v>
      </c>
      <c r="H156" s="280" t="s">
        <v>243</v>
      </c>
      <c r="I156" s="280" t="s">
        <v>1683</v>
      </c>
      <c r="J156" s="295" t="s">
        <v>1684</v>
      </c>
      <c r="K156" s="267"/>
      <c r="L156" s="283" t="s">
        <v>1685</v>
      </c>
      <c r="M156" s="415"/>
      <c r="N156" s="415"/>
      <c r="O156" s="415"/>
      <c r="P156" s="415"/>
      <c r="Q156" s="415"/>
      <c r="R156" s="415"/>
      <c r="S156" s="415"/>
      <c r="T156" s="415"/>
      <c r="U156" s="415"/>
      <c r="V156" s="415"/>
      <c r="W156" s="415"/>
      <c r="X156" s="415"/>
      <c r="Y156" s="415"/>
      <c r="Z156" s="415"/>
      <c r="AA156" s="415"/>
      <c r="AB156" s="415"/>
      <c r="AC156" s="415"/>
      <c r="AD156" s="415"/>
    </row>
    <row r="157" ht="21.0" customHeight="1">
      <c r="A157" s="388"/>
      <c r="B157" s="294" t="s">
        <v>364</v>
      </c>
      <c r="C157" s="294" t="s">
        <v>1640</v>
      </c>
      <c r="D157" s="298" t="s">
        <v>183</v>
      </c>
      <c r="E157" s="390" t="s">
        <v>3059</v>
      </c>
      <c r="F157" s="294" t="s">
        <v>1027</v>
      </c>
      <c r="G157" s="280" t="s">
        <v>1633</v>
      </c>
      <c r="H157" s="280" t="s">
        <v>3102</v>
      </c>
      <c r="I157" s="280" t="s">
        <v>1643</v>
      </c>
      <c r="J157" s="295" t="s">
        <v>2930</v>
      </c>
      <c r="K157" s="267"/>
      <c r="L157" s="283" t="s">
        <v>1645</v>
      </c>
      <c r="M157" s="369"/>
      <c r="N157" s="369"/>
      <c r="O157" s="369"/>
      <c r="P157" s="369"/>
      <c r="Q157" s="369"/>
      <c r="R157" s="369"/>
      <c r="S157" s="369"/>
      <c r="T157" s="369"/>
      <c r="U157" s="369"/>
      <c r="V157" s="369"/>
      <c r="W157" s="369"/>
      <c r="X157" s="369"/>
      <c r="Y157" s="369"/>
      <c r="Z157" s="369"/>
      <c r="AA157" s="369"/>
      <c r="AB157" s="369"/>
      <c r="AC157" s="369"/>
      <c r="AD157" s="369"/>
    </row>
    <row r="158" ht="21.75" customHeight="1">
      <c r="A158" s="388"/>
      <c r="B158" s="294" t="s">
        <v>2931</v>
      </c>
      <c r="C158" s="294" t="s">
        <v>856</v>
      </c>
      <c r="D158" s="298" t="s">
        <v>183</v>
      </c>
      <c r="E158" s="390" t="s">
        <v>3059</v>
      </c>
      <c r="F158" s="294" t="s">
        <v>1027</v>
      </c>
      <c r="G158" s="280" t="s">
        <v>1633</v>
      </c>
      <c r="H158" s="280" t="s">
        <v>3150</v>
      </c>
      <c r="I158" s="280" t="s">
        <v>1675</v>
      </c>
      <c r="J158" s="295" t="s">
        <v>1676</v>
      </c>
      <c r="K158" s="267"/>
      <c r="L158" s="283" t="s">
        <v>1677</v>
      </c>
      <c r="M158" s="369"/>
      <c r="N158" s="369"/>
      <c r="O158" s="369"/>
      <c r="P158" s="369"/>
      <c r="Q158" s="369"/>
      <c r="R158" s="369"/>
      <c r="S158" s="369"/>
      <c r="T158" s="369"/>
      <c r="U158" s="369"/>
      <c r="V158" s="369"/>
      <c r="W158" s="369"/>
      <c r="X158" s="369"/>
      <c r="Y158" s="369"/>
      <c r="Z158" s="369"/>
      <c r="AA158" s="369"/>
      <c r="AB158" s="369"/>
      <c r="AC158" s="369"/>
      <c r="AD158" s="369"/>
    </row>
    <row r="159" ht="21.75" customHeight="1">
      <c r="A159" s="373"/>
      <c r="B159" s="420" t="s">
        <v>1687</v>
      </c>
      <c r="C159" s="420" t="s">
        <v>856</v>
      </c>
      <c r="D159" s="374" t="s">
        <v>465</v>
      </c>
      <c r="E159" s="375" t="s">
        <v>2093</v>
      </c>
      <c r="F159" s="420" t="s">
        <v>1027</v>
      </c>
      <c r="G159" s="418" t="s">
        <v>1633</v>
      </c>
      <c r="H159" s="418" t="s">
        <v>3151</v>
      </c>
      <c r="I159" s="424" t="s">
        <v>1691</v>
      </c>
      <c r="J159" s="421" t="s">
        <v>2949</v>
      </c>
      <c r="K159" s="422"/>
      <c r="L159" s="423" t="s">
        <v>1693</v>
      </c>
      <c r="M159" s="379"/>
      <c r="N159" s="379"/>
      <c r="O159" s="379"/>
      <c r="P159" s="379"/>
      <c r="Q159" s="379"/>
      <c r="R159" s="379"/>
      <c r="S159" s="379"/>
      <c r="T159" s="379"/>
      <c r="U159" s="379"/>
      <c r="V159" s="379"/>
      <c r="W159" s="379"/>
      <c r="X159" s="379"/>
      <c r="Y159" s="379"/>
      <c r="Z159" s="379"/>
      <c r="AA159" s="379"/>
      <c r="AB159" s="379"/>
      <c r="AC159" s="379"/>
      <c r="AD159" s="379"/>
    </row>
    <row r="160" ht="21.75" customHeight="1">
      <c r="A160" s="373"/>
      <c r="B160" s="423" t="s">
        <v>1664</v>
      </c>
      <c r="C160" s="423" t="s">
        <v>1665</v>
      </c>
      <c r="D160" s="374" t="s">
        <v>1039</v>
      </c>
      <c r="E160" s="375" t="s">
        <v>2623</v>
      </c>
      <c r="F160" s="423" t="s">
        <v>1027</v>
      </c>
      <c r="G160" s="423" t="s">
        <v>1633</v>
      </c>
      <c r="H160" s="423" t="s">
        <v>3140</v>
      </c>
      <c r="I160" s="423" t="s">
        <v>1584</v>
      </c>
      <c r="J160" s="425" t="s">
        <v>1669</v>
      </c>
      <c r="K160" s="426"/>
      <c r="L160" s="423" t="s">
        <v>1670</v>
      </c>
      <c r="M160" s="379"/>
      <c r="N160" s="379"/>
      <c r="O160" s="379"/>
      <c r="P160" s="379"/>
      <c r="Q160" s="379"/>
      <c r="R160" s="379"/>
      <c r="S160" s="379"/>
      <c r="T160" s="379"/>
      <c r="U160" s="379"/>
      <c r="V160" s="379"/>
      <c r="W160" s="379"/>
      <c r="X160" s="379"/>
      <c r="Y160" s="379"/>
      <c r="Z160" s="379"/>
      <c r="AA160" s="379"/>
      <c r="AB160" s="379"/>
      <c r="AC160" s="379"/>
      <c r="AD160" s="379"/>
    </row>
    <row r="161" ht="22.5" customHeight="1">
      <c r="A161" s="373"/>
      <c r="B161" s="423" t="s">
        <v>1712</v>
      </c>
      <c r="C161" s="423" t="s">
        <v>1713</v>
      </c>
      <c r="D161" s="374" t="s">
        <v>1039</v>
      </c>
      <c r="E161" s="375" t="s">
        <v>2623</v>
      </c>
      <c r="F161" s="423" t="s">
        <v>1018</v>
      </c>
      <c r="G161" s="423" t="s">
        <v>1633</v>
      </c>
      <c r="H161" s="423" t="s">
        <v>1853</v>
      </c>
      <c r="I161" s="423" t="s">
        <v>2974</v>
      </c>
      <c r="J161" s="421" t="s">
        <v>1669</v>
      </c>
      <c r="K161" s="426"/>
      <c r="L161" s="423" t="s">
        <v>1716</v>
      </c>
      <c r="M161" s="379"/>
      <c r="N161" s="379"/>
      <c r="O161" s="379"/>
      <c r="P161" s="379"/>
      <c r="Q161" s="379"/>
      <c r="R161" s="379"/>
      <c r="S161" s="379"/>
      <c r="T161" s="379"/>
      <c r="U161" s="379"/>
      <c r="V161" s="379"/>
      <c r="W161" s="379"/>
      <c r="X161" s="379"/>
      <c r="Y161" s="379"/>
      <c r="Z161" s="379"/>
      <c r="AA161" s="379"/>
      <c r="AB161" s="379"/>
      <c r="AC161" s="379"/>
      <c r="AD161" s="379"/>
    </row>
    <row r="162" ht="21.75" customHeight="1">
      <c r="A162" s="373"/>
      <c r="B162" s="423" t="s">
        <v>1727</v>
      </c>
      <c r="C162" s="423" t="s">
        <v>1728</v>
      </c>
      <c r="D162" s="374" t="s">
        <v>1039</v>
      </c>
      <c r="E162" s="375" t="s">
        <v>2623</v>
      </c>
      <c r="F162" s="423" t="s">
        <v>1027</v>
      </c>
      <c r="G162" s="423" t="s">
        <v>1633</v>
      </c>
      <c r="H162" s="423" t="s">
        <v>296</v>
      </c>
      <c r="I162" s="423" t="s">
        <v>1220</v>
      </c>
      <c r="J162" s="423" t="s">
        <v>2975</v>
      </c>
      <c r="K162" s="426"/>
      <c r="L162" s="423" t="s">
        <v>1732</v>
      </c>
      <c r="M162" s="379"/>
      <c r="N162" s="379"/>
      <c r="O162" s="379"/>
      <c r="P162" s="379"/>
      <c r="Q162" s="379"/>
      <c r="R162" s="379"/>
      <c r="S162" s="379"/>
      <c r="T162" s="379"/>
      <c r="U162" s="379"/>
      <c r="V162" s="379"/>
      <c r="W162" s="379"/>
      <c r="X162" s="379"/>
      <c r="Y162" s="379"/>
      <c r="Z162" s="379"/>
      <c r="AA162" s="379"/>
      <c r="AB162" s="379"/>
      <c r="AC162" s="379"/>
      <c r="AD162" s="379"/>
    </row>
    <row r="163" ht="21.75" customHeight="1">
      <c r="A163" s="388"/>
      <c r="B163" s="283" t="s">
        <v>1059</v>
      </c>
      <c r="C163" s="283" t="s">
        <v>1648</v>
      </c>
      <c r="D163" s="298" t="s">
        <v>1039</v>
      </c>
      <c r="E163" s="390" t="s">
        <v>1808</v>
      </c>
      <c r="F163" s="283" t="s">
        <v>1018</v>
      </c>
      <c r="G163" s="283" t="s">
        <v>1633</v>
      </c>
      <c r="H163" s="283" t="s">
        <v>3130</v>
      </c>
      <c r="I163" s="283" t="s">
        <v>2989</v>
      </c>
      <c r="J163" s="283" t="s">
        <v>2990</v>
      </c>
      <c r="K163" s="336"/>
      <c r="L163" s="427" t="s">
        <v>1653</v>
      </c>
      <c r="M163" s="369"/>
      <c r="N163" s="369"/>
      <c r="O163" s="369"/>
      <c r="P163" s="369"/>
      <c r="Q163" s="369"/>
      <c r="R163" s="369"/>
      <c r="S163" s="369"/>
      <c r="T163" s="369"/>
      <c r="U163" s="369"/>
      <c r="V163" s="369"/>
      <c r="W163" s="369"/>
      <c r="X163" s="369"/>
      <c r="Y163" s="369"/>
      <c r="Z163" s="369"/>
      <c r="AA163" s="369"/>
      <c r="AB163" s="369"/>
      <c r="AC163" s="369"/>
      <c r="AD163" s="369"/>
    </row>
    <row r="164" ht="21.75" customHeight="1">
      <c r="A164" s="393">
        <v>45.0</v>
      </c>
      <c r="B164" s="420" t="s">
        <v>1719</v>
      </c>
      <c r="C164" s="420" t="s">
        <v>1720</v>
      </c>
      <c r="D164" s="378" t="s">
        <v>1268</v>
      </c>
      <c r="E164" s="428" t="s">
        <v>3152</v>
      </c>
      <c r="F164" s="420" t="s">
        <v>1027</v>
      </c>
      <c r="G164" s="418" t="s">
        <v>1633</v>
      </c>
      <c r="H164" s="418" t="s">
        <v>3153</v>
      </c>
      <c r="I164" s="418" t="s">
        <v>1723</v>
      </c>
      <c r="J164" s="425" t="s">
        <v>3036</v>
      </c>
      <c r="K164" s="374"/>
      <c r="L164" s="374"/>
      <c r="M164" s="379"/>
      <c r="N164" s="379"/>
      <c r="O164" s="379"/>
      <c r="P164" s="379"/>
      <c r="Q164" s="379"/>
      <c r="R164" s="379"/>
      <c r="S164" s="379"/>
      <c r="T164" s="379"/>
      <c r="U164" s="379"/>
      <c r="V164" s="379"/>
      <c r="W164" s="379"/>
      <c r="X164" s="379"/>
      <c r="Y164" s="379"/>
      <c r="Z164" s="379"/>
      <c r="AA164" s="379"/>
      <c r="AB164" s="379"/>
      <c r="AC164" s="379"/>
      <c r="AD164" s="379"/>
    </row>
    <row r="165" ht="21.75" customHeight="1">
      <c r="A165" s="373"/>
      <c r="B165" s="429" t="s">
        <v>1772</v>
      </c>
      <c r="C165" s="429" t="s">
        <v>2833</v>
      </c>
      <c r="D165" s="374" t="s">
        <v>54</v>
      </c>
      <c r="E165" s="375" t="s">
        <v>3042</v>
      </c>
      <c r="F165" s="380" t="s">
        <v>1018</v>
      </c>
      <c r="G165" s="429" t="s">
        <v>1737</v>
      </c>
      <c r="H165" s="429" t="s">
        <v>1775</v>
      </c>
      <c r="I165" s="429" t="s">
        <v>1776</v>
      </c>
      <c r="J165" s="430"/>
      <c r="K165" s="374"/>
      <c r="L165" s="374"/>
      <c r="M165" s="379"/>
      <c r="N165" s="379"/>
      <c r="O165" s="379"/>
      <c r="P165" s="379"/>
      <c r="Q165" s="379"/>
      <c r="R165" s="379"/>
      <c r="S165" s="379"/>
      <c r="T165" s="379"/>
      <c r="U165" s="379"/>
      <c r="V165" s="379"/>
      <c r="W165" s="379"/>
      <c r="X165" s="379"/>
      <c r="Y165" s="379"/>
      <c r="Z165" s="379"/>
      <c r="AA165" s="379"/>
      <c r="AB165" s="379"/>
      <c r="AC165" s="379"/>
      <c r="AD165" s="379"/>
    </row>
    <row r="166" ht="21.75" customHeight="1">
      <c r="A166" s="373"/>
      <c r="B166" s="431" t="s">
        <v>1784</v>
      </c>
      <c r="C166" s="431" t="s">
        <v>1785</v>
      </c>
      <c r="D166" s="374" t="s">
        <v>54</v>
      </c>
      <c r="E166" s="375" t="s">
        <v>3072</v>
      </c>
      <c r="F166" s="429" t="s">
        <v>1027</v>
      </c>
      <c r="G166" s="429" t="s">
        <v>1737</v>
      </c>
      <c r="H166" s="429" t="s">
        <v>1787</v>
      </c>
      <c r="I166" s="429" t="s">
        <v>728</v>
      </c>
      <c r="J166" s="374"/>
      <c r="K166" s="374"/>
      <c r="L166" s="374"/>
      <c r="M166" s="379"/>
      <c r="N166" s="379"/>
      <c r="O166" s="379"/>
      <c r="P166" s="379"/>
      <c r="Q166" s="379"/>
      <c r="R166" s="379"/>
      <c r="S166" s="379"/>
      <c r="T166" s="379"/>
      <c r="U166" s="379"/>
      <c r="V166" s="379"/>
      <c r="W166" s="379"/>
      <c r="X166" s="379"/>
      <c r="Y166" s="379"/>
      <c r="Z166" s="379"/>
      <c r="AA166" s="379"/>
      <c r="AB166" s="379"/>
      <c r="AC166" s="379"/>
      <c r="AD166" s="379"/>
    </row>
    <row r="167" ht="21.75" customHeight="1">
      <c r="A167" s="388"/>
      <c r="B167" s="285" t="s">
        <v>856</v>
      </c>
      <c r="C167" s="285" t="s">
        <v>1813</v>
      </c>
      <c r="D167" s="298" t="s">
        <v>27</v>
      </c>
      <c r="E167" s="390" t="s">
        <v>1814</v>
      </c>
      <c r="F167" s="285" t="s">
        <v>1027</v>
      </c>
      <c r="G167" s="285" t="s">
        <v>1737</v>
      </c>
      <c r="H167" s="285" t="s">
        <v>1815</v>
      </c>
      <c r="I167" s="285" t="s">
        <v>1816</v>
      </c>
      <c r="J167" s="285" t="s">
        <v>2915</v>
      </c>
      <c r="K167" s="298"/>
      <c r="L167" s="285" t="s">
        <v>1818</v>
      </c>
      <c r="M167" s="369"/>
      <c r="N167" s="369"/>
      <c r="O167" s="369"/>
      <c r="P167" s="369"/>
      <c r="Q167" s="369"/>
      <c r="R167" s="369"/>
      <c r="S167" s="369"/>
      <c r="T167" s="369"/>
      <c r="U167" s="369"/>
      <c r="V167" s="369"/>
      <c r="W167" s="369"/>
      <c r="X167" s="369"/>
      <c r="Y167" s="369"/>
      <c r="Z167" s="369"/>
      <c r="AA167" s="369"/>
      <c r="AB167" s="369"/>
      <c r="AC167" s="369"/>
      <c r="AD167" s="369"/>
    </row>
    <row r="168" ht="21.0" customHeight="1">
      <c r="A168" s="388"/>
      <c r="B168" s="299" t="s">
        <v>1799</v>
      </c>
      <c r="C168" s="299" t="s">
        <v>1800</v>
      </c>
      <c r="D168" s="298" t="s">
        <v>27</v>
      </c>
      <c r="E168" s="432" t="s">
        <v>3045</v>
      </c>
      <c r="F168" s="280" t="s">
        <v>1027</v>
      </c>
      <c r="G168" s="280" t="s">
        <v>1737</v>
      </c>
      <c r="H168" s="300" t="s">
        <v>217</v>
      </c>
      <c r="I168" s="300" t="s">
        <v>1802</v>
      </c>
      <c r="J168" s="299" t="s">
        <v>2916</v>
      </c>
      <c r="K168" s="276"/>
      <c r="L168" s="300" t="s">
        <v>1804</v>
      </c>
      <c r="M168" s="369"/>
      <c r="N168" s="369"/>
      <c r="O168" s="369"/>
      <c r="P168" s="369"/>
      <c r="Q168" s="369"/>
      <c r="R168" s="369"/>
      <c r="S168" s="369"/>
      <c r="T168" s="369"/>
      <c r="U168" s="369"/>
      <c r="V168" s="369"/>
      <c r="W168" s="369"/>
      <c r="X168" s="369"/>
      <c r="Y168" s="369"/>
      <c r="Z168" s="369"/>
      <c r="AA168" s="369"/>
      <c r="AB168" s="369"/>
      <c r="AC168" s="369"/>
      <c r="AD168" s="369"/>
    </row>
    <row r="169" ht="21.0" customHeight="1">
      <c r="A169" s="388"/>
      <c r="B169" s="285" t="s">
        <v>1792</v>
      </c>
      <c r="C169" s="285" t="s">
        <v>1793</v>
      </c>
      <c r="D169" s="298" t="s">
        <v>27</v>
      </c>
      <c r="E169" s="390" t="s">
        <v>3049</v>
      </c>
      <c r="F169" s="285" t="s">
        <v>1018</v>
      </c>
      <c r="G169" s="280" t="s">
        <v>1737</v>
      </c>
      <c r="H169" s="285" t="s">
        <v>1794</v>
      </c>
      <c r="I169" s="285" t="s">
        <v>1795</v>
      </c>
      <c r="J169" s="285" t="s">
        <v>1796</v>
      </c>
      <c r="K169" s="298"/>
      <c r="L169" s="285" t="s">
        <v>1797</v>
      </c>
      <c r="M169" s="369"/>
      <c r="N169" s="369"/>
      <c r="O169" s="369"/>
      <c r="P169" s="369"/>
      <c r="Q169" s="369"/>
      <c r="R169" s="369"/>
      <c r="S169" s="369"/>
      <c r="T169" s="369"/>
      <c r="U169" s="369"/>
      <c r="V169" s="369"/>
      <c r="W169" s="369"/>
      <c r="X169" s="369"/>
      <c r="Y169" s="369"/>
      <c r="Z169" s="369"/>
      <c r="AA169" s="369"/>
      <c r="AB169" s="369"/>
      <c r="AC169" s="369"/>
      <c r="AD169" s="369"/>
    </row>
    <row r="170" ht="21.0" customHeight="1">
      <c r="A170" s="393">
        <v>16.0</v>
      </c>
      <c r="B170" s="376" t="s">
        <v>2800</v>
      </c>
      <c r="C170" s="376" t="s">
        <v>2801</v>
      </c>
      <c r="D170" s="374" t="s">
        <v>27</v>
      </c>
      <c r="E170" s="375" t="s">
        <v>2802</v>
      </c>
      <c r="F170" s="376" t="s">
        <v>1027</v>
      </c>
      <c r="G170" s="418" t="s">
        <v>1737</v>
      </c>
      <c r="H170" s="429" t="s">
        <v>217</v>
      </c>
      <c r="I170" s="376" t="s">
        <v>2803</v>
      </c>
      <c r="J170" s="376" t="s">
        <v>2917</v>
      </c>
      <c r="K170" s="374"/>
      <c r="L170" s="376" t="s">
        <v>2804</v>
      </c>
      <c r="M170" s="379"/>
      <c r="N170" s="379"/>
      <c r="O170" s="379"/>
      <c r="P170" s="379"/>
      <c r="Q170" s="379"/>
      <c r="R170" s="379"/>
      <c r="S170" s="379"/>
      <c r="T170" s="379"/>
      <c r="U170" s="379"/>
      <c r="V170" s="379"/>
      <c r="W170" s="379"/>
      <c r="X170" s="379"/>
      <c r="Y170" s="379"/>
      <c r="Z170" s="379"/>
      <c r="AA170" s="379"/>
      <c r="AB170" s="379"/>
      <c r="AC170" s="379"/>
      <c r="AD170" s="379"/>
    </row>
    <row r="171" ht="21.0" customHeight="1">
      <c r="A171" s="373"/>
      <c r="B171" s="380" t="s">
        <v>1750</v>
      </c>
      <c r="C171" s="380" t="s">
        <v>1751</v>
      </c>
      <c r="D171" s="374" t="s">
        <v>27</v>
      </c>
      <c r="E171" s="375" t="s">
        <v>3053</v>
      </c>
      <c r="F171" s="380" t="s">
        <v>1018</v>
      </c>
      <c r="G171" s="380" t="s">
        <v>1737</v>
      </c>
      <c r="H171" s="376" t="s">
        <v>1752</v>
      </c>
      <c r="I171" s="380" t="s">
        <v>1081</v>
      </c>
      <c r="J171" s="430"/>
      <c r="K171" s="378"/>
      <c r="L171" s="374"/>
      <c r="M171" s="395"/>
      <c r="N171" s="395"/>
      <c r="O171" s="395"/>
      <c r="P171" s="395"/>
      <c r="Q171" s="395"/>
      <c r="R171" s="395"/>
      <c r="S171" s="395"/>
      <c r="T171" s="395"/>
      <c r="U171" s="395"/>
      <c r="V171" s="395"/>
      <c r="W171" s="395"/>
      <c r="X171" s="395"/>
      <c r="Y171" s="395"/>
      <c r="Z171" s="395"/>
      <c r="AA171" s="395"/>
      <c r="AB171" s="395"/>
      <c r="AC171" s="395"/>
      <c r="AD171" s="395"/>
    </row>
    <row r="172" ht="24.0" customHeight="1">
      <c r="A172" s="373"/>
      <c r="B172" s="380" t="s">
        <v>1873</v>
      </c>
      <c r="C172" s="380" t="s">
        <v>1874</v>
      </c>
      <c r="D172" s="374" t="s">
        <v>27</v>
      </c>
      <c r="E172" s="375" t="s">
        <v>3053</v>
      </c>
      <c r="F172" s="380" t="s">
        <v>1018</v>
      </c>
      <c r="G172" s="380" t="s">
        <v>1737</v>
      </c>
      <c r="H172" s="376" t="s">
        <v>1787</v>
      </c>
      <c r="I172" s="380" t="s">
        <v>1875</v>
      </c>
      <c r="J172" s="430"/>
      <c r="K172" s="378"/>
      <c r="L172" s="374"/>
      <c r="M172" s="395"/>
      <c r="N172" s="395"/>
      <c r="O172" s="395"/>
      <c r="P172" s="395"/>
      <c r="Q172" s="395"/>
      <c r="R172" s="395"/>
      <c r="S172" s="395"/>
      <c r="T172" s="395"/>
      <c r="U172" s="395"/>
      <c r="V172" s="395"/>
      <c r="W172" s="395"/>
      <c r="X172" s="395"/>
      <c r="Y172" s="395"/>
      <c r="Z172" s="395"/>
      <c r="AA172" s="395"/>
      <c r="AB172" s="395"/>
      <c r="AC172" s="395"/>
      <c r="AD172" s="395"/>
    </row>
    <row r="173" ht="23.25" customHeight="1">
      <c r="A173" s="373"/>
      <c r="B173" s="380" t="s">
        <v>1839</v>
      </c>
      <c r="C173" s="380" t="s">
        <v>1840</v>
      </c>
      <c r="D173" s="374" t="s">
        <v>27</v>
      </c>
      <c r="E173" s="375" t="s">
        <v>3058</v>
      </c>
      <c r="F173" s="380" t="s">
        <v>1018</v>
      </c>
      <c r="G173" s="380" t="s">
        <v>1737</v>
      </c>
      <c r="H173" s="380" t="s">
        <v>1842</v>
      </c>
      <c r="I173" s="380" t="s">
        <v>1843</v>
      </c>
      <c r="J173" s="374"/>
      <c r="K173" s="378"/>
      <c r="L173" s="374"/>
      <c r="M173" s="379"/>
      <c r="N173" s="379"/>
      <c r="O173" s="379"/>
      <c r="P173" s="379"/>
      <c r="Q173" s="379"/>
      <c r="R173" s="379"/>
      <c r="S173" s="379"/>
      <c r="T173" s="379"/>
      <c r="U173" s="379"/>
      <c r="V173" s="379"/>
      <c r="W173" s="379"/>
      <c r="X173" s="379"/>
      <c r="Y173" s="379"/>
      <c r="Z173" s="379"/>
      <c r="AA173" s="379"/>
      <c r="AB173" s="379"/>
      <c r="AC173" s="379"/>
      <c r="AD173" s="379"/>
    </row>
    <row r="174" ht="21.0" customHeight="1">
      <c r="A174" s="373"/>
      <c r="B174" s="380" t="s">
        <v>1846</v>
      </c>
      <c r="C174" s="380" t="s">
        <v>1847</v>
      </c>
      <c r="D174" s="374" t="s">
        <v>27</v>
      </c>
      <c r="E174" s="375" t="s">
        <v>3058</v>
      </c>
      <c r="F174" s="380" t="s">
        <v>1027</v>
      </c>
      <c r="G174" s="380" t="s">
        <v>1737</v>
      </c>
      <c r="H174" s="376" t="s">
        <v>1794</v>
      </c>
      <c r="I174" s="380" t="s">
        <v>1117</v>
      </c>
      <c r="J174" s="374"/>
      <c r="K174" s="378"/>
      <c r="L174" s="374"/>
      <c r="M174" s="379"/>
      <c r="N174" s="379"/>
      <c r="O174" s="379"/>
      <c r="P174" s="379"/>
      <c r="Q174" s="379"/>
      <c r="R174" s="379"/>
      <c r="S174" s="379"/>
      <c r="T174" s="379"/>
      <c r="U174" s="379"/>
      <c r="V174" s="379"/>
      <c r="W174" s="379"/>
      <c r="X174" s="379"/>
      <c r="Y174" s="379"/>
      <c r="Z174" s="379"/>
      <c r="AA174" s="379"/>
      <c r="AB174" s="379"/>
      <c r="AC174" s="379"/>
      <c r="AD174" s="379"/>
    </row>
    <row r="175" ht="24.0" customHeight="1">
      <c r="A175" s="396">
        <v>23.0</v>
      </c>
      <c r="B175" s="279" t="s">
        <v>1826</v>
      </c>
      <c r="C175" s="279" t="s">
        <v>1827</v>
      </c>
      <c r="D175" s="298" t="s">
        <v>465</v>
      </c>
      <c r="E175" s="433" t="s">
        <v>2934</v>
      </c>
      <c r="F175" s="279" t="s">
        <v>1018</v>
      </c>
      <c r="G175" s="279" t="s">
        <v>1737</v>
      </c>
      <c r="H175" s="285" t="s">
        <v>1829</v>
      </c>
      <c r="I175" s="279" t="s">
        <v>1830</v>
      </c>
      <c r="J175" s="409"/>
      <c r="K175" s="389"/>
      <c r="L175" s="389"/>
      <c r="M175" s="369"/>
      <c r="N175" s="369"/>
      <c r="O175" s="369"/>
      <c r="P175" s="369"/>
      <c r="Q175" s="369"/>
      <c r="R175" s="369"/>
      <c r="S175" s="369"/>
      <c r="T175" s="369"/>
      <c r="U175" s="369"/>
      <c r="V175" s="369"/>
      <c r="W175" s="369"/>
      <c r="X175" s="369"/>
      <c r="Y175" s="369"/>
      <c r="Z175" s="369"/>
      <c r="AA175" s="369"/>
      <c r="AB175" s="369"/>
      <c r="AC175" s="369"/>
      <c r="AD175" s="369"/>
    </row>
    <row r="176" ht="24.0" customHeight="1">
      <c r="A176" s="373"/>
      <c r="B176" s="380" t="s">
        <v>1850</v>
      </c>
      <c r="C176" s="380" t="s">
        <v>1851</v>
      </c>
      <c r="D176" s="374" t="s">
        <v>465</v>
      </c>
      <c r="E176" s="375" t="s">
        <v>2093</v>
      </c>
      <c r="F176" s="380" t="s">
        <v>1027</v>
      </c>
      <c r="G176" s="380" t="s">
        <v>1737</v>
      </c>
      <c r="H176" s="380" t="s">
        <v>1853</v>
      </c>
      <c r="I176" s="380" t="s">
        <v>1854</v>
      </c>
      <c r="J176" s="430"/>
      <c r="K176" s="374"/>
      <c r="L176" s="374"/>
      <c r="M176" s="379"/>
      <c r="N176" s="379"/>
      <c r="O176" s="379"/>
      <c r="P176" s="379"/>
      <c r="Q176" s="379"/>
      <c r="R176" s="379"/>
      <c r="S176" s="379"/>
      <c r="T176" s="379"/>
      <c r="U176" s="379"/>
      <c r="V176" s="379"/>
      <c r="W176" s="379"/>
      <c r="X176" s="379"/>
      <c r="Y176" s="379"/>
      <c r="Z176" s="379"/>
      <c r="AA176" s="379"/>
      <c r="AB176" s="379"/>
      <c r="AC176" s="379"/>
      <c r="AD176" s="379"/>
    </row>
    <row r="177" ht="23.25" customHeight="1">
      <c r="A177" s="373"/>
      <c r="B177" s="380" t="s">
        <v>1878</v>
      </c>
      <c r="C177" s="380" t="s">
        <v>1879</v>
      </c>
      <c r="D177" s="374" t="s">
        <v>465</v>
      </c>
      <c r="E177" s="375" t="s">
        <v>2093</v>
      </c>
      <c r="F177" s="380" t="s">
        <v>1027</v>
      </c>
      <c r="G177" s="380" t="s">
        <v>1737</v>
      </c>
      <c r="H177" s="380" t="s">
        <v>1853</v>
      </c>
      <c r="I177" s="380" t="s">
        <v>1880</v>
      </c>
      <c r="J177" s="430"/>
      <c r="K177" s="374"/>
      <c r="L177" s="374"/>
      <c r="M177" s="379"/>
      <c r="N177" s="379"/>
      <c r="O177" s="379"/>
      <c r="P177" s="379"/>
      <c r="Q177" s="379"/>
      <c r="R177" s="379"/>
      <c r="S177" s="379"/>
      <c r="T177" s="379"/>
      <c r="U177" s="379"/>
      <c r="V177" s="379"/>
      <c r="W177" s="379"/>
      <c r="X177" s="379"/>
      <c r="Y177" s="379"/>
      <c r="Z177" s="379"/>
      <c r="AA177" s="379"/>
      <c r="AB177" s="379"/>
      <c r="AC177" s="379"/>
      <c r="AD177" s="379"/>
    </row>
    <row r="178" ht="21.75" customHeight="1">
      <c r="A178" s="373"/>
      <c r="B178" s="380" t="s">
        <v>1833</v>
      </c>
      <c r="C178" s="380" t="s">
        <v>1834</v>
      </c>
      <c r="D178" s="374" t="s">
        <v>1039</v>
      </c>
      <c r="E178" s="375" t="s">
        <v>2623</v>
      </c>
      <c r="F178" s="380" t="s">
        <v>1027</v>
      </c>
      <c r="G178" s="380" t="s">
        <v>1737</v>
      </c>
      <c r="H178" s="376" t="s">
        <v>1835</v>
      </c>
      <c r="I178" s="380" t="s">
        <v>1836</v>
      </c>
      <c r="J178" s="374"/>
      <c r="K178" s="374"/>
      <c r="L178" s="374"/>
      <c r="M178" s="379"/>
      <c r="N178" s="379"/>
      <c r="O178" s="379"/>
      <c r="P178" s="379"/>
      <c r="Q178" s="379"/>
      <c r="R178" s="379"/>
      <c r="S178" s="379"/>
      <c r="T178" s="379"/>
      <c r="U178" s="379"/>
      <c r="V178" s="379"/>
      <c r="W178" s="379"/>
      <c r="X178" s="379"/>
      <c r="Y178" s="379"/>
      <c r="Z178" s="379"/>
      <c r="AA178" s="379"/>
      <c r="AB178" s="379"/>
      <c r="AC178" s="379"/>
      <c r="AD178" s="379"/>
    </row>
    <row r="179" ht="21.75" customHeight="1">
      <c r="A179" s="388"/>
      <c r="B179" s="285" t="s">
        <v>1742</v>
      </c>
      <c r="C179" s="340" t="s">
        <v>1743</v>
      </c>
      <c r="D179" s="298" t="s">
        <v>1039</v>
      </c>
      <c r="E179" s="368" t="s">
        <v>1429</v>
      </c>
      <c r="F179" s="285" t="s">
        <v>1027</v>
      </c>
      <c r="G179" s="285" t="s">
        <v>1737</v>
      </c>
      <c r="H179" s="285" t="s">
        <v>1745</v>
      </c>
      <c r="I179" s="285" t="s">
        <v>1746</v>
      </c>
      <c r="J179" s="285" t="s">
        <v>1747</v>
      </c>
      <c r="K179" s="298"/>
      <c r="L179" s="285" t="s">
        <v>1748</v>
      </c>
      <c r="M179" s="369"/>
      <c r="N179" s="369"/>
      <c r="O179" s="369"/>
      <c r="P179" s="369"/>
      <c r="Q179" s="369"/>
      <c r="R179" s="369"/>
      <c r="S179" s="369"/>
      <c r="T179" s="369"/>
      <c r="U179" s="369"/>
      <c r="V179" s="369"/>
      <c r="W179" s="369"/>
      <c r="X179" s="369"/>
      <c r="Y179" s="369"/>
      <c r="Z179" s="369"/>
      <c r="AA179" s="369"/>
      <c r="AB179" s="369"/>
      <c r="AC179" s="369"/>
      <c r="AD179" s="369"/>
    </row>
    <row r="180" ht="24.75" customHeight="1">
      <c r="A180" s="388"/>
      <c r="B180" s="279" t="s">
        <v>1779</v>
      </c>
      <c r="C180" s="279" t="s">
        <v>1780</v>
      </c>
      <c r="D180" s="298" t="s">
        <v>1039</v>
      </c>
      <c r="E180" s="368" t="s">
        <v>1429</v>
      </c>
      <c r="F180" s="279" t="s">
        <v>1027</v>
      </c>
      <c r="G180" s="279" t="s">
        <v>1737</v>
      </c>
      <c r="H180" s="279" t="s">
        <v>1745</v>
      </c>
      <c r="I180" s="279" t="s">
        <v>1781</v>
      </c>
      <c r="J180" s="285"/>
      <c r="K180" s="298"/>
      <c r="L180" s="285"/>
      <c r="M180" s="369"/>
      <c r="N180" s="369"/>
      <c r="O180" s="369"/>
      <c r="P180" s="369"/>
      <c r="Q180" s="369"/>
      <c r="R180" s="369"/>
      <c r="S180" s="369"/>
      <c r="T180" s="369"/>
      <c r="U180" s="369"/>
      <c r="V180" s="369"/>
      <c r="W180" s="369"/>
      <c r="X180" s="369"/>
      <c r="Y180" s="369"/>
      <c r="Z180" s="369"/>
      <c r="AA180" s="369"/>
      <c r="AB180" s="369"/>
      <c r="AC180" s="369"/>
      <c r="AD180" s="369"/>
    </row>
    <row r="181" ht="23.25" customHeight="1">
      <c r="A181" s="388"/>
      <c r="B181" s="285" t="s">
        <v>1806</v>
      </c>
      <c r="C181" s="285" t="s">
        <v>1807</v>
      </c>
      <c r="D181" s="298" t="s">
        <v>1039</v>
      </c>
      <c r="E181" s="390" t="s">
        <v>1808</v>
      </c>
      <c r="F181" s="285" t="s">
        <v>1018</v>
      </c>
      <c r="G181" s="285" t="s">
        <v>1737</v>
      </c>
      <c r="H181" s="285" t="s">
        <v>1752</v>
      </c>
      <c r="I181" s="285" t="s">
        <v>1809</v>
      </c>
      <c r="J181" s="285" t="s">
        <v>1810</v>
      </c>
      <c r="K181" s="298"/>
      <c r="L181" s="285" t="s">
        <v>1811</v>
      </c>
      <c r="M181" s="369"/>
      <c r="N181" s="369"/>
      <c r="O181" s="369"/>
      <c r="P181" s="369"/>
      <c r="Q181" s="369"/>
      <c r="R181" s="369"/>
      <c r="S181" s="369"/>
      <c r="T181" s="369"/>
      <c r="U181" s="369"/>
      <c r="V181" s="369"/>
      <c r="W181" s="369"/>
      <c r="X181" s="369"/>
      <c r="Y181" s="369"/>
      <c r="Z181" s="369"/>
      <c r="AA181" s="369"/>
      <c r="AB181" s="369"/>
      <c r="AC181" s="369"/>
      <c r="AD181" s="369"/>
    </row>
    <row r="182" ht="21.75" customHeight="1">
      <c r="A182" s="396">
        <v>37.0</v>
      </c>
      <c r="B182" s="279" t="s">
        <v>1857</v>
      </c>
      <c r="C182" s="279" t="s">
        <v>1858</v>
      </c>
      <c r="D182" s="294" t="s">
        <v>1736</v>
      </c>
      <c r="E182" s="433" t="s">
        <v>1859</v>
      </c>
      <c r="F182" s="279" t="s">
        <v>1018</v>
      </c>
      <c r="G182" s="279" t="s">
        <v>1737</v>
      </c>
      <c r="H182" s="279" t="s">
        <v>1860</v>
      </c>
      <c r="I182" s="279" t="s">
        <v>1861</v>
      </c>
      <c r="J182" s="279" t="s">
        <v>1862</v>
      </c>
      <c r="K182" s="409"/>
      <c r="L182" s="389"/>
      <c r="M182" s="369"/>
      <c r="N182" s="369"/>
      <c r="O182" s="369"/>
      <c r="P182" s="369"/>
      <c r="Q182" s="369"/>
      <c r="R182" s="369"/>
      <c r="S182" s="369"/>
      <c r="T182" s="369"/>
      <c r="U182" s="369"/>
      <c r="V182" s="369"/>
      <c r="W182" s="369"/>
      <c r="X182" s="369"/>
      <c r="Y182" s="369"/>
      <c r="Z182" s="369"/>
      <c r="AA182" s="369"/>
      <c r="AB182" s="369"/>
      <c r="AC182" s="369"/>
      <c r="AD182" s="369"/>
    </row>
    <row r="183" ht="21.75" customHeight="1">
      <c r="A183" s="393">
        <v>38.0</v>
      </c>
      <c r="B183" s="380" t="s">
        <v>1734</v>
      </c>
      <c r="C183" s="380" t="s">
        <v>355</v>
      </c>
      <c r="D183" s="420" t="s">
        <v>1736</v>
      </c>
      <c r="E183" s="434" t="s">
        <v>3154</v>
      </c>
      <c r="F183" s="380" t="s">
        <v>1027</v>
      </c>
      <c r="G183" s="380" t="s">
        <v>1737</v>
      </c>
      <c r="H183" s="376" t="s">
        <v>1738</v>
      </c>
      <c r="I183" s="380" t="s">
        <v>1739</v>
      </c>
      <c r="J183" s="374"/>
      <c r="K183" s="413"/>
      <c r="L183" s="378"/>
      <c r="M183" s="379"/>
      <c r="N183" s="379"/>
      <c r="O183" s="379"/>
      <c r="P183" s="379"/>
      <c r="Q183" s="379"/>
      <c r="R183" s="379"/>
      <c r="S183" s="379"/>
      <c r="T183" s="379"/>
      <c r="U183" s="379"/>
      <c r="V183" s="379"/>
      <c r="W183" s="379"/>
      <c r="X183" s="379"/>
      <c r="Y183" s="379"/>
      <c r="Z183" s="379"/>
      <c r="AA183" s="379"/>
      <c r="AB183" s="379"/>
      <c r="AC183" s="379"/>
      <c r="AD183" s="379"/>
    </row>
    <row r="184" ht="23.25" customHeight="1">
      <c r="A184" s="396">
        <v>40.0</v>
      </c>
      <c r="B184" s="279" t="s">
        <v>1820</v>
      </c>
      <c r="C184" s="279" t="s">
        <v>1821</v>
      </c>
      <c r="D184" s="279" t="s">
        <v>1823</v>
      </c>
      <c r="E184" s="433" t="s">
        <v>3155</v>
      </c>
      <c r="F184" s="279" t="s">
        <v>1027</v>
      </c>
      <c r="G184" s="279" t="s">
        <v>1737</v>
      </c>
      <c r="H184" s="279" t="s">
        <v>217</v>
      </c>
      <c r="I184" s="279" t="s">
        <v>739</v>
      </c>
      <c r="J184" s="323"/>
      <c r="K184" s="409"/>
      <c r="L184" s="389"/>
      <c r="M184" s="369"/>
      <c r="N184" s="369"/>
      <c r="O184" s="369"/>
      <c r="P184" s="369"/>
      <c r="Q184" s="369"/>
      <c r="R184" s="369"/>
      <c r="S184" s="369"/>
      <c r="T184" s="369"/>
      <c r="U184" s="369"/>
      <c r="V184" s="369"/>
      <c r="W184" s="369"/>
      <c r="X184" s="369"/>
      <c r="Y184" s="369"/>
      <c r="Z184" s="369"/>
      <c r="AA184" s="369"/>
      <c r="AB184" s="369"/>
      <c r="AC184" s="369"/>
      <c r="AD184" s="369"/>
    </row>
    <row r="185" ht="23.25" customHeight="1">
      <c r="A185" s="396"/>
      <c r="B185" s="285" t="s">
        <v>1865</v>
      </c>
      <c r="C185" s="340" t="s">
        <v>1866</v>
      </c>
      <c r="D185" s="389" t="s">
        <v>1268</v>
      </c>
      <c r="E185" s="390" t="s">
        <v>1867</v>
      </c>
      <c r="F185" s="285" t="s">
        <v>1018</v>
      </c>
      <c r="G185" s="279" t="s">
        <v>1737</v>
      </c>
      <c r="H185" s="295" t="s">
        <v>1868</v>
      </c>
      <c r="I185" s="285" t="s">
        <v>1869</v>
      </c>
      <c r="J185" s="285" t="s">
        <v>3022</v>
      </c>
      <c r="K185" s="298"/>
      <c r="L185" s="298"/>
      <c r="M185" s="369"/>
      <c r="N185" s="369"/>
      <c r="O185" s="369"/>
      <c r="P185" s="369"/>
      <c r="Q185" s="369"/>
      <c r="R185" s="369"/>
      <c r="S185" s="369"/>
      <c r="T185" s="369"/>
      <c r="U185" s="369"/>
      <c r="V185" s="369"/>
      <c r="W185" s="369"/>
      <c r="X185" s="369"/>
      <c r="Y185" s="369"/>
      <c r="Z185" s="369"/>
      <c r="AA185" s="369"/>
      <c r="AB185" s="369"/>
      <c r="AC185" s="369"/>
      <c r="AD185" s="369"/>
    </row>
    <row r="186" ht="21.75" customHeight="1">
      <c r="A186" s="396"/>
      <c r="B186" s="285" t="s">
        <v>3023</v>
      </c>
      <c r="C186" s="340" t="s">
        <v>3024</v>
      </c>
      <c r="D186" s="389" t="s">
        <v>1268</v>
      </c>
      <c r="E186" s="390" t="s">
        <v>1867</v>
      </c>
      <c r="F186" s="285" t="s">
        <v>1018</v>
      </c>
      <c r="G186" s="279" t="s">
        <v>1737</v>
      </c>
      <c r="H186" s="435" t="s">
        <v>3025</v>
      </c>
      <c r="I186" s="285" t="s">
        <v>3026</v>
      </c>
      <c r="J186" s="285" t="s">
        <v>3027</v>
      </c>
      <c r="K186" s="298"/>
      <c r="L186" s="298"/>
      <c r="M186" s="369"/>
      <c r="N186" s="369"/>
      <c r="O186" s="369"/>
      <c r="P186" s="369"/>
      <c r="Q186" s="369"/>
      <c r="R186" s="369"/>
      <c r="S186" s="369"/>
      <c r="T186" s="369"/>
      <c r="U186" s="369"/>
      <c r="V186" s="369"/>
      <c r="W186" s="369"/>
      <c r="X186" s="369"/>
      <c r="Y186" s="369"/>
      <c r="Z186" s="369"/>
      <c r="AA186" s="369"/>
      <c r="AB186" s="369"/>
      <c r="AC186" s="369"/>
      <c r="AD186" s="369"/>
    </row>
    <row r="187" ht="24.0" customHeight="1">
      <c r="A187" s="396">
        <v>46.0</v>
      </c>
      <c r="B187" s="285" t="s">
        <v>1764</v>
      </c>
      <c r="C187" s="340" t="s">
        <v>1765</v>
      </c>
      <c r="D187" s="389" t="s">
        <v>1268</v>
      </c>
      <c r="E187" s="390" t="s">
        <v>1766</v>
      </c>
      <c r="F187" s="285" t="s">
        <v>1018</v>
      </c>
      <c r="G187" s="279" t="s">
        <v>1737</v>
      </c>
      <c r="H187" s="295" t="s">
        <v>1767</v>
      </c>
      <c r="I187" s="285" t="s">
        <v>1768</v>
      </c>
      <c r="J187" s="279" t="s">
        <v>1769</v>
      </c>
      <c r="K187" s="298"/>
      <c r="L187" s="298"/>
      <c r="M187" s="369"/>
      <c r="N187" s="369"/>
      <c r="O187" s="369"/>
      <c r="P187" s="369"/>
      <c r="Q187" s="369"/>
      <c r="R187" s="369"/>
      <c r="S187" s="369"/>
      <c r="T187" s="369"/>
      <c r="U187" s="369"/>
      <c r="V187" s="369"/>
      <c r="W187" s="369"/>
      <c r="X187" s="369"/>
      <c r="Y187" s="369"/>
      <c r="Z187" s="369"/>
      <c r="AA187" s="369"/>
      <c r="AB187" s="369"/>
      <c r="AC187" s="369"/>
      <c r="AD187" s="369"/>
    </row>
    <row r="188" ht="24.75" customHeight="1">
      <c r="A188" s="393">
        <v>48.0</v>
      </c>
      <c r="B188" s="376" t="s">
        <v>1755</v>
      </c>
      <c r="C188" s="376" t="s">
        <v>1756</v>
      </c>
      <c r="D188" s="436" t="s">
        <v>1758</v>
      </c>
      <c r="E188" s="375" t="s">
        <v>1757</v>
      </c>
      <c r="F188" s="376" t="s">
        <v>1027</v>
      </c>
      <c r="G188" s="380" t="s">
        <v>1737</v>
      </c>
      <c r="H188" s="376" t="s">
        <v>1759</v>
      </c>
      <c r="I188" s="376" t="s">
        <v>1760</v>
      </c>
      <c r="J188" s="376" t="s">
        <v>1761</v>
      </c>
      <c r="K188" s="374"/>
      <c r="L188" s="374"/>
      <c r="M188" s="379"/>
      <c r="N188" s="379"/>
      <c r="O188" s="379"/>
      <c r="P188" s="379"/>
      <c r="Q188" s="379"/>
      <c r="R188" s="379"/>
      <c r="S188" s="379"/>
      <c r="T188" s="379"/>
      <c r="U188" s="379"/>
      <c r="V188" s="379"/>
      <c r="W188" s="379"/>
      <c r="X188" s="379"/>
      <c r="Y188" s="379"/>
      <c r="Z188" s="379"/>
      <c r="AA188" s="379"/>
      <c r="AB188" s="379"/>
      <c r="AC188" s="379"/>
      <c r="AD188" s="379"/>
    </row>
    <row r="189" ht="24.75" customHeight="1">
      <c r="A189" s="437"/>
      <c r="B189" s="438" t="s">
        <v>1891</v>
      </c>
      <c r="C189" s="439" t="s">
        <v>1892</v>
      </c>
      <c r="D189" s="374" t="s">
        <v>54</v>
      </c>
      <c r="E189" s="375" t="s">
        <v>3042</v>
      </c>
      <c r="F189" s="440" t="s">
        <v>41</v>
      </c>
      <c r="G189" s="151" t="s">
        <v>3156</v>
      </c>
      <c r="H189" s="151" t="s">
        <v>1893</v>
      </c>
      <c r="I189" s="158" t="s">
        <v>1894</v>
      </c>
      <c r="J189" s="107" t="s">
        <v>1895</v>
      </c>
      <c r="K189" s="441"/>
      <c r="L189" s="441"/>
      <c r="M189" s="441"/>
      <c r="N189" s="441"/>
      <c r="O189" s="441"/>
      <c r="P189" s="441"/>
      <c r="Q189" s="441"/>
      <c r="R189" s="441"/>
      <c r="S189" s="441"/>
      <c r="T189" s="441"/>
      <c r="U189" s="441"/>
      <c r="V189" s="441"/>
      <c r="W189" s="441"/>
      <c r="X189" s="441"/>
      <c r="Y189" s="441"/>
      <c r="Z189" s="441"/>
      <c r="AA189" s="441"/>
      <c r="AB189" s="441"/>
      <c r="AC189" s="441"/>
      <c r="AD189" s="441"/>
    </row>
    <row r="190" ht="24.75" customHeight="1">
      <c r="A190" s="442"/>
      <c r="B190" s="443" t="s">
        <v>1957</v>
      </c>
      <c r="C190" s="443" t="s">
        <v>158</v>
      </c>
      <c r="D190" s="444" t="s">
        <v>54</v>
      </c>
      <c r="E190" s="445" t="s">
        <v>1958</v>
      </c>
      <c r="F190" s="446" t="s">
        <v>41</v>
      </c>
      <c r="G190" s="280" t="s">
        <v>3156</v>
      </c>
      <c r="H190" s="280" t="s">
        <v>1959</v>
      </c>
      <c r="I190" s="447" t="s">
        <v>1960</v>
      </c>
      <c r="J190" s="448" t="s">
        <v>1961</v>
      </c>
      <c r="K190" s="165"/>
      <c r="L190" s="449"/>
      <c r="M190" s="450"/>
      <c r="N190" s="165"/>
      <c r="O190" s="165"/>
      <c r="P190" s="165"/>
      <c r="Q190" s="451"/>
      <c r="R190" s="451"/>
      <c r="S190" s="451"/>
      <c r="T190" s="451"/>
      <c r="U190" s="452"/>
      <c r="V190" s="452"/>
      <c r="W190" s="452"/>
      <c r="X190" s="452"/>
      <c r="Y190" s="452"/>
      <c r="Z190" s="452"/>
      <c r="AA190" s="452"/>
      <c r="AB190" s="452"/>
      <c r="AC190" s="452"/>
      <c r="AD190" s="452"/>
    </row>
    <row r="191" ht="24.75" customHeight="1">
      <c r="A191" s="442"/>
      <c r="B191" s="443" t="s">
        <v>1910</v>
      </c>
      <c r="C191" s="453" t="s">
        <v>1911</v>
      </c>
      <c r="D191" s="298" t="s">
        <v>27</v>
      </c>
      <c r="E191" s="432" t="s">
        <v>3045</v>
      </c>
      <c r="F191" s="446" t="s">
        <v>41</v>
      </c>
      <c r="G191" s="280" t="s">
        <v>3156</v>
      </c>
      <c r="H191" s="280" t="s">
        <v>1913</v>
      </c>
      <c r="I191" s="454" t="s">
        <v>1914</v>
      </c>
      <c r="J191" s="455" t="s">
        <v>1915</v>
      </c>
      <c r="K191" s="165"/>
      <c r="L191" s="449"/>
      <c r="M191" s="450"/>
      <c r="N191" s="165"/>
      <c r="O191" s="165"/>
      <c r="P191" s="165"/>
      <c r="Q191" s="451"/>
      <c r="R191" s="451"/>
      <c r="S191" s="451"/>
      <c r="T191" s="451"/>
      <c r="U191" s="452"/>
      <c r="V191" s="452"/>
      <c r="W191" s="452"/>
      <c r="X191" s="452"/>
      <c r="Y191" s="452"/>
      <c r="Z191" s="452"/>
      <c r="AA191" s="452"/>
      <c r="AB191" s="452"/>
      <c r="AC191" s="452"/>
      <c r="AD191" s="452"/>
    </row>
    <row r="192" ht="24.75" customHeight="1">
      <c r="A192" s="373"/>
      <c r="B192" s="380" t="s">
        <v>1904</v>
      </c>
      <c r="C192" s="380" t="s">
        <v>1905</v>
      </c>
      <c r="D192" s="374" t="s">
        <v>27</v>
      </c>
      <c r="E192" s="375" t="s">
        <v>3047</v>
      </c>
      <c r="F192" s="380" t="s">
        <v>1018</v>
      </c>
      <c r="G192" s="380" t="s">
        <v>3156</v>
      </c>
      <c r="H192" s="380" t="s">
        <v>1906</v>
      </c>
      <c r="I192" s="380" t="s">
        <v>1907</v>
      </c>
      <c r="J192" s="374"/>
      <c r="K192" s="374"/>
      <c r="L192" s="374"/>
      <c r="M192" s="379"/>
      <c r="N192" s="379"/>
      <c r="O192" s="379"/>
      <c r="P192" s="379"/>
      <c r="Q192" s="379"/>
      <c r="R192" s="379"/>
      <c r="S192" s="379"/>
      <c r="T192" s="379"/>
      <c r="U192" s="379"/>
      <c r="V192" s="379"/>
      <c r="W192" s="379"/>
      <c r="X192" s="379"/>
      <c r="Y192" s="379"/>
      <c r="Z192" s="379"/>
      <c r="AA192" s="379"/>
      <c r="AB192" s="379"/>
      <c r="AC192" s="379"/>
      <c r="AD192" s="379"/>
    </row>
    <row r="193" ht="25.5" customHeight="1">
      <c r="A193" s="442"/>
      <c r="B193" s="456" t="s">
        <v>1917</v>
      </c>
      <c r="C193" s="456" t="s">
        <v>1918</v>
      </c>
      <c r="D193" s="298" t="s">
        <v>27</v>
      </c>
      <c r="E193" s="390" t="s">
        <v>3049</v>
      </c>
      <c r="F193" s="446" t="s">
        <v>89</v>
      </c>
      <c r="G193" s="280" t="s">
        <v>3156</v>
      </c>
      <c r="H193" s="280" t="s">
        <v>1919</v>
      </c>
      <c r="I193" s="454" t="s">
        <v>1920</v>
      </c>
      <c r="J193" s="455" t="s">
        <v>1921</v>
      </c>
      <c r="K193" s="165"/>
      <c r="L193" s="449"/>
      <c r="M193" s="450"/>
      <c r="N193" s="165"/>
      <c r="O193" s="165"/>
      <c r="P193" s="165"/>
      <c r="Q193" s="451"/>
      <c r="R193" s="451"/>
      <c r="S193" s="451"/>
      <c r="T193" s="451"/>
      <c r="U193" s="452"/>
      <c r="V193" s="452"/>
      <c r="W193" s="452"/>
      <c r="X193" s="452"/>
      <c r="Y193" s="452"/>
      <c r="Z193" s="452"/>
      <c r="AA193" s="452"/>
      <c r="AB193" s="452"/>
      <c r="AC193" s="452"/>
      <c r="AD193" s="452"/>
    </row>
    <row r="194" ht="25.5" customHeight="1">
      <c r="A194" s="442"/>
      <c r="B194" s="443" t="s">
        <v>1952</v>
      </c>
      <c r="C194" s="443" t="s">
        <v>476</v>
      </c>
      <c r="D194" s="446" t="s">
        <v>183</v>
      </c>
      <c r="E194" s="446" t="s">
        <v>182</v>
      </c>
      <c r="F194" s="446" t="s">
        <v>41</v>
      </c>
      <c r="G194" s="280" t="s">
        <v>3156</v>
      </c>
      <c r="H194" s="280" t="s">
        <v>1953</v>
      </c>
      <c r="I194" s="454" t="s">
        <v>1954</v>
      </c>
      <c r="J194" s="448" t="s">
        <v>1955</v>
      </c>
      <c r="K194" s="165"/>
      <c r="L194" s="449"/>
      <c r="M194" s="450"/>
      <c r="N194" s="165"/>
      <c r="O194" s="165"/>
      <c r="P194" s="165"/>
      <c r="Q194" s="451"/>
      <c r="R194" s="451"/>
      <c r="S194" s="451"/>
      <c r="T194" s="451"/>
      <c r="U194" s="452"/>
      <c r="V194" s="452"/>
      <c r="W194" s="452"/>
      <c r="X194" s="452"/>
      <c r="Y194" s="452"/>
      <c r="Z194" s="452"/>
      <c r="AA194" s="452"/>
      <c r="AB194" s="452"/>
      <c r="AC194" s="452"/>
      <c r="AD194" s="452"/>
    </row>
    <row r="195" ht="25.5" customHeight="1">
      <c r="A195" s="393">
        <v>39.0</v>
      </c>
      <c r="B195" s="380" t="s">
        <v>3157</v>
      </c>
      <c r="C195" s="380" t="s">
        <v>1884</v>
      </c>
      <c r="D195" s="420" t="s">
        <v>1736</v>
      </c>
      <c r="E195" s="434" t="s">
        <v>1885</v>
      </c>
      <c r="F195" s="380" t="s">
        <v>1018</v>
      </c>
      <c r="G195" s="380" t="s">
        <v>3156</v>
      </c>
      <c r="H195" s="376" t="s">
        <v>1887</v>
      </c>
      <c r="I195" s="380" t="s">
        <v>1888</v>
      </c>
      <c r="J195" s="455" t="s">
        <v>1889</v>
      </c>
      <c r="K195" s="413"/>
      <c r="L195" s="378"/>
      <c r="M195" s="379"/>
      <c r="N195" s="379"/>
      <c r="O195" s="379"/>
      <c r="P195" s="379"/>
      <c r="Q195" s="379"/>
      <c r="R195" s="379"/>
      <c r="S195" s="379"/>
      <c r="T195" s="379"/>
      <c r="U195" s="379"/>
      <c r="V195" s="379"/>
      <c r="W195" s="379"/>
      <c r="X195" s="379"/>
      <c r="Y195" s="379"/>
      <c r="Z195" s="379"/>
      <c r="AA195" s="379"/>
      <c r="AB195" s="379"/>
      <c r="AC195" s="379"/>
      <c r="AD195" s="379"/>
    </row>
    <row r="196" ht="28.5" customHeight="1">
      <c r="A196" s="442">
        <f t="shared" ref="A196:A197" si="1">A195+1</f>
        <v>40</v>
      </c>
      <c r="B196" s="443" t="s">
        <v>1937</v>
      </c>
      <c r="C196" s="443" t="s">
        <v>1938</v>
      </c>
      <c r="D196" s="446" t="s">
        <v>1268</v>
      </c>
      <c r="E196" s="457" t="s">
        <v>1939</v>
      </c>
      <c r="F196" s="446" t="s">
        <v>89</v>
      </c>
      <c r="G196" s="280" t="s">
        <v>3156</v>
      </c>
      <c r="H196" s="280" t="s">
        <v>1940</v>
      </c>
      <c r="I196" s="454" t="s">
        <v>1941</v>
      </c>
      <c r="J196" s="455" t="s">
        <v>1942</v>
      </c>
      <c r="K196" s="165"/>
      <c r="L196" s="449"/>
      <c r="M196" s="450"/>
      <c r="N196" s="165"/>
      <c r="O196" s="165"/>
      <c r="P196" s="165"/>
      <c r="Q196" s="451"/>
      <c r="R196" s="451"/>
      <c r="S196" s="451"/>
      <c r="T196" s="451"/>
      <c r="U196" s="452"/>
      <c r="V196" s="452"/>
      <c r="W196" s="452"/>
      <c r="X196" s="452"/>
      <c r="Y196" s="452"/>
      <c r="Z196" s="452"/>
      <c r="AA196" s="452"/>
      <c r="AB196" s="452"/>
      <c r="AC196" s="452"/>
      <c r="AD196" s="452"/>
    </row>
    <row r="197" ht="28.5" customHeight="1">
      <c r="A197" s="442">
        <f t="shared" si="1"/>
        <v>41</v>
      </c>
      <c r="B197" s="456" t="s">
        <v>1897</v>
      </c>
      <c r="C197" s="456" t="s">
        <v>1898</v>
      </c>
      <c r="D197" s="458" t="s">
        <v>465</v>
      </c>
      <c r="E197" s="459" t="s">
        <v>1899</v>
      </c>
      <c r="F197" s="460" t="s">
        <v>89</v>
      </c>
      <c r="G197" s="280" t="s">
        <v>3156</v>
      </c>
      <c r="H197" s="280" t="s">
        <v>1900</v>
      </c>
      <c r="I197" s="166" t="s">
        <v>1901</v>
      </c>
      <c r="J197" s="461" t="s">
        <v>1902</v>
      </c>
      <c r="K197" s="165"/>
      <c r="L197" s="449"/>
      <c r="M197" s="450"/>
      <c r="N197" s="165"/>
      <c r="O197" s="165"/>
      <c r="P197" s="165"/>
      <c r="Q197" s="451"/>
      <c r="R197" s="451"/>
      <c r="S197" s="451"/>
      <c r="T197" s="451"/>
      <c r="U197" s="452"/>
      <c r="V197" s="452"/>
      <c r="W197" s="452"/>
      <c r="X197" s="452"/>
      <c r="Y197" s="452"/>
      <c r="Z197" s="452"/>
      <c r="AA197" s="452"/>
      <c r="AB197" s="452"/>
      <c r="AC197" s="452"/>
      <c r="AD197" s="452"/>
    </row>
    <row r="198" ht="26.25" customHeight="1">
      <c r="A198" s="462">
        <v>52.0</v>
      </c>
      <c r="B198" s="463" t="s">
        <v>1923</v>
      </c>
      <c r="C198" s="463" t="s">
        <v>1924</v>
      </c>
      <c r="D198" s="464" t="s">
        <v>1926</v>
      </c>
      <c r="E198" s="465" t="s">
        <v>1925</v>
      </c>
      <c r="F198" s="466" t="s">
        <v>41</v>
      </c>
      <c r="G198" s="467" t="s">
        <v>3156</v>
      </c>
      <c r="H198" s="467" t="s">
        <v>1927</v>
      </c>
      <c r="I198" s="468" t="s">
        <v>750</v>
      </c>
      <c r="J198" s="468" t="s">
        <v>1928</v>
      </c>
      <c r="K198" s="469"/>
      <c r="L198" s="469"/>
      <c r="M198" s="470"/>
      <c r="N198" s="469"/>
      <c r="O198" s="469"/>
      <c r="P198" s="469"/>
      <c r="Q198" s="469"/>
      <c r="R198" s="469"/>
      <c r="S198" s="469"/>
      <c r="T198" s="469"/>
      <c r="U198" s="470"/>
      <c r="V198" s="470"/>
      <c r="W198" s="470"/>
      <c r="X198" s="470"/>
      <c r="Y198" s="470"/>
      <c r="Z198" s="470"/>
      <c r="AA198" s="470"/>
      <c r="AB198" s="470"/>
      <c r="AC198" s="470"/>
      <c r="AD198" s="470"/>
    </row>
    <row r="199" ht="28.5" customHeight="1">
      <c r="A199" s="442">
        <f>A198+1</f>
        <v>53</v>
      </c>
      <c r="B199" s="443" t="s">
        <v>1944</v>
      </c>
      <c r="C199" s="443" t="s">
        <v>1945</v>
      </c>
      <c r="D199" s="446" t="s">
        <v>1947</v>
      </c>
      <c r="E199" s="457" t="s">
        <v>1946</v>
      </c>
      <c r="F199" s="446" t="s">
        <v>41</v>
      </c>
      <c r="G199" s="280" t="s">
        <v>3156</v>
      </c>
      <c r="H199" s="280" t="s">
        <v>1948</v>
      </c>
      <c r="I199" s="454" t="s">
        <v>1949</v>
      </c>
      <c r="J199" s="455" t="s">
        <v>1950</v>
      </c>
      <c r="K199" s="165"/>
      <c r="L199" s="449"/>
      <c r="M199" s="450"/>
      <c r="N199" s="165"/>
      <c r="O199" s="165"/>
      <c r="P199" s="165"/>
      <c r="Q199" s="451"/>
      <c r="R199" s="451"/>
      <c r="S199" s="451"/>
      <c r="T199" s="451"/>
      <c r="U199" s="452"/>
      <c r="V199" s="452"/>
      <c r="W199" s="452"/>
      <c r="X199" s="452"/>
      <c r="Y199" s="452"/>
      <c r="Z199" s="452"/>
      <c r="AA199" s="452"/>
      <c r="AB199" s="452"/>
      <c r="AC199" s="452"/>
      <c r="AD199" s="452"/>
    </row>
    <row r="200" ht="28.5" customHeight="1">
      <c r="A200" s="471">
        <v>54.0</v>
      </c>
      <c r="B200" s="472" t="s">
        <v>1930</v>
      </c>
      <c r="C200" s="472" t="s">
        <v>1931</v>
      </c>
      <c r="D200" s="473" t="s">
        <v>1106</v>
      </c>
      <c r="E200" s="474" t="s">
        <v>1932</v>
      </c>
      <c r="F200" s="473" t="s">
        <v>89</v>
      </c>
      <c r="G200" s="418" t="s">
        <v>3156</v>
      </c>
      <c r="H200" s="418" t="s">
        <v>1933</v>
      </c>
      <c r="I200" s="475" t="s">
        <v>1934</v>
      </c>
      <c r="J200" s="475" t="s">
        <v>1935</v>
      </c>
      <c r="K200" s="476"/>
      <c r="L200" s="477"/>
      <c r="M200" s="478"/>
      <c r="N200" s="476"/>
      <c r="O200" s="476"/>
      <c r="P200" s="476"/>
      <c r="Q200" s="479"/>
      <c r="R200" s="479"/>
      <c r="S200" s="479"/>
      <c r="T200" s="479"/>
      <c r="U200" s="480"/>
      <c r="V200" s="480"/>
      <c r="W200" s="480"/>
      <c r="X200" s="480"/>
      <c r="Y200" s="480"/>
      <c r="Z200" s="480"/>
      <c r="AA200" s="480"/>
      <c r="AB200" s="480"/>
      <c r="AC200" s="480"/>
      <c r="AD200" s="480"/>
    </row>
    <row r="201" ht="24.75" customHeight="1">
      <c r="A201" s="481"/>
      <c r="B201" s="294" t="s">
        <v>1978</v>
      </c>
      <c r="C201" s="294" t="s">
        <v>2607</v>
      </c>
      <c r="D201" s="298" t="s">
        <v>27</v>
      </c>
      <c r="E201" s="482" t="s">
        <v>294</v>
      </c>
      <c r="F201" s="483" t="s">
        <v>41</v>
      </c>
      <c r="G201" s="280" t="s">
        <v>1966</v>
      </c>
      <c r="H201" s="484" t="s">
        <v>2608</v>
      </c>
      <c r="I201" s="484" t="s">
        <v>1981</v>
      </c>
      <c r="J201" s="485" t="s">
        <v>1982</v>
      </c>
      <c r="K201" s="267"/>
      <c r="L201" s="486" t="s">
        <v>1983</v>
      </c>
      <c r="M201" s="369"/>
      <c r="N201" s="369" t="s">
        <v>1980</v>
      </c>
      <c r="O201" s="369" t="s">
        <v>2609</v>
      </c>
      <c r="P201" s="369"/>
      <c r="Q201" s="369"/>
      <c r="R201" s="369"/>
      <c r="S201" s="369"/>
      <c r="T201" s="369"/>
      <c r="U201" s="369"/>
      <c r="V201" s="369"/>
      <c r="W201" s="369"/>
      <c r="X201" s="369"/>
      <c r="Y201" s="369"/>
      <c r="Z201" s="369"/>
      <c r="AA201" s="369"/>
      <c r="AB201" s="369"/>
      <c r="AC201" s="369"/>
      <c r="AD201" s="369"/>
    </row>
    <row r="202" ht="28.5" customHeight="1">
      <c r="A202" s="487"/>
      <c r="B202" s="380" t="s">
        <v>2592</v>
      </c>
      <c r="C202" s="380" t="s">
        <v>2593</v>
      </c>
      <c r="D202" s="374" t="s">
        <v>27</v>
      </c>
      <c r="E202" s="488" t="s">
        <v>1017</v>
      </c>
      <c r="F202" s="489" t="s">
        <v>89</v>
      </c>
      <c r="G202" s="380" t="s">
        <v>1966</v>
      </c>
      <c r="H202" s="490" t="s">
        <v>2594</v>
      </c>
      <c r="I202" s="489" t="s">
        <v>1967</v>
      </c>
      <c r="J202" s="430" t="s">
        <v>1968</v>
      </c>
      <c r="K202" s="378"/>
      <c r="L202" s="374" t="s">
        <v>1969</v>
      </c>
      <c r="M202" s="395"/>
      <c r="N202" s="395" t="s">
        <v>1965</v>
      </c>
      <c r="O202" s="395" t="s">
        <v>2595</v>
      </c>
      <c r="P202" s="395"/>
      <c r="Q202" s="395"/>
      <c r="R202" s="395"/>
      <c r="S202" s="395"/>
      <c r="T202" s="395"/>
      <c r="U202" s="395"/>
      <c r="V202" s="395"/>
      <c r="W202" s="395"/>
      <c r="X202" s="395"/>
      <c r="Y202" s="395"/>
      <c r="Z202" s="395"/>
      <c r="AA202" s="395"/>
      <c r="AB202" s="395"/>
      <c r="AC202" s="395"/>
      <c r="AD202" s="395"/>
    </row>
    <row r="203" ht="28.5" customHeight="1">
      <c r="A203" s="487"/>
      <c r="B203" s="380" t="s">
        <v>1985</v>
      </c>
      <c r="C203" s="380" t="s">
        <v>1986</v>
      </c>
      <c r="D203" s="374" t="s">
        <v>27</v>
      </c>
      <c r="E203" s="488" t="s">
        <v>1017</v>
      </c>
      <c r="F203" s="489" t="s">
        <v>89</v>
      </c>
      <c r="G203" s="380" t="s">
        <v>1966</v>
      </c>
      <c r="H203" s="490" t="s">
        <v>2596</v>
      </c>
      <c r="I203" s="489" t="s">
        <v>1988</v>
      </c>
      <c r="J203" s="430" t="s">
        <v>1989</v>
      </c>
      <c r="K203" s="378"/>
      <c r="L203" s="374" t="s">
        <v>1990</v>
      </c>
      <c r="M203" s="395"/>
      <c r="N203" s="395" t="s">
        <v>1987</v>
      </c>
      <c r="O203" s="395" t="s">
        <v>2597</v>
      </c>
      <c r="P203" s="395"/>
      <c r="Q203" s="395"/>
      <c r="R203" s="395"/>
      <c r="S203" s="395"/>
      <c r="T203" s="395"/>
      <c r="U203" s="395"/>
      <c r="V203" s="395"/>
      <c r="W203" s="395"/>
      <c r="X203" s="395"/>
      <c r="Y203" s="395"/>
      <c r="Z203" s="395"/>
      <c r="AA203" s="395"/>
      <c r="AB203" s="395"/>
      <c r="AC203" s="395"/>
      <c r="AD203" s="395"/>
    </row>
    <row r="204" ht="28.5" customHeight="1">
      <c r="A204" s="487"/>
      <c r="B204" s="380" t="s">
        <v>2598</v>
      </c>
      <c r="C204" s="380" t="s">
        <v>2012</v>
      </c>
      <c r="D204" s="374" t="s">
        <v>465</v>
      </c>
      <c r="E204" s="488" t="s">
        <v>464</v>
      </c>
      <c r="F204" s="489" t="s">
        <v>41</v>
      </c>
      <c r="G204" s="380" t="s">
        <v>1966</v>
      </c>
      <c r="H204" s="489" t="s">
        <v>2599</v>
      </c>
      <c r="I204" s="489" t="s">
        <v>2600</v>
      </c>
      <c r="J204" s="430" t="s">
        <v>2601</v>
      </c>
      <c r="K204" s="374"/>
      <c r="L204" s="374" t="s">
        <v>2602</v>
      </c>
      <c r="M204" s="379"/>
      <c r="N204" s="379" t="s">
        <v>2603</v>
      </c>
      <c r="O204" s="379" t="s">
        <v>2604</v>
      </c>
      <c r="P204" s="379"/>
      <c r="Q204" s="379"/>
      <c r="R204" s="379"/>
      <c r="S204" s="379"/>
      <c r="T204" s="379"/>
      <c r="U204" s="379"/>
      <c r="V204" s="379"/>
      <c r="W204" s="379"/>
      <c r="X204" s="379"/>
      <c r="Y204" s="379"/>
      <c r="Z204" s="379"/>
      <c r="AA204" s="379"/>
      <c r="AB204" s="379"/>
      <c r="AC204" s="379"/>
      <c r="AD204" s="379"/>
    </row>
    <row r="205" ht="26.25" customHeight="1">
      <c r="A205" s="487"/>
      <c r="B205" s="380" t="s">
        <v>2018</v>
      </c>
      <c r="C205" s="380" t="s">
        <v>2019</v>
      </c>
      <c r="D205" s="374" t="s">
        <v>1039</v>
      </c>
      <c r="E205" s="488" t="s">
        <v>2623</v>
      </c>
      <c r="F205" s="489" t="s">
        <v>89</v>
      </c>
      <c r="G205" s="380" t="s">
        <v>1966</v>
      </c>
      <c r="H205" s="490" t="s">
        <v>2624</v>
      </c>
      <c r="I205" s="489" t="s">
        <v>2021</v>
      </c>
      <c r="J205" s="374" t="s">
        <v>2022</v>
      </c>
      <c r="K205" s="374"/>
      <c r="L205" s="374" t="s">
        <v>2023</v>
      </c>
      <c r="M205" s="379"/>
      <c r="N205" s="379" t="s">
        <v>2020</v>
      </c>
      <c r="O205" s="379" t="s">
        <v>2625</v>
      </c>
      <c r="P205" s="379"/>
      <c r="Q205" s="379"/>
      <c r="R205" s="379"/>
      <c r="S205" s="379"/>
      <c r="T205" s="379"/>
      <c r="U205" s="379"/>
      <c r="V205" s="379"/>
      <c r="W205" s="379"/>
      <c r="X205" s="379"/>
      <c r="Y205" s="379"/>
      <c r="Z205" s="379"/>
      <c r="AA205" s="379"/>
      <c r="AB205" s="379"/>
      <c r="AC205" s="379"/>
      <c r="AD205" s="379"/>
    </row>
    <row r="206" ht="28.5" customHeight="1">
      <c r="A206" s="487"/>
      <c r="B206" s="380" t="s">
        <v>2025</v>
      </c>
      <c r="C206" s="380" t="s">
        <v>2026</v>
      </c>
      <c r="D206" s="374" t="s">
        <v>1039</v>
      </c>
      <c r="E206" s="488" t="s">
        <v>2623</v>
      </c>
      <c r="F206" s="489" t="s">
        <v>89</v>
      </c>
      <c r="G206" s="380" t="s">
        <v>1966</v>
      </c>
      <c r="H206" s="490" t="s">
        <v>2138</v>
      </c>
      <c r="I206" s="489" t="s">
        <v>2027</v>
      </c>
      <c r="J206" s="374" t="s">
        <v>2028</v>
      </c>
      <c r="K206" s="374"/>
      <c r="L206" s="374" t="s">
        <v>2029</v>
      </c>
      <c r="M206" s="379"/>
      <c r="N206" s="379" t="s">
        <v>2020</v>
      </c>
      <c r="O206" s="379" t="s">
        <v>2626</v>
      </c>
      <c r="P206" s="379"/>
      <c r="Q206" s="379"/>
      <c r="R206" s="379"/>
      <c r="S206" s="379"/>
      <c r="T206" s="379"/>
      <c r="U206" s="379"/>
      <c r="V206" s="379"/>
      <c r="W206" s="379"/>
      <c r="X206" s="379"/>
      <c r="Y206" s="379"/>
      <c r="Z206" s="379"/>
      <c r="AA206" s="379"/>
      <c r="AB206" s="379"/>
      <c r="AC206" s="379"/>
      <c r="AD206" s="379"/>
    </row>
    <row r="207" ht="24.75" customHeight="1">
      <c r="A207" s="487"/>
      <c r="B207" s="380" t="s">
        <v>2031</v>
      </c>
      <c r="C207" s="380" t="s">
        <v>2627</v>
      </c>
      <c r="D207" s="374" t="s">
        <v>1039</v>
      </c>
      <c r="E207" s="488" t="s">
        <v>2623</v>
      </c>
      <c r="F207" s="489" t="s">
        <v>89</v>
      </c>
      <c r="G207" s="380" t="s">
        <v>1966</v>
      </c>
      <c r="H207" s="490" t="s">
        <v>2628</v>
      </c>
      <c r="I207" s="489" t="s">
        <v>2033</v>
      </c>
      <c r="J207" s="374" t="s">
        <v>2034</v>
      </c>
      <c r="K207" s="374"/>
      <c r="L207" s="374" t="s">
        <v>2035</v>
      </c>
      <c r="M207" s="379"/>
      <c r="N207" s="379" t="s">
        <v>2020</v>
      </c>
      <c r="O207" s="379" t="s">
        <v>2629</v>
      </c>
      <c r="P207" s="379"/>
      <c r="Q207" s="379"/>
      <c r="R207" s="379"/>
      <c r="S207" s="379"/>
      <c r="T207" s="379"/>
      <c r="U207" s="379"/>
      <c r="V207" s="379"/>
      <c r="W207" s="379"/>
      <c r="X207" s="379"/>
      <c r="Y207" s="379"/>
      <c r="Z207" s="379"/>
      <c r="AA207" s="379"/>
      <c r="AB207" s="379"/>
      <c r="AC207" s="379"/>
      <c r="AD207" s="379"/>
    </row>
    <row r="208" ht="24.75" customHeight="1">
      <c r="A208" s="396">
        <v>30.0</v>
      </c>
      <c r="B208" s="279" t="s">
        <v>1992</v>
      </c>
      <c r="C208" s="279" t="s">
        <v>1993</v>
      </c>
      <c r="D208" s="279" t="s">
        <v>1039</v>
      </c>
      <c r="E208" s="433" t="s">
        <v>2611</v>
      </c>
      <c r="F208" s="279" t="s">
        <v>1027</v>
      </c>
      <c r="G208" s="279" t="s">
        <v>1966</v>
      </c>
      <c r="H208" s="491" t="s">
        <v>2612</v>
      </c>
      <c r="I208" s="491" t="s">
        <v>1995</v>
      </c>
      <c r="J208" s="298" t="s">
        <v>1996</v>
      </c>
      <c r="K208" s="298"/>
      <c r="L208" s="298"/>
      <c r="M208" s="369"/>
      <c r="N208" s="369"/>
      <c r="O208" s="369"/>
      <c r="P208" s="369"/>
      <c r="Q208" s="369"/>
      <c r="R208" s="369"/>
      <c r="S208" s="369"/>
      <c r="T208" s="369"/>
      <c r="U208" s="369"/>
      <c r="V208" s="369"/>
      <c r="W208" s="369"/>
      <c r="X208" s="369"/>
      <c r="Y208" s="369"/>
      <c r="Z208" s="369"/>
      <c r="AA208" s="369"/>
      <c r="AB208" s="369"/>
      <c r="AC208" s="369"/>
      <c r="AD208" s="369"/>
    </row>
    <row r="209" ht="24.75" customHeight="1">
      <c r="A209" s="393"/>
      <c r="B209" s="429" t="s">
        <v>1971</v>
      </c>
      <c r="C209" s="429" t="s">
        <v>1972</v>
      </c>
      <c r="D209" s="378" t="s">
        <v>1268</v>
      </c>
      <c r="E209" s="375" t="s">
        <v>3144</v>
      </c>
      <c r="F209" s="490" t="s">
        <v>41</v>
      </c>
      <c r="G209" s="429" t="s">
        <v>1966</v>
      </c>
      <c r="H209" s="490" t="s">
        <v>2605</v>
      </c>
      <c r="I209" s="374" t="s">
        <v>1974</v>
      </c>
      <c r="J209" s="374" t="s">
        <v>1975</v>
      </c>
      <c r="K209" s="374"/>
      <c r="L209" s="374" t="s">
        <v>1976</v>
      </c>
      <c r="M209" s="379"/>
      <c r="N209" s="379" t="s">
        <v>1973</v>
      </c>
      <c r="O209" s="379" t="s">
        <v>2606</v>
      </c>
      <c r="P209" s="379"/>
      <c r="Q209" s="379"/>
      <c r="R209" s="379"/>
      <c r="S209" s="379"/>
      <c r="T209" s="379"/>
      <c r="U209" s="379"/>
      <c r="V209" s="379"/>
      <c r="W209" s="379"/>
      <c r="X209" s="379"/>
      <c r="Y209" s="379"/>
      <c r="Z209" s="379"/>
      <c r="AA209" s="379"/>
      <c r="AB209" s="379"/>
      <c r="AC209" s="379"/>
      <c r="AD209" s="379"/>
    </row>
    <row r="210" ht="24.75" customHeight="1">
      <c r="A210" s="442"/>
      <c r="B210" s="492" t="s">
        <v>2005</v>
      </c>
      <c r="C210" s="493" t="s">
        <v>2618</v>
      </c>
      <c r="D210" s="494" t="s">
        <v>1947</v>
      </c>
      <c r="E210" s="495" t="s">
        <v>1946</v>
      </c>
      <c r="F210" s="496" t="s">
        <v>41</v>
      </c>
      <c r="G210" s="497" t="s">
        <v>1966</v>
      </c>
      <c r="H210" s="498" t="s">
        <v>2619</v>
      </c>
      <c r="I210" s="499" t="s">
        <v>655</v>
      </c>
      <c r="J210" s="500" t="s">
        <v>2008</v>
      </c>
      <c r="K210" s="500"/>
      <c r="L210" s="494" t="s">
        <v>2009</v>
      </c>
      <c r="M210" s="501"/>
      <c r="N210" s="502" t="s">
        <v>2007</v>
      </c>
      <c r="O210" s="496" t="s">
        <v>2620</v>
      </c>
      <c r="P210" s="502"/>
      <c r="Q210" s="502"/>
      <c r="R210" s="454"/>
      <c r="S210" s="502"/>
      <c r="T210" s="502"/>
      <c r="U210" s="496"/>
      <c r="V210" s="496"/>
      <c r="W210" s="496"/>
      <c r="X210" s="496"/>
      <c r="Y210" s="496"/>
      <c r="Z210" s="496"/>
      <c r="AA210" s="452"/>
      <c r="AB210" s="452"/>
      <c r="AC210" s="452"/>
      <c r="AD210" s="452"/>
    </row>
    <row r="211" ht="24.75" customHeight="1">
      <c r="A211" s="442">
        <f>A210+1</f>
        <v>1</v>
      </c>
      <c r="B211" s="492" t="s">
        <v>1998</v>
      </c>
      <c r="C211" s="493" t="s">
        <v>2614</v>
      </c>
      <c r="D211" s="494" t="s">
        <v>1736</v>
      </c>
      <c r="E211" s="495" t="s">
        <v>2615</v>
      </c>
      <c r="F211" s="496" t="s">
        <v>89</v>
      </c>
      <c r="G211" s="497" t="s">
        <v>1966</v>
      </c>
      <c r="H211" s="498" t="s">
        <v>2616</v>
      </c>
      <c r="I211" s="502" t="s">
        <v>2001</v>
      </c>
      <c r="J211" s="503" t="s">
        <v>2002</v>
      </c>
      <c r="K211" s="503"/>
      <c r="L211" s="494" t="s">
        <v>2003</v>
      </c>
      <c r="M211" s="501"/>
      <c r="N211" s="502" t="s">
        <v>2000</v>
      </c>
      <c r="O211" s="496" t="s">
        <v>2617</v>
      </c>
      <c r="P211" s="498"/>
      <c r="Q211" s="502"/>
      <c r="R211" s="502"/>
      <c r="S211" s="502"/>
      <c r="T211" s="502"/>
      <c r="U211" s="496"/>
      <c r="V211" s="496"/>
      <c r="W211" s="496"/>
      <c r="X211" s="496"/>
      <c r="Y211" s="496"/>
      <c r="Z211" s="496"/>
      <c r="AA211" s="452"/>
      <c r="AB211" s="452"/>
      <c r="AC211" s="452"/>
      <c r="AD211" s="452"/>
    </row>
    <row r="212" ht="24.75" customHeight="1">
      <c r="A212" s="471">
        <v>56.0</v>
      </c>
      <c r="B212" s="504" t="s">
        <v>2011</v>
      </c>
      <c r="C212" s="504" t="s">
        <v>2012</v>
      </c>
      <c r="D212" s="466" t="s">
        <v>1736</v>
      </c>
      <c r="E212" s="505" t="s">
        <v>2242</v>
      </c>
      <c r="F212" s="473" t="s">
        <v>41</v>
      </c>
      <c r="G212" s="504" t="s">
        <v>1966</v>
      </c>
      <c r="H212" s="506" t="s">
        <v>2102</v>
      </c>
      <c r="I212" s="475" t="s">
        <v>2014</v>
      </c>
      <c r="J212" s="468" t="s">
        <v>2015</v>
      </c>
      <c r="K212" s="468"/>
      <c r="L212" s="466" t="s">
        <v>2016</v>
      </c>
      <c r="M212" s="468"/>
      <c r="N212" s="475" t="s">
        <v>2013</v>
      </c>
      <c r="O212" s="507" t="s">
        <v>2621</v>
      </c>
      <c r="P212" s="506"/>
      <c r="Q212" s="475"/>
      <c r="R212" s="508" t="s">
        <v>2622</v>
      </c>
      <c r="S212" s="509"/>
      <c r="T212" s="509"/>
      <c r="U212" s="507"/>
      <c r="V212" s="507"/>
      <c r="W212" s="507"/>
      <c r="X212" s="507"/>
      <c r="Y212" s="507"/>
      <c r="Z212" s="507"/>
      <c r="AA212" s="480"/>
      <c r="AB212" s="480"/>
      <c r="AC212" s="480"/>
      <c r="AD212" s="480"/>
    </row>
    <row r="213" ht="24.75" customHeight="1">
      <c r="A213" s="373"/>
      <c r="B213" s="380"/>
      <c r="C213" s="380"/>
      <c r="D213" s="374"/>
      <c r="E213" s="375"/>
      <c r="F213" s="380"/>
      <c r="G213" s="380"/>
      <c r="H213" s="380"/>
      <c r="I213" s="380"/>
      <c r="J213" s="374"/>
      <c r="K213" s="374"/>
      <c r="L213" s="374"/>
      <c r="M213" s="379"/>
      <c r="N213" s="379"/>
      <c r="O213" s="379"/>
      <c r="P213" s="379"/>
      <c r="Q213" s="379"/>
      <c r="R213" s="379"/>
      <c r="S213" s="379"/>
      <c r="T213" s="379"/>
      <c r="U213" s="379"/>
      <c r="V213" s="379"/>
      <c r="W213" s="379"/>
      <c r="X213" s="379"/>
      <c r="Y213" s="379"/>
      <c r="Z213" s="379"/>
      <c r="AA213" s="379"/>
      <c r="AB213" s="379"/>
      <c r="AC213" s="379"/>
      <c r="AD213" s="379"/>
    </row>
    <row r="214" ht="28.5" customHeight="1">
      <c r="A214" s="288"/>
      <c r="B214" s="510"/>
      <c r="C214" s="510"/>
      <c r="D214" s="288"/>
      <c r="E214" s="511"/>
      <c r="F214" s="510"/>
      <c r="G214" s="510"/>
      <c r="H214" s="510"/>
      <c r="I214" s="510"/>
      <c r="J214" s="510"/>
      <c r="K214" s="510"/>
      <c r="L214" s="510"/>
      <c r="M214" s="510"/>
      <c r="N214" s="510"/>
      <c r="O214" s="510"/>
      <c r="P214" s="510"/>
      <c r="Q214" s="510"/>
      <c r="R214" s="510"/>
      <c r="S214" s="510"/>
      <c r="T214" s="510"/>
      <c r="U214" s="510"/>
      <c r="V214" s="510"/>
      <c r="W214" s="510"/>
      <c r="X214" s="510"/>
      <c r="Y214" s="510"/>
      <c r="Z214" s="510"/>
      <c r="AA214" s="510"/>
      <c r="AB214" s="510"/>
      <c r="AC214" s="510"/>
      <c r="AD214" s="510"/>
    </row>
    <row r="215" ht="28.5" customHeight="1">
      <c r="A215" s="288"/>
      <c r="B215" s="510"/>
      <c r="C215" s="510"/>
      <c r="D215" s="288"/>
      <c r="E215" s="511"/>
      <c r="F215" s="510"/>
      <c r="G215" s="510"/>
      <c r="H215" s="510"/>
      <c r="I215" s="510"/>
      <c r="J215" s="510"/>
      <c r="K215" s="510"/>
      <c r="L215" s="510"/>
      <c r="M215" s="510"/>
      <c r="N215" s="510"/>
      <c r="O215" s="510"/>
      <c r="P215" s="510"/>
      <c r="Q215" s="510"/>
      <c r="R215" s="510"/>
      <c r="S215" s="510"/>
      <c r="T215" s="510"/>
      <c r="U215" s="510"/>
      <c r="V215" s="510"/>
      <c r="W215" s="510"/>
      <c r="X215" s="510"/>
      <c r="Y215" s="510"/>
      <c r="Z215" s="510"/>
      <c r="AA215" s="510"/>
      <c r="AB215" s="510"/>
      <c r="AC215" s="510"/>
      <c r="AD215" s="510"/>
    </row>
    <row r="216" ht="28.5" customHeight="1">
      <c r="A216" s="288"/>
      <c r="B216" s="510"/>
      <c r="C216" s="510"/>
      <c r="D216" s="288"/>
      <c r="E216" s="511"/>
      <c r="F216" s="510"/>
      <c r="G216" s="510"/>
      <c r="H216" s="510"/>
      <c r="I216" s="510"/>
      <c r="J216" s="510"/>
      <c r="K216" s="510"/>
      <c r="L216" s="510"/>
      <c r="M216" s="510"/>
      <c r="N216" s="510"/>
      <c r="O216" s="510"/>
      <c r="P216" s="510"/>
      <c r="Q216" s="510"/>
      <c r="R216" s="510"/>
      <c r="S216" s="510"/>
      <c r="T216" s="510"/>
      <c r="U216" s="510"/>
      <c r="V216" s="510"/>
      <c r="W216" s="510"/>
      <c r="X216" s="510"/>
      <c r="Y216" s="510"/>
      <c r="Z216" s="510"/>
      <c r="AA216" s="510"/>
      <c r="AB216" s="510"/>
      <c r="AC216" s="510"/>
      <c r="AD216" s="510"/>
    </row>
    <row r="217" ht="28.5" customHeight="1">
      <c r="A217" s="288"/>
      <c r="B217" s="510"/>
      <c r="C217" s="510"/>
      <c r="D217" s="288"/>
      <c r="E217" s="511"/>
      <c r="F217" s="510"/>
      <c r="G217" s="510"/>
      <c r="H217" s="510"/>
      <c r="I217" s="510"/>
      <c r="J217" s="510"/>
      <c r="K217" s="510"/>
      <c r="L217" s="510"/>
      <c r="M217" s="510"/>
      <c r="N217" s="510"/>
      <c r="O217" s="510"/>
      <c r="P217" s="510"/>
      <c r="Q217" s="510"/>
      <c r="R217" s="510"/>
      <c r="S217" s="510"/>
      <c r="T217" s="510"/>
      <c r="U217" s="510"/>
      <c r="V217" s="510"/>
      <c r="W217" s="510"/>
      <c r="X217" s="510"/>
      <c r="Y217" s="510"/>
      <c r="Z217" s="510"/>
      <c r="AA217" s="510"/>
      <c r="AB217" s="510"/>
      <c r="AC217" s="510"/>
      <c r="AD217" s="510"/>
    </row>
    <row r="218" ht="28.5" customHeight="1">
      <c r="A218" s="288"/>
      <c r="B218" s="510"/>
      <c r="C218" s="510"/>
      <c r="D218" s="288"/>
      <c r="E218" s="511"/>
      <c r="F218" s="510"/>
      <c r="G218" s="510"/>
      <c r="H218" s="510"/>
      <c r="I218" s="510"/>
      <c r="J218" s="510"/>
      <c r="K218" s="510"/>
      <c r="L218" s="510"/>
      <c r="M218" s="510"/>
      <c r="N218" s="510"/>
      <c r="O218" s="510"/>
      <c r="P218" s="510"/>
      <c r="Q218" s="510"/>
      <c r="R218" s="510"/>
      <c r="S218" s="510"/>
      <c r="T218" s="510"/>
      <c r="U218" s="510"/>
      <c r="V218" s="510"/>
      <c r="W218" s="510"/>
      <c r="X218" s="510"/>
      <c r="Y218" s="510"/>
      <c r="Z218" s="510"/>
      <c r="AA218" s="510"/>
      <c r="AB218" s="510"/>
      <c r="AC218" s="510"/>
      <c r="AD218" s="510"/>
    </row>
    <row r="219" ht="28.5" customHeight="1">
      <c r="A219" s="288"/>
      <c r="B219" s="510"/>
      <c r="C219" s="510"/>
      <c r="D219" s="288"/>
      <c r="E219" s="511"/>
      <c r="F219" s="510"/>
      <c r="G219" s="510"/>
      <c r="H219" s="510"/>
      <c r="I219" s="510"/>
      <c r="J219" s="510"/>
      <c r="K219" s="510"/>
      <c r="L219" s="510"/>
      <c r="M219" s="510"/>
      <c r="N219" s="510"/>
      <c r="O219" s="510"/>
      <c r="P219" s="510"/>
      <c r="Q219" s="510"/>
      <c r="R219" s="510"/>
      <c r="S219" s="510"/>
      <c r="T219" s="510"/>
      <c r="U219" s="510"/>
      <c r="V219" s="510"/>
      <c r="W219" s="510"/>
      <c r="X219" s="510"/>
      <c r="Y219" s="510"/>
      <c r="Z219" s="510"/>
      <c r="AA219" s="510"/>
      <c r="AB219" s="510"/>
      <c r="AC219" s="510"/>
      <c r="AD219" s="510"/>
    </row>
    <row r="220" ht="28.5" customHeight="1">
      <c r="A220" s="288"/>
      <c r="B220" s="510"/>
      <c r="C220" s="510"/>
      <c r="D220" s="288"/>
      <c r="E220" s="511"/>
      <c r="F220" s="510"/>
      <c r="G220" s="510"/>
      <c r="H220" s="510"/>
      <c r="I220" s="510"/>
      <c r="J220" s="510"/>
      <c r="K220" s="510"/>
      <c r="L220" s="510"/>
      <c r="M220" s="510"/>
      <c r="N220" s="510"/>
      <c r="O220" s="510"/>
      <c r="P220" s="510"/>
      <c r="Q220" s="510"/>
      <c r="R220" s="510"/>
      <c r="S220" s="510"/>
      <c r="T220" s="510"/>
      <c r="U220" s="510"/>
      <c r="V220" s="510"/>
      <c r="W220" s="510"/>
      <c r="X220" s="510"/>
      <c r="Y220" s="510"/>
      <c r="Z220" s="510"/>
      <c r="AA220" s="510"/>
      <c r="AB220" s="510"/>
      <c r="AC220" s="510"/>
      <c r="AD220" s="510"/>
    </row>
    <row r="221" ht="28.5" customHeight="1">
      <c r="A221" s="288"/>
      <c r="B221" s="510"/>
      <c r="C221" s="510"/>
      <c r="D221" s="288"/>
      <c r="E221" s="511"/>
      <c r="F221" s="510"/>
      <c r="G221" s="510"/>
      <c r="H221" s="510"/>
      <c r="I221" s="510"/>
      <c r="J221" s="510"/>
      <c r="K221" s="510"/>
      <c r="L221" s="510"/>
      <c r="M221" s="510"/>
      <c r="N221" s="510"/>
      <c r="O221" s="510"/>
      <c r="P221" s="510"/>
      <c r="Q221" s="510"/>
      <c r="R221" s="510"/>
      <c r="S221" s="510"/>
      <c r="T221" s="510"/>
      <c r="U221" s="510"/>
      <c r="V221" s="510"/>
      <c r="W221" s="510"/>
      <c r="X221" s="510"/>
      <c r="Y221" s="510"/>
      <c r="Z221" s="510"/>
      <c r="AA221" s="510"/>
      <c r="AB221" s="510"/>
      <c r="AC221" s="510"/>
      <c r="AD221" s="510"/>
    </row>
    <row r="222" ht="28.5" customHeight="1">
      <c r="A222" s="288"/>
      <c r="B222" s="510"/>
      <c r="C222" s="510"/>
      <c r="D222" s="288"/>
      <c r="E222" s="511"/>
      <c r="F222" s="510"/>
      <c r="G222" s="510"/>
      <c r="H222" s="510"/>
      <c r="I222" s="510"/>
      <c r="J222" s="510"/>
      <c r="K222" s="510"/>
      <c r="L222" s="510"/>
      <c r="M222" s="510"/>
      <c r="N222" s="510"/>
      <c r="O222" s="510"/>
      <c r="P222" s="510"/>
      <c r="Q222" s="510"/>
      <c r="R222" s="510"/>
      <c r="S222" s="510"/>
      <c r="T222" s="510"/>
      <c r="U222" s="510"/>
      <c r="V222" s="510"/>
      <c r="W222" s="510"/>
      <c r="X222" s="510"/>
      <c r="Y222" s="510"/>
      <c r="Z222" s="510"/>
      <c r="AA222" s="510"/>
      <c r="AB222" s="510"/>
      <c r="AC222" s="510"/>
      <c r="AD222" s="510"/>
    </row>
    <row r="223" ht="28.5" customHeight="1">
      <c r="A223" s="288"/>
      <c r="B223" s="510"/>
      <c r="C223" s="510"/>
      <c r="D223" s="288"/>
      <c r="E223" s="511"/>
      <c r="F223" s="510"/>
      <c r="G223" s="510"/>
      <c r="H223" s="510"/>
      <c r="I223" s="510"/>
      <c r="J223" s="510"/>
      <c r="K223" s="510"/>
      <c r="L223" s="510"/>
      <c r="M223" s="510"/>
      <c r="N223" s="510"/>
      <c r="O223" s="510"/>
      <c r="P223" s="510"/>
      <c r="Q223" s="510"/>
      <c r="R223" s="510"/>
      <c r="S223" s="510"/>
      <c r="T223" s="510"/>
      <c r="U223" s="510"/>
      <c r="V223" s="510"/>
      <c r="W223" s="510"/>
      <c r="X223" s="510"/>
      <c r="Y223" s="510"/>
      <c r="Z223" s="510"/>
      <c r="AA223" s="510"/>
      <c r="AB223" s="510"/>
      <c r="AC223" s="510"/>
      <c r="AD223" s="510"/>
    </row>
    <row r="224" ht="28.5" customHeight="1">
      <c r="A224" s="288"/>
      <c r="B224" s="510"/>
      <c r="C224" s="510"/>
      <c r="D224" s="288"/>
      <c r="E224" s="511"/>
      <c r="F224" s="510"/>
      <c r="G224" s="510"/>
      <c r="H224" s="510"/>
      <c r="I224" s="510"/>
      <c r="J224" s="510"/>
      <c r="K224" s="510"/>
      <c r="L224" s="510"/>
      <c r="M224" s="510"/>
      <c r="N224" s="510"/>
      <c r="O224" s="510"/>
      <c r="P224" s="510"/>
      <c r="Q224" s="510"/>
      <c r="R224" s="510"/>
      <c r="S224" s="510"/>
      <c r="T224" s="510"/>
      <c r="U224" s="510"/>
      <c r="V224" s="510"/>
      <c r="W224" s="510"/>
      <c r="X224" s="510"/>
      <c r="Y224" s="510"/>
      <c r="Z224" s="510"/>
      <c r="AA224" s="510"/>
      <c r="AB224" s="510"/>
      <c r="AC224" s="510"/>
      <c r="AD224" s="510"/>
    </row>
    <row r="225" ht="28.5" customHeight="1">
      <c r="A225" s="288"/>
      <c r="B225" s="510"/>
      <c r="C225" s="510"/>
      <c r="D225" s="288"/>
      <c r="E225" s="511"/>
      <c r="F225" s="510"/>
      <c r="G225" s="510"/>
      <c r="H225" s="510"/>
      <c r="I225" s="510"/>
      <c r="J225" s="510"/>
      <c r="K225" s="510"/>
      <c r="L225" s="510"/>
      <c r="M225" s="510"/>
      <c r="N225" s="510"/>
      <c r="O225" s="510"/>
      <c r="P225" s="510"/>
      <c r="Q225" s="510"/>
      <c r="R225" s="510"/>
      <c r="S225" s="510"/>
      <c r="T225" s="510"/>
      <c r="U225" s="510"/>
      <c r="V225" s="510"/>
      <c r="W225" s="510"/>
      <c r="X225" s="510"/>
      <c r="Y225" s="510"/>
      <c r="Z225" s="510"/>
      <c r="AA225" s="510"/>
      <c r="AB225" s="510"/>
      <c r="AC225" s="510"/>
      <c r="AD225" s="510"/>
    </row>
    <row r="226" ht="28.5" customHeight="1">
      <c r="A226" s="288"/>
      <c r="B226" s="510"/>
      <c r="C226" s="510"/>
      <c r="D226" s="288"/>
      <c r="E226" s="511"/>
      <c r="F226" s="510"/>
      <c r="G226" s="510"/>
      <c r="H226" s="510"/>
      <c r="I226" s="510"/>
      <c r="J226" s="510"/>
      <c r="K226" s="510"/>
      <c r="L226" s="510"/>
      <c r="M226" s="510"/>
      <c r="N226" s="510"/>
      <c r="O226" s="510"/>
      <c r="P226" s="510"/>
      <c r="Q226" s="510"/>
      <c r="R226" s="510"/>
      <c r="S226" s="510"/>
      <c r="T226" s="510"/>
      <c r="U226" s="510"/>
      <c r="V226" s="510"/>
      <c r="W226" s="510"/>
      <c r="X226" s="510"/>
      <c r="Y226" s="510"/>
      <c r="Z226" s="510"/>
      <c r="AA226" s="510"/>
      <c r="AB226" s="510"/>
      <c r="AC226" s="510"/>
      <c r="AD226" s="510"/>
    </row>
    <row r="227" ht="28.5" customHeight="1">
      <c r="A227" s="288"/>
      <c r="B227" s="510"/>
      <c r="C227" s="510"/>
      <c r="D227" s="288"/>
      <c r="E227" s="511"/>
      <c r="F227" s="510"/>
      <c r="G227" s="510"/>
      <c r="H227" s="510"/>
      <c r="I227" s="510"/>
      <c r="J227" s="510"/>
      <c r="K227" s="510"/>
      <c r="L227" s="510"/>
      <c r="M227" s="510"/>
      <c r="N227" s="510"/>
      <c r="O227" s="510"/>
      <c r="P227" s="510"/>
      <c r="Q227" s="510"/>
      <c r="R227" s="510"/>
      <c r="S227" s="510"/>
      <c r="T227" s="510"/>
      <c r="U227" s="510"/>
      <c r="V227" s="510"/>
      <c r="W227" s="510"/>
      <c r="X227" s="510"/>
      <c r="Y227" s="510"/>
      <c r="Z227" s="510"/>
      <c r="AA227" s="510"/>
      <c r="AB227" s="510"/>
      <c r="AC227" s="510"/>
      <c r="AD227" s="510"/>
    </row>
    <row r="228" ht="28.5" customHeight="1">
      <c r="A228" s="288"/>
      <c r="B228" s="510"/>
      <c r="C228" s="510"/>
      <c r="D228" s="288"/>
      <c r="E228" s="511"/>
      <c r="F228" s="510"/>
      <c r="G228" s="510"/>
      <c r="H228" s="510"/>
      <c r="I228" s="510"/>
      <c r="J228" s="510"/>
      <c r="K228" s="510"/>
      <c r="L228" s="510"/>
      <c r="M228" s="510"/>
      <c r="N228" s="510"/>
      <c r="O228" s="510"/>
      <c r="P228" s="510"/>
      <c r="Q228" s="510"/>
      <c r="R228" s="510"/>
      <c r="S228" s="510"/>
      <c r="T228" s="510"/>
      <c r="U228" s="510"/>
      <c r="V228" s="510"/>
      <c r="W228" s="510"/>
      <c r="X228" s="510"/>
      <c r="Y228" s="510"/>
      <c r="Z228" s="510"/>
      <c r="AA228" s="510"/>
      <c r="AB228" s="510"/>
      <c r="AC228" s="510"/>
      <c r="AD228" s="510"/>
    </row>
    <row r="229" ht="28.5" customHeight="1">
      <c r="A229" s="288"/>
      <c r="B229" s="510"/>
      <c r="C229" s="510"/>
      <c r="D229" s="288"/>
      <c r="E229" s="511"/>
      <c r="F229" s="510"/>
      <c r="G229" s="510"/>
      <c r="H229" s="510"/>
      <c r="I229" s="510"/>
      <c r="J229" s="510"/>
      <c r="K229" s="510"/>
      <c r="L229" s="510"/>
      <c r="M229" s="510"/>
      <c r="N229" s="510"/>
      <c r="O229" s="510"/>
      <c r="P229" s="510"/>
      <c r="Q229" s="510"/>
      <c r="R229" s="510"/>
      <c r="S229" s="510"/>
      <c r="T229" s="510"/>
      <c r="U229" s="510"/>
      <c r="V229" s="510"/>
      <c r="W229" s="510"/>
      <c r="X229" s="510"/>
      <c r="Y229" s="510"/>
      <c r="Z229" s="510"/>
      <c r="AA229" s="510"/>
      <c r="AB229" s="510"/>
      <c r="AC229" s="510"/>
      <c r="AD229" s="510"/>
    </row>
    <row r="230" ht="28.5" customHeight="1">
      <c r="A230" s="288"/>
      <c r="B230" s="510"/>
      <c r="C230" s="510"/>
      <c r="D230" s="288"/>
      <c r="E230" s="511"/>
      <c r="F230" s="510"/>
      <c r="G230" s="510"/>
      <c r="H230" s="510"/>
      <c r="I230" s="510"/>
      <c r="J230" s="510"/>
      <c r="K230" s="510"/>
      <c r="L230" s="510"/>
      <c r="M230" s="510"/>
      <c r="N230" s="510"/>
      <c r="O230" s="510"/>
      <c r="P230" s="510"/>
      <c r="Q230" s="510"/>
      <c r="R230" s="510"/>
      <c r="S230" s="510"/>
      <c r="T230" s="510"/>
      <c r="U230" s="510"/>
      <c r="V230" s="510"/>
      <c r="W230" s="510"/>
      <c r="X230" s="510"/>
      <c r="Y230" s="510"/>
      <c r="Z230" s="510"/>
      <c r="AA230" s="510"/>
      <c r="AB230" s="510"/>
      <c r="AC230" s="510"/>
      <c r="AD230" s="510"/>
    </row>
    <row r="231" ht="28.5" customHeight="1">
      <c r="A231" s="288"/>
      <c r="B231" s="510"/>
      <c r="C231" s="510"/>
      <c r="D231" s="288"/>
      <c r="E231" s="511"/>
      <c r="F231" s="510"/>
      <c r="G231" s="510"/>
      <c r="H231" s="510"/>
      <c r="I231" s="510"/>
      <c r="J231" s="510"/>
      <c r="K231" s="510"/>
      <c r="L231" s="510"/>
      <c r="M231" s="510"/>
      <c r="N231" s="510"/>
      <c r="O231" s="510"/>
      <c r="P231" s="510"/>
      <c r="Q231" s="510"/>
      <c r="R231" s="510"/>
      <c r="S231" s="510"/>
      <c r="T231" s="510"/>
      <c r="U231" s="510"/>
      <c r="V231" s="510"/>
      <c r="W231" s="510"/>
      <c r="X231" s="510"/>
      <c r="Y231" s="510"/>
      <c r="Z231" s="510"/>
      <c r="AA231" s="510"/>
      <c r="AB231" s="510"/>
      <c r="AC231" s="510"/>
      <c r="AD231" s="510"/>
    </row>
    <row r="232" ht="28.5" customHeight="1">
      <c r="A232" s="288"/>
      <c r="B232" s="510"/>
      <c r="C232" s="510"/>
      <c r="D232" s="288"/>
      <c r="E232" s="511"/>
      <c r="F232" s="510"/>
      <c r="G232" s="510"/>
      <c r="H232" s="510"/>
      <c r="I232" s="510"/>
      <c r="J232" s="510"/>
      <c r="K232" s="510"/>
      <c r="L232" s="510"/>
      <c r="M232" s="510"/>
      <c r="N232" s="510"/>
      <c r="O232" s="510"/>
      <c r="P232" s="510"/>
      <c r="Q232" s="510"/>
      <c r="R232" s="510"/>
      <c r="S232" s="510"/>
      <c r="T232" s="510"/>
      <c r="U232" s="510"/>
      <c r="V232" s="510"/>
      <c r="W232" s="510"/>
      <c r="X232" s="510"/>
      <c r="Y232" s="510"/>
      <c r="Z232" s="510"/>
      <c r="AA232" s="510"/>
      <c r="AB232" s="510"/>
      <c r="AC232" s="510"/>
      <c r="AD232" s="510"/>
    </row>
    <row r="233" ht="28.5" customHeight="1">
      <c r="A233" s="288"/>
      <c r="B233" s="510"/>
      <c r="C233" s="510"/>
      <c r="D233" s="288"/>
      <c r="E233" s="511"/>
      <c r="F233" s="510"/>
      <c r="G233" s="510"/>
      <c r="H233" s="510"/>
      <c r="I233" s="510"/>
      <c r="J233" s="510"/>
      <c r="K233" s="510"/>
      <c r="L233" s="510"/>
      <c r="M233" s="510"/>
      <c r="N233" s="510"/>
      <c r="O233" s="510"/>
      <c r="P233" s="510"/>
      <c r="Q233" s="510"/>
      <c r="R233" s="510"/>
      <c r="S233" s="510"/>
      <c r="T233" s="510"/>
      <c r="U233" s="510"/>
      <c r="V233" s="510"/>
      <c r="W233" s="510"/>
      <c r="X233" s="510"/>
      <c r="Y233" s="510"/>
      <c r="Z233" s="510"/>
      <c r="AA233" s="510"/>
      <c r="AB233" s="510"/>
      <c r="AC233" s="510"/>
      <c r="AD233" s="510"/>
    </row>
    <row r="234" ht="28.5" customHeight="1">
      <c r="A234" s="288"/>
      <c r="B234" s="510"/>
      <c r="C234" s="510"/>
      <c r="D234" s="288"/>
      <c r="E234" s="511"/>
      <c r="F234" s="510"/>
      <c r="G234" s="510"/>
      <c r="H234" s="510"/>
      <c r="I234" s="510"/>
      <c r="J234" s="510"/>
      <c r="K234" s="510"/>
      <c r="L234" s="510"/>
      <c r="M234" s="510"/>
      <c r="N234" s="510"/>
      <c r="O234" s="510"/>
      <c r="P234" s="510"/>
      <c r="Q234" s="510"/>
      <c r="R234" s="510"/>
      <c r="S234" s="510"/>
      <c r="T234" s="510"/>
      <c r="U234" s="510"/>
      <c r="V234" s="510"/>
      <c r="W234" s="510"/>
      <c r="X234" s="510"/>
      <c r="Y234" s="510"/>
      <c r="Z234" s="510"/>
      <c r="AA234" s="510"/>
      <c r="AB234" s="510"/>
      <c r="AC234" s="510"/>
      <c r="AD234" s="510"/>
    </row>
    <row r="235" ht="28.5" customHeight="1">
      <c r="A235" s="288"/>
      <c r="B235" s="510"/>
      <c r="C235" s="510"/>
      <c r="D235" s="288"/>
      <c r="E235" s="511"/>
      <c r="F235" s="510"/>
      <c r="G235" s="510"/>
      <c r="H235" s="510"/>
      <c r="I235" s="510"/>
      <c r="J235" s="510"/>
      <c r="K235" s="510"/>
      <c r="L235" s="510"/>
      <c r="M235" s="510"/>
      <c r="N235" s="510"/>
      <c r="O235" s="510"/>
      <c r="P235" s="510"/>
      <c r="Q235" s="510"/>
      <c r="R235" s="510"/>
      <c r="S235" s="510"/>
      <c r="T235" s="510"/>
      <c r="U235" s="510"/>
      <c r="V235" s="510"/>
      <c r="W235" s="510"/>
      <c r="X235" s="510"/>
      <c r="Y235" s="510"/>
      <c r="Z235" s="510"/>
      <c r="AA235" s="510"/>
      <c r="AB235" s="510"/>
      <c r="AC235" s="510"/>
      <c r="AD235" s="510"/>
    </row>
    <row r="236" ht="28.5" customHeight="1">
      <c r="A236" s="288"/>
      <c r="B236" s="510"/>
      <c r="C236" s="510"/>
      <c r="D236" s="288"/>
      <c r="E236" s="511"/>
      <c r="F236" s="510"/>
      <c r="G236" s="510"/>
      <c r="H236" s="510"/>
      <c r="I236" s="510"/>
      <c r="J236" s="510"/>
      <c r="K236" s="510"/>
      <c r="L236" s="510"/>
      <c r="M236" s="510"/>
      <c r="N236" s="510"/>
      <c r="O236" s="510"/>
      <c r="P236" s="510"/>
      <c r="Q236" s="510"/>
      <c r="R236" s="510"/>
      <c r="S236" s="510"/>
      <c r="T236" s="510"/>
      <c r="U236" s="510"/>
      <c r="V236" s="510"/>
      <c r="W236" s="510"/>
      <c r="X236" s="510"/>
      <c r="Y236" s="510"/>
      <c r="Z236" s="510"/>
      <c r="AA236" s="510"/>
      <c r="AB236" s="510"/>
      <c r="AC236" s="510"/>
      <c r="AD236" s="510"/>
    </row>
    <row r="237" ht="28.5" customHeight="1">
      <c r="A237" s="288"/>
      <c r="B237" s="510"/>
      <c r="C237" s="510"/>
      <c r="D237" s="288"/>
      <c r="E237" s="511"/>
      <c r="F237" s="510"/>
      <c r="G237" s="510"/>
      <c r="H237" s="510"/>
      <c r="I237" s="510"/>
      <c r="J237" s="510"/>
      <c r="K237" s="510"/>
      <c r="L237" s="510"/>
      <c r="M237" s="510"/>
      <c r="N237" s="510"/>
      <c r="O237" s="510"/>
      <c r="P237" s="510"/>
      <c r="Q237" s="510"/>
      <c r="R237" s="510"/>
      <c r="S237" s="510"/>
      <c r="T237" s="510"/>
      <c r="U237" s="510"/>
      <c r="V237" s="510"/>
      <c r="W237" s="510"/>
      <c r="X237" s="510"/>
      <c r="Y237" s="510"/>
      <c r="Z237" s="510"/>
      <c r="AA237" s="510"/>
      <c r="AB237" s="510"/>
      <c r="AC237" s="510"/>
      <c r="AD237" s="510"/>
    </row>
    <row r="238" ht="28.5" customHeight="1">
      <c r="A238" s="288"/>
      <c r="B238" s="510"/>
      <c r="C238" s="510"/>
      <c r="D238" s="288"/>
      <c r="E238" s="511"/>
      <c r="F238" s="510"/>
      <c r="G238" s="510"/>
      <c r="H238" s="510"/>
      <c r="I238" s="510"/>
      <c r="J238" s="510"/>
      <c r="K238" s="510"/>
      <c r="L238" s="510"/>
      <c r="M238" s="510"/>
      <c r="N238" s="510"/>
      <c r="O238" s="510"/>
      <c r="P238" s="510"/>
      <c r="Q238" s="510"/>
      <c r="R238" s="510"/>
      <c r="S238" s="510"/>
      <c r="T238" s="510"/>
      <c r="U238" s="510"/>
      <c r="V238" s="510"/>
      <c r="W238" s="510"/>
      <c r="X238" s="510"/>
      <c r="Y238" s="510"/>
      <c r="Z238" s="510"/>
      <c r="AA238" s="510"/>
      <c r="AB238" s="510"/>
      <c r="AC238" s="510"/>
      <c r="AD238" s="510"/>
    </row>
    <row r="239" ht="28.5" customHeight="1">
      <c r="A239" s="288"/>
      <c r="B239" s="510"/>
      <c r="C239" s="510"/>
      <c r="D239" s="288"/>
      <c r="E239" s="511"/>
      <c r="F239" s="510"/>
      <c r="G239" s="510"/>
      <c r="H239" s="510"/>
      <c r="I239" s="510"/>
      <c r="J239" s="510"/>
      <c r="K239" s="510"/>
      <c r="L239" s="510"/>
      <c r="M239" s="510"/>
      <c r="N239" s="510"/>
      <c r="O239" s="510"/>
      <c r="P239" s="510"/>
      <c r="Q239" s="510"/>
      <c r="R239" s="510"/>
      <c r="S239" s="510"/>
      <c r="T239" s="510"/>
      <c r="U239" s="510"/>
      <c r="V239" s="510"/>
      <c r="W239" s="510"/>
      <c r="X239" s="510"/>
      <c r="Y239" s="510"/>
      <c r="Z239" s="510"/>
      <c r="AA239" s="510"/>
      <c r="AB239" s="510"/>
      <c r="AC239" s="510"/>
      <c r="AD239" s="510"/>
    </row>
    <row r="240" ht="28.5" customHeight="1">
      <c r="A240" s="288"/>
      <c r="B240" s="510"/>
      <c r="C240" s="510"/>
      <c r="D240" s="288"/>
      <c r="E240" s="511"/>
      <c r="F240" s="510"/>
      <c r="G240" s="510"/>
      <c r="H240" s="510"/>
      <c r="I240" s="510"/>
      <c r="J240" s="510"/>
      <c r="K240" s="510"/>
      <c r="L240" s="510"/>
      <c r="M240" s="510"/>
      <c r="N240" s="510"/>
      <c r="O240" s="510"/>
      <c r="P240" s="510"/>
      <c r="Q240" s="510"/>
      <c r="R240" s="510"/>
      <c r="S240" s="510"/>
      <c r="T240" s="510"/>
      <c r="U240" s="510"/>
      <c r="V240" s="510"/>
      <c r="W240" s="510"/>
      <c r="X240" s="510"/>
      <c r="Y240" s="510"/>
      <c r="Z240" s="510"/>
      <c r="AA240" s="510"/>
      <c r="AB240" s="510"/>
      <c r="AC240" s="510"/>
      <c r="AD240" s="510"/>
    </row>
    <row r="241" ht="28.5" customHeight="1">
      <c r="A241" s="288"/>
      <c r="B241" s="510"/>
      <c r="C241" s="510"/>
      <c r="D241" s="288"/>
      <c r="E241" s="511"/>
      <c r="F241" s="510"/>
      <c r="G241" s="510"/>
      <c r="H241" s="510"/>
      <c r="I241" s="510"/>
      <c r="J241" s="510"/>
      <c r="K241" s="510"/>
      <c r="L241" s="510"/>
      <c r="M241" s="510"/>
      <c r="N241" s="510"/>
      <c r="O241" s="510"/>
      <c r="P241" s="510"/>
      <c r="Q241" s="510"/>
      <c r="R241" s="510"/>
      <c r="S241" s="510"/>
      <c r="T241" s="510"/>
      <c r="U241" s="510"/>
      <c r="V241" s="510"/>
      <c r="W241" s="510"/>
      <c r="X241" s="510"/>
      <c r="Y241" s="510"/>
      <c r="Z241" s="510"/>
      <c r="AA241" s="510"/>
      <c r="AB241" s="510"/>
      <c r="AC241" s="510"/>
      <c r="AD241" s="510"/>
    </row>
    <row r="242" ht="28.5" customHeight="1">
      <c r="A242" s="288"/>
      <c r="B242" s="510"/>
      <c r="C242" s="510"/>
      <c r="D242" s="288"/>
      <c r="E242" s="511"/>
      <c r="F242" s="510"/>
      <c r="G242" s="510"/>
      <c r="H242" s="510"/>
      <c r="I242" s="510"/>
      <c r="J242" s="510"/>
      <c r="K242" s="510"/>
      <c r="L242" s="510"/>
      <c r="M242" s="510"/>
      <c r="N242" s="510"/>
      <c r="O242" s="510"/>
      <c r="P242" s="510"/>
      <c r="Q242" s="510"/>
      <c r="R242" s="510"/>
      <c r="S242" s="510"/>
      <c r="T242" s="510"/>
      <c r="U242" s="510"/>
      <c r="V242" s="510"/>
      <c r="W242" s="510"/>
      <c r="X242" s="510"/>
      <c r="Y242" s="510"/>
      <c r="Z242" s="510"/>
      <c r="AA242" s="510"/>
      <c r="AB242" s="510"/>
      <c r="AC242" s="510"/>
      <c r="AD242" s="510"/>
    </row>
    <row r="243" ht="28.5" customHeight="1">
      <c r="A243" s="288"/>
      <c r="B243" s="510"/>
      <c r="C243" s="510"/>
      <c r="D243" s="288"/>
      <c r="E243" s="511"/>
      <c r="F243" s="510"/>
      <c r="G243" s="510"/>
      <c r="H243" s="510"/>
      <c r="I243" s="510"/>
      <c r="J243" s="510"/>
      <c r="K243" s="510"/>
      <c r="L243" s="510"/>
      <c r="M243" s="510"/>
      <c r="N243" s="510"/>
      <c r="O243" s="510"/>
      <c r="P243" s="510"/>
      <c r="Q243" s="510"/>
      <c r="R243" s="510"/>
      <c r="S243" s="510"/>
      <c r="T243" s="510"/>
      <c r="U243" s="510"/>
      <c r="V243" s="510"/>
      <c r="W243" s="510"/>
      <c r="X243" s="510"/>
      <c r="Y243" s="510"/>
      <c r="Z243" s="510"/>
      <c r="AA243" s="510"/>
      <c r="AB243" s="510"/>
      <c r="AC243" s="510"/>
      <c r="AD243" s="510"/>
    </row>
    <row r="244" ht="28.5" customHeight="1">
      <c r="A244" s="288"/>
      <c r="B244" s="510"/>
      <c r="C244" s="510"/>
      <c r="D244" s="288"/>
      <c r="E244" s="511"/>
      <c r="F244" s="510"/>
      <c r="G244" s="510"/>
      <c r="H244" s="510"/>
      <c r="I244" s="510"/>
      <c r="J244" s="510"/>
      <c r="K244" s="510"/>
      <c r="L244" s="510"/>
      <c r="M244" s="510"/>
      <c r="N244" s="510"/>
      <c r="O244" s="510"/>
      <c r="P244" s="510"/>
      <c r="Q244" s="510"/>
      <c r="R244" s="510"/>
      <c r="S244" s="510"/>
      <c r="T244" s="510"/>
      <c r="U244" s="510"/>
      <c r="V244" s="510"/>
      <c r="W244" s="510"/>
      <c r="X244" s="510"/>
      <c r="Y244" s="510"/>
      <c r="Z244" s="510"/>
      <c r="AA244" s="510"/>
      <c r="AB244" s="510"/>
      <c r="AC244" s="510"/>
      <c r="AD244" s="510"/>
    </row>
    <row r="245" ht="28.5" customHeight="1">
      <c r="A245" s="288"/>
      <c r="B245" s="510"/>
      <c r="C245" s="510"/>
      <c r="D245" s="288"/>
      <c r="E245" s="511"/>
      <c r="F245" s="510"/>
      <c r="G245" s="510"/>
      <c r="H245" s="510"/>
      <c r="I245" s="510"/>
      <c r="J245" s="510"/>
      <c r="K245" s="510"/>
      <c r="L245" s="510"/>
      <c r="M245" s="510"/>
      <c r="N245" s="510"/>
      <c r="O245" s="510"/>
      <c r="P245" s="510"/>
      <c r="Q245" s="510"/>
      <c r="R245" s="510"/>
      <c r="S245" s="510"/>
      <c r="T245" s="510"/>
      <c r="U245" s="510"/>
      <c r="V245" s="510"/>
      <c r="W245" s="510"/>
      <c r="X245" s="510"/>
      <c r="Y245" s="510"/>
      <c r="Z245" s="510"/>
      <c r="AA245" s="510"/>
      <c r="AB245" s="510"/>
      <c r="AC245" s="510"/>
      <c r="AD245" s="510"/>
    </row>
    <row r="246" ht="28.5" customHeight="1">
      <c r="A246" s="288"/>
      <c r="B246" s="510"/>
      <c r="C246" s="510"/>
      <c r="D246" s="288"/>
      <c r="E246" s="511"/>
      <c r="F246" s="510"/>
      <c r="G246" s="510"/>
      <c r="H246" s="510"/>
      <c r="I246" s="510"/>
      <c r="J246" s="510"/>
      <c r="K246" s="510"/>
      <c r="L246" s="510"/>
      <c r="M246" s="510"/>
      <c r="N246" s="510"/>
      <c r="O246" s="510"/>
      <c r="P246" s="510"/>
      <c r="Q246" s="510"/>
      <c r="R246" s="510"/>
      <c r="S246" s="510"/>
      <c r="T246" s="510"/>
      <c r="U246" s="510"/>
      <c r="V246" s="510"/>
      <c r="W246" s="510"/>
      <c r="X246" s="510"/>
      <c r="Y246" s="510"/>
      <c r="Z246" s="510"/>
      <c r="AA246" s="510"/>
      <c r="AB246" s="510"/>
      <c r="AC246" s="510"/>
      <c r="AD246" s="510"/>
    </row>
    <row r="247" ht="28.5" customHeight="1">
      <c r="A247" s="288"/>
      <c r="B247" s="510"/>
      <c r="C247" s="510"/>
      <c r="D247" s="288"/>
      <c r="E247" s="511"/>
      <c r="F247" s="510"/>
      <c r="G247" s="510"/>
      <c r="H247" s="510"/>
      <c r="I247" s="510"/>
      <c r="J247" s="510"/>
      <c r="K247" s="510"/>
      <c r="L247" s="510"/>
      <c r="M247" s="510"/>
      <c r="N247" s="510"/>
      <c r="O247" s="510"/>
      <c r="P247" s="510"/>
      <c r="Q247" s="510"/>
      <c r="R247" s="510"/>
      <c r="S247" s="510"/>
      <c r="T247" s="510"/>
      <c r="U247" s="510"/>
      <c r="V247" s="510"/>
      <c r="W247" s="510"/>
      <c r="X247" s="510"/>
      <c r="Y247" s="510"/>
      <c r="Z247" s="510"/>
      <c r="AA247" s="510"/>
      <c r="AB247" s="510"/>
      <c r="AC247" s="510"/>
      <c r="AD247" s="510"/>
    </row>
    <row r="248" ht="28.5" customHeight="1">
      <c r="A248" s="288"/>
      <c r="B248" s="510"/>
      <c r="C248" s="510"/>
      <c r="D248" s="288"/>
      <c r="E248" s="511"/>
      <c r="F248" s="510"/>
      <c r="G248" s="510"/>
      <c r="H248" s="510"/>
      <c r="I248" s="510"/>
      <c r="J248" s="510"/>
      <c r="K248" s="510"/>
      <c r="L248" s="510"/>
      <c r="M248" s="510"/>
      <c r="N248" s="510"/>
      <c r="O248" s="510"/>
      <c r="P248" s="510"/>
      <c r="Q248" s="510"/>
      <c r="R248" s="510"/>
      <c r="S248" s="510"/>
      <c r="T248" s="510"/>
      <c r="U248" s="510"/>
      <c r="V248" s="510"/>
      <c r="W248" s="510"/>
      <c r="X248" s="510"/>
      <c r="Y248" s="510"/>
      <c r="Z248" s="510"/>
      <c r="AA248" s="510"/>
      <c r="AB248" s="510"/>
      <c r="AC248" s="510"/>
      <c r="AD248" s="510"/>
    </row>
    <row r="249" ht="28.5" customHeight="1">
      <c r="A249" s="288"/>
      <c r="B249" s="510"/>
      <c r="C249" s="510"/>
      <c r="D249" s="288"/>
      <c r="E249" s="511"/>
      <c r="F249" s="510"/>
      <c r="G249" s="510"/>
      <c r="H249" s="510"/>
      <c r="I249" s="510"/>
      <c r="J249" s="510"/>
      <c r="K249" s="510"/>
      <c r="L249" s="510"/>
      <c r="M249" s="510"/>
      <c r="N249" s="510"/>
      <c r="O249" s="510"/>
      <c r="P249" s="510"/>
      <c r="Q249" s="510"/>
      <c r="R249" s="510"/>
      <c r="S249" s="510"/>
      <c r="T249" s="510"/>
      <c r="U249" s="510"/>
      <c r="V249" s="510"/>
      <c r="W249" s="510"/>
      <c r="X249" s="510"/>
      <c r="Y249" s="510"/>
      <c r="Z249" s="510"/>
      <c r="AA249" s="510"/>
      <c r="AB249" s="510"/>
      <c r="AC249" s="510"/>
      <c r="AD249" s="510"/>
    </row>
    <row r="250" ht="28.5" customHeight="1">
      <c r="A250" s="288"/>
      <c r="B250" s="510"/>
      <c r="C250" s="510"/>
      <c r="D250" s="288"/>
      <c r="E250" s="511"/>
      <c r="F250" s="510"/>
      <c r="G250" s="510"/>
      <c r="H250" s="510"/>
      <c r="I250" s="510"/>
      <c r="J250" s="510"/>
      <c r="K250" s="510"/>
      <c r="L250" s="510"/>
      <c r="M250" s="510"/>
      <c r="N250" s="510"/>
      <c r="O250" s="510"/>
      <c r="P250" s="510"/>
      <c r="Q250" s="510"/>
      <c r="R250" s="510"/>
      <c r="S250" s="510"/>
      <c r="T250" s="510"/>
      <c r="U250" s="510"/>
      <c r="V250" s="510"/>
      <c r="W250" s="510"/>
      <c r="X250" s="510"/>
      <c r="Y250" s="510"/>
      <c r="Z250" s="510"/>
      <c r="AA250" s="510"/>
      <c r="AB250" s="510"/>
      <c r="AC250" s="510"/>
      <c r="AD250" s="510"/>
    </row>
    <row r="251" ht="28.5" customHeight="1">
      <c r="A251" s="288"/>
      <c r="B251" s="510"/>
      <c r="C251" s="510"/>
      <c r="D251" s="288"/>
      <c r="E251" s="511"/>
      <c r="F251" s="510"/>
      <c r="G251" s="510"/>
      <c r="H251" s="510"/>
      <c r="I251" s="510"/>
      <c r="J251" s="510"/>
      <c r="K251" s="510"/>
      <c r="L251" s="510"/>
      <c r="M251" s="510"/>
      <c r="N251" s="510"/>
      <c r="O251" s="510"/>
      <c r="P251" s="510"/>
      <c r="Q251" s="510"/>
      <c r="R251" s="510"/>
      <c r="S251" s="510"/>
      <c r="T251" s="510"/>
      <c r="U251" s="510"/>
      <c r="V251" s="510"/>
      <c r="W251" s="510"/>
      <c r="X251" s="510"/>
      <c r="Y251" s="510"/>
      <c r="Z251" s="510"/>
      <c r="AA251" s="510"/>
      <c r="AB251" s="510"/>
      <c r="AC251" s="510"/>
      <c r="AD251" s="510"/>
    </row>
    <row r="252" ht="28.5" customHeight="1">
      <c r="A252" s="288"/>
      <c r="B252" s="510"/>
      <c r="C252" s="510"/>
      <c r="D252" s="288"/>
      <c r="E252" s="511"/>
      <c r="F252" s="510"/>
      <c r="G252" s="510"/>
      <c r="H252" s="510"/>
      <c r="I252" s="510"/>
      <c r="J252" s="510"/>
      <c r="K252" s="510"/>
      <c r="L252" s="510"/>
      <c r="M252" s="510"/>
      <c r="N252" s="510"/>
      <c r="O252" s="510"/>
      <c r="P252" s="510"/>
      <c r="Q252" s="510"/>
      <c r="R252" s="510"/>
      <c r="S252" s="510"/>
      <c r="T252" s="510"/>
      <c r="U252" s="510"/>
      <c r="V252" s="510"/>
      <c r="W252" s="510"/>
      <c r="X252" s="510"/>
      <c r="Y252" s="510"/>
      <c r="Z252" s="510"/>
      <c r="AA252" s="510"/>
      <c r="AB252" s="510"/>
      <c r="AC252" s="510"/>
      <c r="AD252" s="510"/>
    </row>
    <row r="253" ht="28.5" customHeight="1">
      <c r="A253" s="288"/>
      <c r="B253" s="510"/>
      <c r="C253" s="510"/>
      <c r="D253" s="288"/>
      <c r="E253" s="511"/>
      <c r="F253" s="510"/>
      <c r="G253" s="510"/>
      <c r="H253" s="510"/>
      <c r="I253" s="510"/>
      <c r="J253" s="510"/>
      <c r="K253" s="510"/>
      <c r="L253" s="510"/>
      <c r="M253" s="510"/>
      <c r="N253" s="510"/>
      <c r="O253" s="510"/>
      <c r="P253" s="510"/>
      <c r="Q253" s="510"/>
      <c r="R253" s="510"/>
      <c r="S253" s="510"/>
      <c r="T253" s="510"/>
      <c r="U253" s="510"/>
      <c r="V253" s="510"/>
      <c r="W253" s="510"/>
      <c r="X253" s="510"/>
      <c r="Y253" s="510"/>
      <c r="Z253" s="510"/>
      <c r="AA253" s="510"/>
      <c r="AB253" s="510"/>
      <c r="AC253" s="510"/>
      <c r="AD253" s="510"/>
    </row>
    <row r="254" ht="28.5" customHeight="1">
      <c r="A254" s="288"/>
      <c r="B254" s="510"/>
      <c r="C254" s="510"/>
      <c r="D254" s="288"/>
      <c r="E254" s="511"/>
      <c r="F254" s="510"/>
      <c r="G254" s="510"/>
      <c r="H254" s="510"/>
      <c r="I254" s="510"/>
      <c r="J254" s="510"/>
      <c r="K254" s="510"/>
      <c r="L254" s="510"/>
      <c r="M254" s="510"/>
      <c r="N254" s="510"/>
      <c r="O254" s="510"/>
      <c r="P254" s="510"/>
      <c r="Q254" s="510"/>
      <c r="R254" s="510"/>
      <c r="S254" s="510"/>
      <c r="T254" s="510"/>
      <c r="U254" s="510"/>
      <c r="V254" s="510"/>
      <c r="W254" s="510"/>
      <c r="X254" s="510"/>
      <c r="Y254" s="510"/>
      <c r="Z254" s="510"/>
      <c r="AA254" s="510"/>
      <c r="AB254" s="510"/>
      <c r="AC254" s="510"/>
      <c r="AD254" s="510"/>
    </row>
    <row r="255" ht="28.5" customHeight="1">
      <c r="A255" s="288"/>
      <c r="B255" s="510"/>
      <c r="C255" s="510"/>
      <c r="D255" s="288"/>
      <c r="E255" s="511"/>
      <c r="F255" s="510"/>
      <c r="G255" s="510"/>
      <c r="H255" s="510"/>
      <c r="I255" s="510"/>
      <c r="J255" s="510"/>
      <c r="K255" s="510"/>
      <c r="L255" s="510"/>
      <c r="M255" s="510"/>
      <c r="N255" s="510"/>
      <c r="O255" s="510"/>
      <c r="P255" s="510"/>
      <c r="Q255" s="510"/>
      <c r="R255" s="510"/>
      <c r="S255" s="510"/>
      <c r="T255" s="510"/>
      <c r="U255" s="510"/>
      <c r="V255" s="510"/>
      <c r="W255" s="510"/>
      <c r="X255" s="510"/>
      <c r="Y255" s="510"/>
      <c r="Z255" s="510"/>
      <c r="AA255" s="510"/>
      <c r="AB255" s="510"/>
      <c r="AC255" s="510"/>
      <c r="AD255" s="510"/>
    </row>
    <row r="256" ht="28.5" customHeight="1">
      <c r="A256" s="288"/>
      <c r="B256" s="510"/>
      <c r="C256" s="510"/>
      <c r="D256" s="288"/>
      <c r="E256" s="511"/>
      <c r="F256" s="510"/>
      <c r="G256" s="510"/>
      <c r="H256" s="510"/>
      <c r="I256" s="510"/>
      <c r="J256" s="510"/>
      <c r="K256" s="510"/>
      <c r="L256" s="510"/>
      <c r="M256" s="510"/>
      <c r="N256" s="510"/>
      <c r="O256" s="510"/>
      <c r="P256" s="510"/>
      <c r="Q256" s="510"/>
      <c r="R256" s="510"/>
      <c r="S256" s="510"/>
      <c r="T256" s="510"/>
      <c r="U256" s="510"/>
      <c r="V256" s="510"/>
      <c r="W256" s="510"/>
      <c r="X256" s="510"/>
      <c r="Y256" s="510"/>
      <c r="Z256" s="510"/>
      <c r="AA256" s="510"/>
      <c r="AB256" s="510"/>
      <c r="AC256" s="510"/>
      <c r="AD256" s="510"/>
    </row>
    <row r="257" ht="28.5" customHeight="1">
      <c r="A257" s="288"/>
      <c r="B257" s="510"/>
      <c r="C257" s="510"/>
      <c r="D257" s="288"/>
      <c r="E257" s="511"/>
      <c r="F257" s="510"/>
      <c r="G257" s="510"/>
      <c r="H257" s="510"/>
      <c r="I257" s="510"/>
      <c r="J257" s="510"/>
      <c r="K257" s="510"/>
      <c r="L257" s="510"/>
      <c r="M257" s="510"/>
      <c r="N257" s="510"/>
      <c r="O257" s="510"/>
      <c r="P257" s="510"/>
      <c r="Q257" s="510"/>
      <c r="R257" s="510"/>
      <c r="S257" s="510"/>
      <c r="T257" s="510"/>
      <c r="U257" s="510"/>
      <c r="V257" s="510"/>
      <c r="W257" s="510"/>
      <c r="X257" s="510"/>
      <c r="Y257" s="510"/>
      <c r="Z257" s="510"/>
      <c r="AA257" s="510"/>
      <c r="AB257" s="510"/>
      <c r="AC257" s="510"/>
      <c r="AD257" s="510"/>
    </row>
    <row r="258" ht="28.5" customHeight="1">
      <c r="A258" s="288"/>
      <c r="B258" s="510"/>
      <c r="C258" s="510"/>
      <c r="D258" s="288"/>
      <c r="E258" s="511"/>
      <c r="F258" s="510"/>
      <c r="G258" s="510"/>
      <c r="H258" s="510"/>
      <c r="I258" s="510"/>
      <c r="J258" s="510"/>
      <c r="K258" s="510"/>
      <c r="L258" s="510"/>
      <c r="M258" s="510"/>
      <c r="N258" s="510"/>
      <c r="O258" s="510"/>
      <c r="P258" s="510"/>
      <c r="Q258" s="510"/>
      <c r="R258" s="510"/>
      <c r="S258" s="510"/>
      <c r="T258" s="510"/>
      <c r="U258" s="510"/>
      <c r="V258" s="510"/>
      <c r="W258" s="510"/>
      <c r="X258" s="510"/>
      <c r="Y258" s="510"/>
      <c r="Z258" s="510"/>
      <c r="AA258" s="510"/>
      <c r="AB258" s="510"/>
      <c r="AC258" s="510"/>
      <c r="AD258" s="510"/>
    </row>
    <row r="259" ht="28.5" customHeight="1">
      <c r="A259" s="288"/>
      <c r="B259" s="510"/>
      <c r="C259" s="510"/>
      <c r="D259" s="288"/>
      <c r="E259" s="511"/>
      <c r="F259" s="510"/>
      <c r="G259" s="510"/>
      <c r="H259" s="510"/>
      <c r="I259" s="510"/>
      <c r="J259" s="510"/>
      <c r="K259" s="510"/>
      <c r="L259" s="510"/>
      <c r="M259" s="510"/>
      <c r="N259" s="510"/>
      <c r="O259" s="510"/>
      <c r="P259" s="510"/>
      <c r="Q259" s="510"/>
      <c r="R259" s="510"/>
      <c r="S259" s="510"/>
      <c r="T259" s="510"/>
      <c r="U259" s="510"/>
      <c r="V259" s="510"/>
      <c r="W259" s="510"/>
      <c r="X259" s="510"/>
      <c r="Y259" s="510"/>
      <c r="Z259" s="510"/>
      <c r="AA259" s="510"/>
      <c r="AB259" s="510"/>
      <c r="AC259" s="510"/>
      <c r="AD259" s="510"/>
    </row>
    <row r="260" ht="28.5" customHeight="1">
      <c r="A260" s="288"/>
      <c r="B260" s="510"/>
      <c r="C260" s="510"/>
      <c r="D260" s="288"/>
      <c r="E260" s="511"/>
      <c r="F260" s="510"/>
      <c r="G260" s="510"/>
      <c r="H260" s="510"/>
      <c r="I260" s="510"/>
      <c r="J260" s="510"/>
      <c r="K260" s="510"/>
      <c r="L260" s="510"/>
      <c r="M260" s="510"/>
      <c r="N260" s="510"/>
      <c r="O260" s="510"/>
      <c r="P260" s="510"/>
      <c r="Q260" s="510"/>
      <c r="R260" s="510"/>
      <c r="S260" s="510"/>
      <c r="T260" s="510"/>
      <c r="U260" s="510"/>
      <c r="V260" s="510"/>
      <c r="W260" s="510"/>
      <c r="X260" s="510"/>
      <c r="Y260" s="510"/>
      <c r="Z260" s="510"/>
      <c r="AA260" s="510"/>
      <c r="AB260" s="510"/>
      <c r="AC260" s="510"/>
      <c r="AD260" s="510"/>
    </row>
    <row r="261" ht="28.5" customHeight="1">
      <c r="A261" s="288"/>
      <c r="B261" s="510"/>
      <c r="C261" s="510"/>
      <c r="D261" s="288"/>
      <c r="E261" s="511"/>
      <c r="F261" s="510"/>
      <c r="G261" s="510"/>
      <c r="H261" s="510"/>
      <c r="I261" s="510"/>
      <c r="J261" s="510"/>
      <c r="K261" s="510"/>
      <c r="L261" s="510"/>
      <c r="M261" s="510"/>
      <c r="N261" s="510"/>
      <c r="O261" s="510"/>
      <c r="P261" s="510"/>
      <c r="Q261" s="510"/>
      <c r="R261" s="510"/>
      <c r="S261" s="510"/>
      <c r="T261" s="510"/>
      <c r="U261" s="510"/>
      <c r="V261" s="510"/>
      <c r="W261" s="510"/>
      <c r="X261" s="510"/>
      <c r="Y261" s="510"/>
      <c r="Z261" s="510"/>
      <c r="AA261" s="510"/>
      <c r="AB261" s="510"/>
      <c r="AC261" s="510"/>
      <c r="AD261" s="510"/>
    </row>
    <row r="262" ht="28.5" customHeight="1">
      <c r="A262" s="288"/>
      <c r="B262" s="510"/>
      <c r="C262" s="510"/>
      <c r="D262" s="288"/>
      <c r="E262" s="511"/>
      <c r="F262" s="510"/>
      <c r="G262" s="510"/>
      <c r="H262" s="510"/>
      <c r="I262" s="510"/>
      <c r="J262" s="510"/>
      <c r="K262" s="510"/>
      <c r="L262" s="510"/>
      <c r="M262" s="510"/>
      <c r="N262" s="510"/>
      <c r="O262" s="510"/>
      <c r="P262" s="510"/>
      <c r="Q262" s="510"/>
      <c r="R262" s="510"/>
      <c r="S262" s="510"/>
      <c r="T262" s="510"/>
      <c r="U262" s="510"/>
      <c r="V262" s="510"/>
      <c r="W262" s="510"/>
      <c r="X262" s="510"/>
      <c r="Y262" s="510"/>
      <c r="Z262" s="510"/>
      <c r="AA262" s="510"/>
      <c r="AB262" s="510"/>
      <c r="AC262" s="510"/>
      <c r="AD262" s="510"/>
    </row>
    <row r="263" ht="28.5" customHeight="1">
      <c r="A263" s="288"/>
      <c r="B263" s="510"/>
      <c r="C263" s="510"/>
      <c r="D263" s="288"/>
      <c r="E263" s="511"/>
      <c r="F263" s="510"/>
      <c r="G263" s="510"/>
      <c r="H263" s="510"/>
      <c r="I263" s="510"/>
      <c r="J263" s="510"/>
      <c r="K263" s="510"/>
      <c r="L263" s="510"/>
      <c r="M263" s="510"/>
      <c r="N263" s="510"/>
      <c r="O263" s="510"/>
      <c r="P263" s="510"/>
      <c r="Q263" s="510"/>
      <c r="R263" s="510"/>
      <c r="S263" s="510"/>
      <c r="T263" s="510"/>
      <c r="U263" s="510"/>
      <c r="V263" s="510"/>
      <c r="W263" s="510"/>
      <c r="X263" s="510"/>
      <c r="Y263" s="510"/>
      <c r="Z263" s="510"/>
      <c r="AA263" s="510"/>
      <c r="AB263" s="510"/>
      <c r="AC263" s="510"/>
      <c r="AD263" s="510"/>
    </row>
    <row r="264" ht="28.5" customHeight="1">
      <c r="A264" s="288"/>
      <c r="B264" s="510"/>
      <c r="C264" s="510"/>
      <c r="D264" s="288"/>
      <c r="E264" s="511"/>
      <c r="F264" s="510"/>
      <c r="G264" s="510"/>
      <c r="H264" s="510"/>
      <c r="I264" s="510"/>
      <c r="J264" s="510"/>
      <c r="K264" s="510"/>
      <c r="L264" s="510"/>
      <c r="M264" s="510"/>
      <c r="N264" s="510"/>
      <c r="O264" s="510"/>
      <c r="P264" s="510"/>
      <c r="Q264" s="510"/>
      <c r="R264" s="510"/>
      <c r="S264" s="510"/>
      <c r="T264" s="510"/>
      <c r="U264" s="510"/>
      <c r="V264" s="510"/>
      <c r="W264" s="510"/>
      <c r="X264" s="510"/>
      <c r="Y264" s="510"/>
      <c r="Z264" s="510"/>
      <c r="AA264" s="510"/>
      <c r="AB264" s="510"/>
      <c r="AC264" s="510"/>
      <c r="AD264" s="510"/>
    </row>
    <row r="265" ht="28.5" customHeight="1">
      <c r="A265" s="288"/>
      <c r="B265" s="510"/>
      <c r="C265" s="510"/>
      <c r="D265" s="288"/>
      <c r="E265" s="511"/>
      <c r="F265" s="510"/>
      <c r="G265" s="510"/>
      <c r="H265" s="510"/>
      <c r="I265" s="510"/>
      <c r="J265" s="510"/>
      <c r="K265" s="510"/>
      <c r="L265" s="510"/>
      <c r="M265" s="510"/>
      <c r="N265" s="510"/>
      <c r="O265" s="510"/>
      <c r="P265" s="510"/>
      <c r="Q265" s="510"/>
      <c r="R265" s="510"/>
      <c r="S265" s="510"/>
      <c r="T265" s="510"/>
      <c r="U265" s="510"/>
      <c r="V265" s="510"/>
      <c r="W265" s="510"/>
      <c r="X265" s="510"/>
      <c r="Y265" s="510"/>
      <c r="Z265" s="510"/>
      <c r="AA265" s="510"/>
      <c r="AB265" s="510"/>
      <c r="AC265" s="510"/>
      <c r="AD265" s="510"/>
    </row>
    <row r="266" ht="28.5" customHeight="1">
      <c r="A266" s="288"/>
      <c r="B266" s="510"/>
      <c r="C266" s="510"/>
      <c r="D266" s="288"/>
      <c r="E266" s="511"/>
      <c r="F266" s="510"/>
      <c r="G266" s="510"/>
      <c r="H266" s="510"/>
      <c r="I266" s="510"/>
      <c r="J266" s="510"/>
      <c r="K266" s="510"/>
      <c r="L266" s="510"/>
      <c r="M266" s="510"/>
      <c r="N266" s="510"/>
      <c r="O266" s="510"/>
      <c r="P266" s="510"/>
      <c r="Q266" s="510"/>
      <c r="R266" s="510"/>
      <c r="S266" s="510"/>
      <c r="T266" s="510"/>
      <c r="U266" s="510"/>
      <c r="V266" s="510"/>
      <c r="W266" s="510"/>
      <c r="X266" s="510"/>
      <c r="Y266" s="510"/>
      <c r="Z266" s="510"/>
      <c r="AA266" s="510"/>
      <c r="AB266" s="510"/>
      <c r="AC266" s="510"/>
      <c r="AD266" s="510"/>
    </row>
    <row r="267" ht="28.5" customHeight="1">
      <c r="A267" s="288"/>
      <c r="B267" s="510"/>
      <c r="C267" s="510"/>
      <c r="D267" s="288"/>
      <c r="E267" s="511"/>
      <c r="F267" s="510"/>
      <c r="G267" s="510"/>
      <c r="H267" s="510"/>
      <c r="I267" s="510"/>
      <c r="J267" s="510"/>
      <c r="K267" s="510"/>
      <c r="L267" s="510"/>
      <c r="M267" s="510"/>
      <c r="N267" s="510"/>
      <c r="O267" s="510"/>
      <c r="P267" s="510"/>
      <c r="Q267" s="510"/>
      <c r="R267" s="510"/>
      <c r="S267" s="510"/>
      <c r="T267" s="510"/>
      <c r="U267" s="510"/>
      <c r="V267" s="510"/>
      <c r="W267" s="510"/>
      <c r="X267" s="510"/>
      <c r="Y267" s="510"/>
      <c r="Z267" s="510"/>
      <c r="AA267" s="510"/>
      <c r="AB267" s="510"/>
      <c r="AC267" s="510"/>
      <c r="AD267" s="510"/>
    </row>
    <row r="268" ht="28.5" customHeight="1">
      <c r="A268" s="288"/>
      <c r="B268" s="510"/>
      <c r="C268" s="510"/>
      <c r="D268" s="288"/>
      <c r="E268" s="511"/>
      <c r="F268" s="510"/>
      <c r="G268" s="510"/>
      <c r="H268" s="510"/>
      <c r="I268" s="510"/>
      <c r="J268" s="510"/>
      <c r="K268" s="510"/>
      <c r="L268" s="510"/>
      <c r="M268" s="510"/>
      <c r="N268" s="510"/>
      <c r="O268" s="510"/>
      <c r="P268" s="510"/>
      <c r="Q268" s="510"/>
      <c r="R268" s="510"/>
      <c r="S268" s="510"/>
      <c r="T268" s="510"/>
      <c r="U268" s="510"/>
      <c r="V268" s="510"/>
      <c r="W268" s="510"/>
      <c r="X268" s="510"/>
      <c r="Y268" s="510"/>
      <c r="Z268" s="510"/>
      <c r="AA268" s="510"/>
      <c r="AB268" s="510"/>
      <c r="AC268" s="510"/>
      <c r="AD268" s="510"/>
    </row>
    <row r="269" ht="28.5" customHeight="1">
      <c r="A269" s="288"/>
      <c r="B269" s="510"/>
      <c r="C269" s="510"/>
      <c r="D269" s="288"/>
      <c r="E269" s="511"/>
      <c r="F269" s="510"/>
      <c r="G269" s="510"/>
      <c r="H269" s="510"/>
      <c r="I269" s="510"/>
      <c r="J269" s="510"/>
      <c r="K269" s="510"/>
      <c r="L269" s="510"/>
      <c r="M269" s="510"/>
      <c r="N269" s="510"/>
      <c r="O269" s="510"/>
      <c r="P269" s="510"/>
      <c r="Q269" s="510"/>
      <c r="R269" s="510"/>
      <c r="S269" s="510"/>
      <c r="T269" s="510"/>
      <c r="U269" s="510"/>
      <c r="V269" s="510"/>
      <c r="W269" s="510"/>
      <c r="X269" s="510"/>
      <c r="Y269" s="510"/>
      <c r="Z269" s="510"/>
      <c r="AA269" s="510"/>
      <c r="AB269" s="510"/>
      <c r="AC269" s="510"/>
      <c r="AD269" s="510"/>
    </row>
    <row r="270" ht="28.5" customHeight="1">
      <c r="A270" s="288"/>
      <c r="B270" s="510"/>
      <c r="C270" s="510"/>
      <c r="D270" s="288"/>
      <c r="E270" s="511"/>
      <c r="F270" s="510"/>
      <c r="G270" s="510"/>
      <c r="H270" s="510"/>
      <c r="I270" s="510"/>
      <c r="J270" s="510"/>
      <c r="K270" s="510"/>
      <c r="L270" s="510"/>
      <c r="M270" s="510"/>
      <c r="N270" s="510"/>
      <c r="O270" s="510"/>
      <c r="P270" s="510"/>
      <c r="Q270" s="510"/>
      <c r="R270" s="510"/>
      <c r="S270" s="510"/>
      <c r="T270" s="510"/>
      <c r="U270" s="510"/>
      <c r="V270" s="510"/>
      <c r="W270" s="510"/>
      <c r="X270" s="510"/>
      <c r="Y270" s="510"/>
      <c r="Z270" s="510"/>
      <c r="AA270" s="510"/>
      <c r="AB270" s="510"/>
      <c r="AC270" s="510"/>
      <c r="AD270" s="510"/>
    </row>
    <row r="271" ht="28.5" customHeight="1">
      <c r="A271" s="288"/>
      <c r="B271" s="510"/>
      <c r="C271" s="510"/>
      <c r="D271" s="288"/>
      <c r="E271" s="511"/>
      <c r="F271" s="510"/>
      <c r="G271" s="510"/>
      <c r="H271" s="510"/>
      <c r="I271" s="510"/>
      <c r="J271" s="510"/>
      <c r="K271" s="510"/>
      <c r="L271" s="510"/>
      <c r="M271" s="510"/>
      <c r="N271" s="510"/>
      <c r="O271" s="510"/>
      <c r="P271" s="510"/>
      <c r="Q271" s="510"/>
      <c r="R271" s="510"/>
      <c r="S271" s="510"/>
      <c r="T271" s="510"/>
      <c r="U271" s="510"/>
      <c r="V271" s="510"/>
      <c r="W271" s="510"/>
      <c r="X271" s="510"/>
      <c r="Y271" s="510"/>
      <c r="Z271" s="510"/>
      <c r="AA271" s="510"/>
      <c r="AB271" s="510"/>
      <c r="AC271" s="510"/>
      <c r="AD271" s="510"/>
    </row>
    <row r="272" ht="28.5" customHeight="1">
      <c r="A272" s="288"/>
      <c r="B272" s="510"/>
      <c r="C272" s="510"/>
      <c r="D272" s="288"/>
      <c r="E272" s="511"/>
      <c r="F272" s="510"/>
      <c r="G272" s="510"/>
      <c r="H272" s="510"/>
      <c r="I272" s="510"/>
      <c r="J272" s="510"/>
      <c r="K272" s="510"/>
      <c r="L272" s="510"/>
      <c r="M272" s="510"/>
      <c r="N272" s="510"/>
      <c r="O272" s="510"/>
      <c r="P272" s="510"/>
      <c r="Q272" s="510"/>
      <c r="R272" s="510"/>
      <c r="S272" s="510"/>
      <c r="T272" s="510"/>
      <c r="U272" s="510"/>
      <c r="V272" s="510"/>
      <c r="W272" s="510"/>
      <c r="X272" s="510"/>
      <c r="Y272" s="510"/>
      <c r="Z272" s="510"/>
      <c r="AA272" s="510"/>
      <c r="AB272" s="510"/>
      <c r="AC272" s="510"/>
      <c r="AD272" s="510"/>
    </row>
    <row r="273" ht="28.5" customHeight="1">
      <c r="A273" s="288"/>
      <c r="B273" s="510"/>
      <c r="C273" s="510"/>
      <c r="D273" s="288"/>
      <c r="E273" s="511"/>
      <c r="F273" s="510"/>
      <c r="G273" s="510"/>
      <c r="H273" s="510"/>
      <c r="I273" s="510"/>
      <c r="J273" s="510"/>
      <c r="K273" s="510"/>
      <c r="L273" s="510"/>
      <c r="M273" s="510"/>
      <c r="N273" s="510"/>
      <c r="O273" s="510"/>
      <c r="P273" s="510"/>
      <c r="Q273" s="510"/>
      <c r="R273" s="510"/>
      <c r="S273" s="510"/>
      <c r="T273" s="510"/>
      <c r="U273" s="510"/>
      <c r="V273" s="510"/>
      <c r="W273" s="510"/>
      <c r="X273" s="510"/>
      <c r="Y273" s="510"/>
      <c r="Z273" s="510"/>
      <c r="AA273" s="510"/>
      <c r="AB273" s="510"/>
      <c r="AC273" s="510"/>
      <c r="AD273" s="510"/>
    </row>
    <row r="274" ht="28.5" customHeight="1">
      <c r="A274" s="288"/>
      <c r="B274" s="510"/>
      <c r="C274" s="510"/>
      <c r="D274" s="288"/>
      <c r="E274" s="511"/>
      <c r="F274" s="510"/>
      <c r="G274" s="510"/>
      <c r="H274" s="510"/>
      <c r="I274" s="510"/>
      <c r="J274" s="510"/>
      <c r="K274" s="510"/>
      <c r="L274" s="510"/>
      <c r="M274" s="510"/>
      <c r="N274" s="510"/>
      <c r="O274" s="510"/>
      <c r="P274" s="510"/>
      <c r="Q274" s="510"/>
      <c r="R274" s="510"/>
      <c r="S274" s="510"/>
      <c r="T274" s="510"/>
      <c r="U274" s="510"/>
      <c r="V274" s="510"/>
      <c r="W274" s="510"/>
      <c r="X274" s="510"/>
      <c r="Y274" s="510"/>
      <c r="Z274" s="510"/>
      <c r="AA274" s="510"/>
      <c r="AB274" s="510"/>
      <c r="AC274" s="510"/>
      <c r="AD274" s="510"/>
    </row>
    <row r="275" ht="28.5" customHeight="1">
      <c r="A275" s="288"/>
      <c r="B275" s="510"/>
      <c r="C275" s="510"/>
      <c r="D275" s="288"/>
      <c r="E275" s="511"/>
      <c r="F275" s="510"/>
      <c r="G275" s="510"/>
      <c r="H275" s="510"/>
      <c r="I275" s="510"/>
      <c r="J275" s="510"/>
      <c r="K275" s="510"/>
      <c r="L275" s="510"/>
      <c r="M275" s="510"/>
      <c r="N275" s="510"/>
      <c r="O275" s="510"/>
      <c r="P275" s="510"/>
      <c r="Q275" s="510"/>
      <c r="R275" s="510"/>
      <c r="S275" s="510"/>
      <c r="T275" s="510"/>
      <c r="U275" s="510"/>
      <c r="V275" s="510"/>
      <c r="W275" s="510"/>
      <c r="X275" s="510"/>
      <c r="Y275" s="510"/>
      <c r="Z275" s="510"/>
      <c r="AA275" s="510"/>
      <c r="AB275" s="510"/>
      <c r="AC275" s="510"/>
      <c r="AD275" s="510"/>
    </row>
    <row r="276" ht="28.5" customHeight="1">
      <c r="A276" s="288"/>
      <c r="B276" s="510"/>
      <c r="C276" s="510"/>
      <c r="D276" s="288"/>
      <c r="E276" s="511"/>
      <c r="F276" s="510"/>
      <c r="G276" s="510"/>
      <c r="H276" s="510"/>
      <c r="I276" s="510"/>
      <c r="J276" s="510"/>
      <c r="K276" s="510"/>
      <c r="L276" s="510"/>
      <c r="M276" s="510"/>
      <c r="N276" s="510"/>
      <c r="O276" s="510"/>
      <c r="P276" s="510"/>
      <c r="Q276" s="510"/>
      <c r="R276" s="510"/>
      <c r="S276" s="510"/>
      <c r="T276" s="510"/>
      <c r="U276" s="510"/>
      <c r="V276" s="510"/>
      <c r="W276" s="510"/>
      <c r="X276" s="510"/>
      <c r="Y276" s="510"/>
      <c r="Z276" s="510"/>
      <c r="AA276" s="510"/>
      <c r="AB276" s="510"/>
      <c r="AC276" s="510"/>
      <c r="AD276" s="510"/>
    </row>
    <row r="277" ht="28.5" customHeight="1">
      <c r="A277" s="288"/>
      <c r="B277" s="510"/>
      <c r="C277" s="510"/>
      <c r="D277" s="288"/>
      <c r="E277" s="511"/>
      <c r="F277" s="510"/>
      <c r="G277" s="510"/>
      <c r="H277" s="510"/>
      <c r="I277" s="510"/>
      <c r="J277" s="510"/>
      <c r="K277" s="510"/>
      <c r="L277" s="510"/>
      <c r="M277" s="510"/>
      <c r="N277" s="510"/>
      <c r="O277" s="510"/>
      <c r="P277" s="510"/>
      <c r="Q277" s="510"/>
      <c r="R277" s="510"/>
      <c r="S277" s="510"/>
      <c r="T277" s="510"/>
      <c r="U277" s="510"/>
      <c r="V277" s="510"/>
      <c r="W277" s="510"/>
      <c r="X277" s="510"/>
      <c r="Y277" s="510"/>
      <c r="Z277" s="510"/>
      <c r="AA277" s="510"/>
      <c r="AB277" s="510"/>
      <c r="AC277" s="510"/>
      <c r="AD277" s="510"/>
    </row>
    <row r="278" ht="28.5" customHeight="1">
      <c r="A278" s="288"/>
      <c r="B278" s="510"/>
      <c r="C278" s="510"/>
      <c r="D278" s="288"/>
      <c r="E278" s="511"/>
      <c r="F278" s="510"/>
      <c r="G278" s="510"/>
      <c r="H278" s="510"/>
      <c r="I278" s="510"/>
      <c r="J278" s="510"/>
      <c r="K278" s="510"/>
      <c r="L278" s="510"/>
      <c r="M278" s="510"/>
      <c r="N278" s="510"/>
      <c r="O278" s="510"/>
      <c r="P278" s="510"/>
      <c r="Q278" s="510"/>
      <c r="R278" s="510"/>
      <c r="S278" s="510"/>
      <c r="T278" s="510"/>
      <c r="U278" s="510"/>
      <c r="V278" s="510"/>
      <c r="W278" s="510"/>
      <c r="X278" s="510"/>
      <c r="Y278" s="510"/>
      <c r="Z278" s="510"/>
      <c r="AA278" s="510"/>
      <c r="AB278" s="510"/>
      <c r="AC278" s="510"/>
      <c r="AD278" s="510"/>
    </row>
    <row r="279" ht="28.5" customHeight="1">
      <c r="A279" s="288"/>
      <c r="B279" s="510"/>
      <c r="C279" s="510"/>
      <c r="D279" s="288"/>
      <c r="E279" s="511"/>
      <c r="F279" s="510"/>
      <c r="G279" s="510"/>
      <c r="H279" s="510"/>
      <c r="I279" s="510"/>
      <c r="J279" s="510"/>
      <c r="K279" s="510"/>
      <c r="L279" s="510"/>
      <c r="M279" s="510"/>
      <c r="N279" s="510"/>
      <c r="O279" s="510"/>
      <c r="P279" s="510"/>
      <c r="Q279" s="510"/>
      <c r="R279" s="510"/>
      <c r="S279" s="510"/>
      <c r="T279" s="510"/>
      <c r="U279" s="510"/>
      <c r="V279" s="510"/>
      <c r="W279" s="510"/>
      <c r="X279" s="510"/>
      <c r="Y279" s="510"/>
      <c r="Z279" s="510"/>
      <c r="AA279" s="510"/>
      <c r="AB279" s="510"/>
      <c r="AC279" s="510"/>
      <c r="AD279" s="510"/>
    </row>
    <row r="280" ht="28.5" customHeight="1">
      <c r="A280" s="288"/>
      <c r="B280" s="510"/>
      <c r="C280" s="510"/>
      <c r="D280" s="288"/>
      <c r="E280" s="511"/>
      <c r="F280" s="510"/>
      <c r="G280" s="510"/>
      <c r="H280" s="510"/>
      <c r="I280" s="510"/>
      <c r="J280" s="510"/>
      <c r="K280" s="510"/>
      <c r="L280" s="510"/>
      <c r="M280" s="510"/>
      <c r="N280" s="510"/>
      <c r="O280" s="510"/>
      <c r="P280" s="510"/>
      <c r="Q280" s="510"/>
      <c r="R280" s="510"/>
      <c r="S280" s="510"/>
      <c r="T280" s="510"/>
      <c r="U280" s="510"/>
      <c r="V280" s="510"/>
      <c r="W280" s="510"/>
      <c r="X280" s="510"/>
      <c r="Y280" s="510"/>
      <c r="Z280" s="510"/>
      <c r="AA280" s="510"/>
      <c r="AB280" s="510"/>
      <c r="AC280" s="510"/>
      <c r="AD280" s="510"/>
    </row>
    <row r="281" ht="28.5" customHeight="1">
      <c r="A281" s="288"/>
      <c r="B281" s="510"/>
      <c r="C281" s="510"/>
      <c r="D281" s="288"/>
      <c r="E281" s="511"/>
      <c r="F281" s="510"/>
      <c r="G281" s="510"/>
      <c r="H281" s="510"/>
      <c r="I281" s="510"/>
      <c r="J281" s="510"/>
      <c r="K281" s="510"/>
      <c r="L281" s="510"/>
      <c r="M281" s="510"/>
      <c r="N281" s="510"/>
      <c r="O281" s="510"/>
      <c r="P281" s="510"/>
      <c r="Q281" s="510"/>
      <c r="R281" s="510"/>
      <c r="S281" s="510"/>
      <c r="T281" s="510"/>
      <c r="U281" s="510"/>
      <c r="V281" s="510"/>
      <c r="W281" s="510"/>
      <c r="X281" s="510"/>
      <c r="Y281" s="510"/>
      <c r="Z281" s="510"/>
      <c r="AA281" s="510"/>
      <c r="AB281" s="510"/>
      <c r="AC281" s="510"/>
      <c r="AD281" s="510"/>
    </row>
    <row r="282" ht="28.5" customHeight="1">
      <c r="A282" s="288"/>
      <c r="B282" s="510"/>
      <c r="C282" s="510"/>
      <c r="D282" s="288"/>
      <c r="E282" s="511"/>
      <c r="F282" s="510"/>
      <c r="G282" s="510"/>
      <c r="H282" s="510"/>
      <c r="I282" s="510"/>
      <c r="J282" s="510"/>
      <c r="K282" s="510"/>
      <c r="L282" s="510"/>
      <c r="M282" s="510"/>
      <c r="N282" s="510"/>
      <c r="O282" s="510"/>
      <c r="P282" s="510"/>
      <c r="Q282" s="510"/>
      <c r="R282" s="510"/>
      <c r="S282" s="510"/>
      <c r="T282" s="510"/>
      <c r="U282" s="510"/>
      <c r="V282" s="510"/>
      <c r="W282" s="510"/>
      <c r="X282" s="510"/>
      <c r="Y282" s="510"/>
      <c r="Z282" s="510"/>
      <c r="AA282" s="510"/>
      <c r="AB282" s="510"/>
      <c r="AC282" s="510"/>
      <c r="AD282" s="510"/>
    </row>
    <row r="283" ht="28.5" customHeight="1">
      <c r="A283" s="288"/>
      <c r="B283" s="510"/>
      <c r="C283" s="510"/>
      <c r="D283" s="288"/>
      <c r="E283" s="511"/>
      <c r="F283" s="510"/>
      <c r="G283" s="510"/>
      <c r="H283" s="510"/>
      <c r="I283" s="510"/>
      <c r="J283" s="510"/>
      <c r="K283" s="510"/>
      <c r="L283" s="510"/>
      <c r="M283" s="510"/>
      <c r="N283" s="510"/>
      <c r="O283" s="510"/>
      <c r="P283" s="510"/>
      <c r="Q283" s="510"/>
      <c r="R283" s="510"/>
      <c r="S283" s="510"/>
      <c r="T283" s="510"/>
      <c r="U283" s="510"/>
      <c r="V283" s="510"/>
      <c r="W283" s="510"/>
      <c r="X283" s="510"/>
      <c r="Y283" s="510"/>
      <c r="Z283" s="510"/>
      <c r="AA283" s="510"/>
      <c r="AB283" s="510"/>
      <c r="AC283" s="510"/>
      <c r="AD283" s="510"/>
    </row>
    <row r="284" ht="28.5" customHeight="1">
      <c r="A284" s="288"/>
      <c r="B284" s="510"/>
      <c r="C284" s="510"/>
      <c r="D284" s="288"/>
      <c r="E284" s="511"/>
      <c r="F284" s="510"/>
      <c r="G284" s="510"/>
      <c r="H284" s="510"/>
      <c r="I284" s="510"/>
      <c r="J284" s="510"/>
      <c r="K284" s="510"/>
      <c r="L284" s="510"/>
      <c r="M284" s="510"/>
      <c r="N284" s="510"/>
      <c r="O284" s="510"/>
      <c r="P284" s="510"/>
      <c r="Q284" s="510"/>
      <c r="R284" s="510"/>
      <c r="S284" s="510"/>
      <c r="T284" s="510"/>
      <c r="U284" s="510"/>
      <c r="V284" s="510"/>
      <c r="W284" s="510"/>
      <c r="X284" s="510"/>
      <c r="Y284" s="510"/>
      <c r="Z284" s="510"/>
      <c r="AA284" s="510"/>
      <c r="AB284" s="510"/>
      <c r="AC284" s="510"/>
      <c r="AD284" s="510"/>
    </row>
    <row r="285" ht="28.5" customHeight="1">
      <c r="A285" s="288"/>
      <c r="B285" s="510"/>
      <c r="C285" s="510"/>
      <c r="D285" s="288"/>
      <c r="E285" s="511"/>
      <c r="F285" s="510"/>
      <c r="G285" s="510"/>
      <c r="H285" s="510"/>
      <c r="I285" s="510"/>
      <c r="J285" s="510"/>
      <c r="K285" s="510"/>
      <c r="L285" s="510"/>
      <c r="M285" s="510"/>
      <c r="N285" s="510"/>
      <c r="O285" s="510"/>
      <c r="P285" s="510"/>
      <c r="Q285" s="510"/>
      <c r="R285" s="510"/>
      <c r="S285" s="510"/>
      <c r="T285" s="510"/>
      <c r="U285" s="510"/>
      <c r="V285" s="510"/>
      <c r="W285" s="510"/>
      <c r="X285" s="510"/>
      <c r="Y285" s="510"/>
      <c r="Z285" s="510"/>
      <c r="AA285" s="510"/>
      <c r="AB285" s="510"/>
      <c r="AC285" s="510"/>
      <c r="AD285" s="510"/>
    </row>
    <row r="286" ht="28.5" customHeight="1">
      <c r="A286" s="288"/>
      <c r="B286" s="510"/>
      <c r="C286" s="510"/>
      <c r="D286" s="288"/>
      <c r="E286" s="511"/>
      <c r="F286" s="510"/>
      <c r="G286" s="510"/>
      <c r="H286" s="510"/>
      <c r="I286" s="510"/>
      <c r="J286" s="510"/>
      <c r="K286" s="510"/>
      <c r="L286" s="510"/>
      <c r="M286" s="510"/>
      <c r="N286" s="510"/>
      <c r="O286" s="510"/>
      <c r="P286" s="510"/>
      <c r="Q286" s="510"/>
      <c r="R286" s="510"/>
      <c r="S286" s="510"/>
      <c r="T286" s="510"/>
      <c r="U286" s="510"/>
      <c r="V286" s="510"/>
      <c r="W286" s="510"/>
      <c r="X286" s="510"/>
      <c r="Y286" s="510"/>
      <c r="Z286" s="510"/>
      <c r="AA286" s="510"/>
      <c r="AB286" s="510"/>
      <c r="AC286" s="510"/>
      <c r="AD286" s="510"/>
    </row>
    <row r="287" ht="28.5" customHeight="1">
      <c r="A287" s="288"/>
      <c r="B287" s="510"/>
      <c r="C287" s="510"/>
      <c r="D287" s="288"/>
      <c r="E287" s="511"/>
      <c r="F287" s="510"/>
      <c r="G287" s="510"/>
      <c r="H287" s="510"/>
      <c r="I287" s="510"/>
      <c r="J287" s="510"/>
      <c r="K287" s="510"/>
      <c r="L287" s="510"/>
      <c r="M287" s="510"/>
      <c r="N287" s="510"/>
      <c r="O287" s="510"/>
      <c r="P287" s="510"/>
      <c r="Q287" s="510"/>
      <c r="R287" s="510"/>
      <c r="S287" s="510"/>
      <c r="T287" s="510"/>
      <c r="U287" s="510"/>
      <c r="V287" s="510"/>
      <c r="W287" s="510"/>
      <c r="X287" s="510"/>
      <c r="Y287" s="510"/>
      <c r="Z287" s="510"/>
      <c r="AA287" s="510"/>
      <c r="AB287" s="510"/>
      <c r="AC287" s="510"/>
      <c r="AD287" s="510"/>
    </row>
    <row r="288" ht="28.5" customHeight="1">
      <c r="A288" s="288"/>
      <c r="B288" s="510"/>
      <c r="C288" s="510"/>
      <c r="D288" s="288"/>
      <c r="E288" s="511"/>
      <c r="F288" s="510"/>
      <c r="G288" s="510"/>
      <c r="H288" s="510"/>
      <c r="I288" s="510"/>
      <c r="J288" s="510"/>
      <c r="K288" s="510"/>
      <c r="L288" s="510"/>
      <c r="M288" s="510"/>
      <c r="N288" s="510"/>
      <c r="O288" s="510"/>
      <c r="P288" s="510"/>
      <c r="Q288" s="510"/>
      <c r="R288" s="510"/>
      <c r="S288" s="510"/>
      <c r="T288" s="510"/>
      <c r="U288" s="510"/>
      <c r="V288" s="510"/>
      <c r="W288" s="510"/>
      <c r="X288" s="510"/>
      <c r="Y288" s="510"/>
      <c r="Z288" s="510"/>
      <c r="AA288" s="510"/>
      <c r="AB288" s="510"/>
      <c r="AC288" s="510"/>
      <c r="AD288" s="510"/>
    </row>
    <row r="289" ht="28.5" customHeight="1">
      <c r="A289" s="288"/>
      <c r="B289" s="510"/>
      <c r="C289" s="510"/>
      <c r="D289" s="288"/>
      <c r="E289" s="511"/>
      <c r="F289" s="510"/>
      <c r="G289" s="510"/>
      <c r="H289" s="510"/>
      <c r="I289" s="510"/>
      <c r="J289" s="510"/>
      <c r="K289" s="510"/>
      <c r="L289" s="510"/>
      <c r="M289" s="510"/>
      <c r="N289" s="510"/>
      <c r="O289" s="510"/>
      <c r="P289" s="510"/>
      <c r="Q289" s="510"/>
      <c r="R289" s="510"/>
      <c r="S289" s="510"/>
      <c r="T289" s="510"/>
      <c r="U289" s="510"/>
      <c r="V289" s="510"/>
      <c r="W289" s="510"/>
      <c r="X289" s="510"/>
      <c r="Y289" s="510"/>
      <c r="Z289" s="510"/>
      <c r="AA289" s="510"/>
      <c r="AB289" s="510"/>
      <c r="AC289" s="510"/>
      <c r="AD289" s="510"/>
    </row>
    <row r="290" ht="28.5" customHeight="1">
      <c r="A290" s="288"/>
      <c r="B290" s="510"/>
      <c r="C290" s="510"/>
      <c r="D290" s="288"/>
      <c r="E290" s="511"/>
      <c r="F290" s="510"/>
      <c r="G290" s="510"/>
      <c r="H290" s="510"/>
      <c r="I290" s="510"/>
      <c r="J290" s="510"/>
      <c r="K290" s="510"/>
      <c r="L290" s="510"/>
      <c r="M290" s="510"/>
      <c r="N290" s="510"/>
      <c r="O290" s="510"/>
      <c r="P290" s="510"/>
      <c r="Q290" s="510"/>
      <c r="R290" s="510"/>
      <c r="S290" s="510"/>
      <c r="T290" s="510"/>
      <c r="U290" s="510"/>
      <c r="V290" s="510"/>
      <c r="W290" s="510"/>
      <c r="X290" s="510"/>
      <c r="Y290" s="510"/>
      <c r="Z290" s="510"/>
      <c r="AA290" s="510"/>
      <c r="AB290" s="510"/>
      <c r="AC290" s="510"/>
      <c r="AD290" s="510"/>
    </row>
    <row r="291" ht="28.5" customHeight="1">
      <c r="A291" s="288"/>
      <c r="B291" s="510"/>
      <c r="C291" s="510"/>
      <c r="D291" s="288"/>
      <c r="E291" s="511"/>
      <c r="F291" s="510"/>
      <c r="G291" s="510"/>
      <c r="H291" s="510"/>
      <c r="I291" s="510"/>
      <c r="J291" s="510"/>
      <c r="K291" s="510"/>
      <c r="L291" s="510"/>
      <c r="M291" s="510"/>
      <c r="N291" s="510"/>
      <c r="O291" s="510"/>
      <c r="P291" s="510"/>
      <c r="Q291" s="510"/>
      <c r="R291" s="510"/>
      <c r="S291" s="510"/>
      <c r="T291" s="510"/>
      <c r="U291" s="510"/>
      <c r="V291" s="510"/>
      <c r="W291" s="510"/>
      <c r="X291" s="510"/>
      <c r="Y291" s="510"/>
      <c r="Z291" s="510"/>
      <c r="AA291" s="510"/>
      <c r="AB291" s="510"/>
      <c r="AC291" s="510"/>
      <c r="AD291" s="510"/>
    </row>
    <row r="292" ht="28.5" customHeight="1">
      <c r="A292" s="288"/>
      <c r="B292" s="510"/>
      <c r="C292" s="510"/>
      <c r="D292" s="288"/>
      <c r="E292" s="511"/>
      <c r="F292" s="510"/>
      <c r="G292" s="510"/>
      <c r="H292" s="510"/>
      <c r="I292" s="510"/>
      <c r="J292" s="510"/>
      <c r="K292" s="510"/>
      <c r="L292" s="510"/>
      <c r="M292" s="510"/>
      <c r="N292" s="510"/>
      <c r="O292" s="510"/>
      <c r="P292" s="510"/>
      <c r="Q292" s="510"/>
      <c r="R292" s="510"/>
      <c r="S292" s="510"/>
      <c r="T292" s="510"/>
      <c r="U292" s="510"/>
      <c r="V292" s="510"/>
      <c r="W292" s="510"/>
      <c r="X292" s="510"/>
      <c r="Y292" s="510"/>
      <c r="Z292" s="510"/>
      <c r="AA292" s="510"/>
      <c r="AB292" s="510"/>
      <c r="AC292" s="510"/>
      <c r="AD292" s="510"/>
    </row>
    <row r="293" ht="28.5" customHeight="1">
      <c r="A293" s="288"/>
      <c r="B293" s="510"/>
      <c r="C293" s="510"/>
      <c r="D293" s="288"/>
      <c r="E293" s="511"/>
      <c r="F293" s="510"/>
      <c r="G293" s="510"/>
      <c r="H293" s="510"/>
      <c r="I293" s="510"/>
      <c r="J293" s="510"/>
      <c r="K293" s="510"/>
      <c r="L293" s="510"/>
      <c r="M293" s="510"/>
      <c r="N293" s="510"/>
      <c r="O293" s="510"/>
      <c r="P293" s="510"/>
      <c r="Q293" s="510"/>
      <c r="R293" s="510"/>
      <c r="S293" s="510"/>
      <c r="T293" s="510"/>
      <c r="U293" s="510"/>
      <c r="V293" s="510"/>
      <c r="W293" s="510"/>
      <c r="X293" s="510"/>
      <c r="Y293" s="510"/>
      <c r="Z293" s="510"/>
      <c r="AA293" s="510"/>
      <c r="AB293" s="510"/>
      <c r="AC293" s="510"/>
      <c r="AD293" s="510"/>
    </row>
    <row r="294" ht="28.5" customHeight="1">
      <c r="A294" s="288"/>
      <c r="B294" s="510"/>
      <c r="C294" s="510"/>
      <c r="D294" s="288"/>
      <c r="E294" s="511"/>
      <c r="F294" s="510"/>
      <c r="G294" s="510"/>
      <c r="H294" s="510"/>
      <c r="I294" s="510"/>
      <c r="J294" s="510"/>
      <c r="K294" s="510"/>
      <c r="L294" s="510"/>
      <c r="M294" s="510"/>
      <c r="N294" s="510"/>
      <c r="O294" s="510"/>
      <c r="P294" s="510"/>
      <c r="Q294" s="510"/>
      <c r="R294" s="510"/>
      <c r="S294" s="510"/>
      <c r="T294" s="510"/>
      <c r="U294" s="510"/>
      <c r="V294" s="510"/>
      <c r="W294" s="510"/>
      <c r="X294" s="510"/>
      <c r="Y294" s="510"/>
      <c r="Z294" s="510"/>
      <c r="AA294" s="510"/>
      <c r="AB294" s="510"/>
      <c r="AC294" s="510"/>
      <c r="AD294" s="510"/>
    </row>
    <row r="295" ht="28.5" customHeight="1">
      <c r="A295" s="288"/>
      <c r="B295" s="510"/>
      <c r="C295" s="510"/>
      <c r="D295" s="288"/>
      <c r="E295" s="511"/>
      <c r="F295" s="510"/>
      <c r="G295" s="510"/>
      <c r="H295" s="510"/>
      <c r="I295" s="510"/>
      <c r="J295" s="510"/>
      <c r="K295" s="510"/>
      <c r="L295" s="510"/>
      <c r="M295" s="510"/>
      <c r="N295" s="510"/>
      <c r="O295" s="510"/>
      <c r="P295" s="510"/>
      <c r="Q295" s="510"/>
      <c r="R295" s="510"/>
      <c r="S295" s="510"/>
      <c r="T295" s="510"/>
      <c r="U295" s="510"/>
      <c r="V295" s="510"/>
      <c r="W295" s="510"/>
      <c r="X295" s="510"/>
      <c r="Y295" s="510"/>
      <c r="Z295" s="510"/>
      <c r="AA295" s="510"/>
      <c r="AB295" s="510"/>
      <c r="AC295" s="510"/>
      <c r="AD295" s="510"/>
    </row>
    <row r="296" ht="28.5" customHeight="1">
      <c r="A296" s="288"/>
      <c r="B296" s="510"/>
      <c r="C296" s="510"/>
      <c r="D296" s="288"/>
      <c r="E296" s="511"/>
      <c r="F296" s="510"/>
      <c r="G296" s="510"/>
      <c r="H296" s="510"/>
      <c r="I296" s="510"/>
      <c r="J296" s="510"/>
      <c r="K296" s="510"/>
      <c r="L296" s="510"/>
      <c r="M296" s="510"/>
      <c r="N296" s="510"/>
      <c r="O296" s="510"/>
      <c r="P296" s="510"/>
      <c r="Q296" s="510"/>
      <c r="R296" s="510"/>
      <c r="S296" s="510"/>
      <c r="T296" s="510"/>
      <c r="U296" s="510"/>
      <c r="V296" s="510"/>
      <c r="W296" s="510"/>
      <c r="X296" s="510"/>
      <c r="Y296" s="510"/>
      <c r="Z296" s="510"/>
      <c r="AA296" s="510"/>
      <c r="AB296" s="510"/>
      <c r="AC296" s="510"/>
      <c r="AD296" s="510"/>
    </row>
    <row r="297" ht="28.5" customHeight="1">
      <c r="A297" s="288"/>
      <c r="B297" s="510"/>
      <c r="C297" s="510"/>
      <c r="D297" s="288"/>
      <c r="E297" s="511"/>
      <c r="F297" s="510"/>
      <c r="G297" s="510"/>
      <c r="H297" s="510"/>
      <c r="I297" s="510"/>
      <c r="J297" s="510"/>
      <c r="K297" s="510"/>
      <c r="L297" s="510"/>
      <c r="M297" s="510"/>
      <c r="N297" s="510"/>
      <c r="O297" s="510"/>
      <c r="P297" s="510"/>
      <c r="Q297" s="510"/>
      <c r="R297" s="510"/>
      <c r="S297" s="510"/>
      <c r="T297" s="510"/>
      <c r="U297" s="510"/>
      <c r="V297" s="510"/>
      <c r="W297" s="510"/>
      <c r="X297" s="510"/>
      <c r="Y297" s="510"/>
      <c r="Z297" s="510"/>
      <c r="AA297" s="510"/>
      <c r="AB297" s="510"/>
      <c r="AC297" s="510"/>
      <c r="AD297" s="510"/>
    </row>
    <row r="298" ht="28.5" customHeight="1">
      <c r="A298" s="288"/>
      <c r="B298" s="510"/>
      <c r="C298" s="510"/>
      <c r="D298" s="288"/>
      <c r="E298" s="511"/>
      <c r="F298" s="510"/>
      <c r="G298" s="510"/>
      <c r="H298" s="510"/>
      <c r="I298" s="510"/>
      <c r="J298" s="510"/>
      <c r="K298" s="510"/>
      <c r="L298" s="510"/>
      <c r="M298" s="510"/>
      <c r="N298" s="510"/>
      <c r="O298" s="510"/>
      <c r="P298" s="510"/>
      <c r="Q298" s="510"/>
      <c r="R298" s="510"/>
      <c r="S298" s="510"/>
      <c r="T298" s="510"/>
      <c r="U298" s="510"/>
      <c r="V298" s="510"/>
      <c r="W298" s="510"/>
      <c r="X298" s="510"/>
      <c r="Y298" s="510"/>
      <c r="Z298" s="510"/>
      <c r="AA298" s="510"/>
      <c r="AB298" s="510"/>
      <c r="AC298" s="510"/>
      <c r="AD298" s="510"/>
    </row>
    <row r="299" ht="28.5" customHeight="1">
      <c r="A299" s="288"/>
      <c r="B299" s="510"/>
      <c r="C299" s="510"/>
      <c r="D299" s="288"/>
      <c r="E299" s="511"/>
      <c r="F299" s="510"/>
      <c r="G299" s="510"/>
      <c r="H299" s="510"/>
      <c r="I299" s="510"/>
      <c r="J299" s="510"/>
      <c r="K299" s="510"/>
      <c r="L299" s="510"/>
      <c r="M299" s="510"/>
      <c r="N299" s="510"/>
      <c r="O299" s="510"/>
      <c r="P299" s="510"/>
      <c r="Q299" s="510"/>
      <c r="R299" s="510"/>
      <c r="S299" s="510"/>
      <c r="T299" s="510"/>
      <c r="U299" s="510"/>
      <c r="V299" s="510"/>
      <c r="W299" s="510"/>
      <c r="X299" s="510"/>
      <c r="Y299" s="510"/>
      <c r="Z299" s="510"/>
      <c r="AA299" s="510"/>
      <c r="AB299" s="510"/>
      <c r="AC299" s="510"/>
      <c r="AD299" s="510"/>
    </row>
    <row r="300" ht="28.5" customHeight="1">
      <c r="A300" s="288"/>
      <c r="B300" s="510"/>
      <c r="C300" s="510"/>
      <c r="D300" s="288"/>
      <c r="E300" s="511"/>
      <c r="F300" s="510"/>
      <c r="G300" s="510"/>
      <c r="H300" s="510"/>
      <c r="I300" s="510"/>
      <c r="J300" s="510"/>
      <c r="K300" s="510"/>
      <c r="L300" s="510"/>
      <c r="M300" s="510"/>
      <c r="N300" s="510"/>
      <c r="O300" s="510"/>
      <c r="P300" s="510"/>
      <c r="Q300" s="510"/>
      <c r="R300" s="510"/>
      <c r="S300" s="510"/>
      <c r="T300" s="510"/>
      <c r="U300" s="510"/>
      <c r="V300" s="510"/>
      <c r="W300" s="510"/>
      <c r="X300" s="510"/>
      <c r="Y300" s="510"/>
      <c r="Z300" s="510"/>
      <c r="AA300" s="510"/>
      <c r="AB300" s="510"/>
      <c r="AC300" s="510"/>
      <c r="AD300" s="510"/>
    </row>
    <row r="301" ht="28.5" customHeight="1">
      <c r="A301" s="288"/>
      <c r="B301" s="510"/>
      <c r="C301" s="510"/>
      <c r="D301" s="288"/>
      <c r="E301" s="511"/>
      <c r="F301" s="510"/>
      <c r="G301" s="510"/>
      <c r="H301" s="510"/>
      <c r="I301" s="510"/>
      <c r="J301" s="510"/>
      <c r="K301" s="510"/>
      <c r="L301" s="510"/>
      <c r="M301" s="510"/>
      <c r="N301" s="510"/>
      <c r="O301" s="510"/>
      <c r="P301" s="510"/>
      <c r="Q301" s="510"/>
      <c r="R301" s="510"/>
      <c r="S301" s="510"/>
      <c r="T301" s="510"/>
      <c r="U301" s="510"/>
      <c r="V301" s="510"/>
      <c r="W301" s="510"/>
      <c r="X301" s="510"/>
      <c r="Y301" s="510"/>
      <c r="Z301" s="510"/>
      <c r="AA301" s="510"/>
      <c r="AB301" s="510"/>
      <c r="AC301" s="510"/>
      <c r="AD301" s="510"/>
    </row>
    <row r="302" ht="28.5" customHeight="1">
      <c r="A302" s="288"/>
      <c r="B302" s="510"/>
      <c r="C302" s="510"/>
      <c r="D302" s="288"/>
      <c r="E302" s="511"/>
      <c r="F302" s="510"/>
      <c r="G302" s="510"/>
      <c r="H302" s="510"/>
      <c r="I302" s="510"/>
      <c r="J302" s="510"/>
      <c r="K302" s="510"/>
      <c r="L302" s="510"/>
      <c r="M302" s="510"/>
      <c r="N302" s="510"/>
      <c r="O302" s="510"/>
      <c r="P302" s="510"/>
      <c r="Q302" s="510"/>
      <c r="R302" s="510"/>
      <c r="S302" s="510"/>
      <c r="T302" s="510"/>
      <c r="U302" s="510"/>
      <c r="V302" s="510"/>
      <c r="W302" s="510"/>
      <c r="X302" s="510"/>
      <c r="Y302" s="510"/>
      <c r="Z302" s="510"/>
      <c r="AA302" s="510"/>
      <c r="AB302" s="510"/>
      <c r="AC302" s="510"/>
      <c r="AD302" s="510"/>
    </row>
    <row r="303" ht="28.5" customHeight="1">
      <c r="A303" s="288"/>
      <c r="B303" s="510"/>
      <c r="C303" s="510"/>
      <c r="D303" s="288"/>
      <c r="E303" s="511"/>
      <c r="F303" s="510"/>
      <c r="G303" s="510"/>
      <c r="H303" s="510"/>
      <c r="I303" s="510"/>
      <c r="J303" s="510"/>
      <c r="K303" s="510"/>
      <c r="L303" s="510"/>
      <c r="M303" s="510"/>
      <c r="N303" s="510"/>
      <c r="O303" s="510"/>
      <c r="P303" s="510"/>
      <c r="Q303" s="510"/>
      <c r="R303" s="510"/>
      <c r="S303" s="510"/>
      <c r="T303" s="510"/>
      <c r="U303" s="510"/>
      <c r="V303" s="510"/>
      <c r="W303" s="510"/>
      <c r="X303" s="510"/>
      <c r="Y303" s="510"/>
      <c r="Z303" s="510"/>
      <c r="AA303" s="510"/>
      <c r="AB303" s="510"/>
      <c r="AC303" s="510"/>
      <c r="AD303" s="510"/>
    </row>
    <row r="304" ht="28.5" customHeight="1">
      <c r="A304" s="288"/>
      <c r="B304" s="510"/>
      <c r="C304" s="510"/>
      <c r="D304" s="288"/>
      <c r="E304" s="511"/>
      <c r="F304" s="510"/>
      <c r="G304" s="510"/>
      <c r="H304" s="510"/>
      <c r="I304" s="510"/>
      <c r="J304" s="510"/>
      <c r="K304" s="510"/>
      <c r="L304" s="510"/>
      <c r="M304" s="510"/>
      <c r="N304" s="510"/>
      <c r="O304" s="510"/>
      <c r="P304" s="510"/>
      <c r="Q304" s="510"/>
      <c r="R304" s="510"/>
      <c r="S304" s="510"/>
      <c r="T304" s="510"/>
      <c r="U304" s="510"/>
      <c r="V304" s="510"/>
      <c r="W304" s="510"/>
      <c r="X304" s="510"/>
      <c r="Y304" s="510"/>
      <c r="Z304" s="510"/>
      <c r="AA304" s="510"/>
      <c r="AB304" s="510"/>
      <c r="AC304" s="510"/>
      <c r="AD304" s="510"/>
    </row>
    <row r="305" ht="28.5" customHeight="1">
      <c r="A305" s="288"/>
      <c r="B305" s="510"/>
      <c r="C305" s="510"/>
      <c r="D305" s="288"/>
      <c r="E305" s="511"/>
      <c r="F305" s="510"/>
      <c r="G305" s="510"/>
      <c r="H305" s="510"/>
      <c r="I305" s="510"/>
      <c r="J305" s="510"/>
      <c r="K305" s="510"/>
      <c r="L305" s="510"/>
      <c r="M305" s="510"/>
      <c r="N305" s="510"/>
      <c r="O305" s="510"/>
      <c r="P305" s="510"/>
      <c r="Q305" s="510"/>
      <c r="R305" s="510"/>
      <c r="S305" s="510"/>
      <c r="T305" s="510"/>
      <c r="U305" s="510"/>
      <c r="V305" s="510"/>
      <c r="W305" s="510"/>
      <c r="X305" s="510"/>
      <c r="Y305" s="510"/>
      <c r="Z305" s="510"/>
      <c r="AA305" s="510"/>
      <c r="AB305" s="510"/>
      <c r="AC305" s="510"/>
      <c r="AD305" s="510"/>
    </row>
    <row r="306" ht="28.5" customHeight="1">
      <c r="A306" s="288"/>
      <c r="B306" s="510"/>
      <c r="C306" s="510"/>
      <c r="D306" s="288"/>
      <c r="E306" s="511"/>
      <c r="F306" s="510"/>
      <c r="G306" s="510"/>
      <c r="H306" s="510"/>
      <c r="I306" s="510"/>
      <c r="J306" s="510"/>
      <c r="K306" s="510"/>
      <c r="L306" s="510"/>
      <c r="M306" s="510"/>
      <c r="N306" s="510"/>
      <c r="O306" s="510"/>
      <c r="P306" s="510"/>
      <c r="Q306" s="510"/>
      <c r="R306" s="510"/>
      <c r="S306" s="510"/>
      <c r="T306" s="510"/>
      <c r="U306" s="510"/>
      <c r="V306" s="510"/>
      <c r="W306" s="510"/>
      <c r="X306" s="510"/>
      <c r="Y306" s="510"/>
      <c r="Z306" s="510"/>
      <c r="AA306" s="510"/>
      <c r="AB306" s="510"/>
      <c r="AC306" s="510"/>
      <c r="AD306" s="510"/>
    </row>
    <row r="307" ht="28.5" customHeight="1">
      <c r="A307" s="288"/>
      <c r="B307" s="510"/>
      <c r="C307" s="510"/>
      <c r="D307" s="288"/>
      <c r="E307" s="511"/>
      <c r="F307" s="510"/>
      <c r="G307" s="510"/>
      <c r="H307" s="510"/>
      <c r="I307" s="510"/>
      <c r="J307" s="510"/>
      <c r="K307" s="510"/>
      <c r="L307" s="510"/>
      <c r="M307" s="510"/>
      <c r="N307" s="510"/>
      <c r="O307" s="510"/>
      <c r="P307" s="510"/>
      <c r="Q307" s="510"/>
      <c r="R307" s="510"/>
      <c r="S307" s="510"/>
      <c r="T307" s="510"/>
      <c r="U307" s="510"/>
      <c r="V307" s="510"/>
      <c r="W307" s="510"/>
      <c r="X307" s="510"/>
      <c r="Y307" s="510"/>
      <c r="Z307" s="510"/>
      <c r="AA307" s="510"/>
      <c r="AB307" s="510"/>
      <c r="AC307" s="510"/>
      <c r="AD307" s="510"/>
    </row>
    <row r="308" ht="28.5" customHeight="1">
      <c r="A308" s="288"/>
      <c r="B308" s="510"/>
      <c r="C308" s="510"/>
      <c r="D308" s="288"/>
      <c r="E308" s="511"/>
      <c r="F308" s="510"/>
      <c r="G308" s="510"/>
      <c r="H308" s="510"/>
      <c r="I308" s="510"/>
      <c r="J308" s="510"/>
      <c r="K308" s="510"/>
      <c r="L308" s="510"/>
      <c r="M308" s="510"/>
      <c r="N308" s="510"/>
      <c r="O308" s="510"/>
      <c r="P308" s="510"/>
      <c r="Q308" s="510"/>
      <c r="R308" s="510"/>
      <c r="S308" s="510"/>
      <c r="T308" s="510"/>
      <c r="U308" s="510"/>
      <c r="V308" s="510"/>
      <c r="W308" s="510"/>
      <c r="X308" s="510"/>
      <c r="Y308" s="510"/>
      <c r="Z308" s="510"/>
      <c r="AA308" s="510"/>
      <c r="AB308" s="510"/>
      <c r="AC308" s="510"/>
      <c r="AD308" s="510"/>
    </row>
    <row r="309" ht="28.5" customHeight="1">
      <c r="A309" s="288"/>
      <c r="B309" s="510"/>
      <c r="C309" s="510"/>
      <c r="D309" s="288"/>
      <c r="E309" s="511"/>
      <c r="F309" s="510"/>
      <c r="G309" s="510"/>
      <c r="H309" s="510"/>
      <c r="I309" s="510"/>
      <c r="J309" s="510"/>
      <c r="K309" s="510"/>
      <c r="L309" s="510"/>
      <c r="M309" s="510"/>
      <c r="N309" s="510"/>
      <c r="O309" s="510"/>
      <c r="P309" s="510"/>
      <c r="Q309" s="510"/>
      <c r="R309" s="510"/>
      <c r="S309" s="510"/>
      <c r="T309" s="510"/>
      <c r="U309" s="510"/>
      <c r="V309" s="510"/>
      <c r="W309" s="510"/>
      <c r="X309" s="510"/>
      <c r="Y309" s="510"/>
      <c r="Z309" s="510"/>
      <c r="AA309" s="510"/>
      <c r="AB309" s="510"/>
      <c r="AC309" s="510"/>
      <c r="AD309" s="510"/>
    </row>
    <row r="310" ht="28.5" customHeight="1">
      <c r="A310" s="288"/>
      <c r="B310" s="510"/>
      <c r="C310" s="510"/>
      <c r="D310" s="288"/>
      <c r="E310" s="511"/>
      <c r="F310" s="510"/>
      <c r="G310" s="510"/>
      <c r="H310" s="510"/>
      <c r="I310" s="510"/>
      <c r="J310" s="510"/>
      <c r="K310" s="510"/>
      <c r="L310" s="510"/>
      <c r="M310" s="510"/>
      <c r="N310" s="510"/>
      <c r="O310" s="510"/>
      <c r="P310" s="510"/>
      <c r="Q310" s="510"/>
      <c r="R310" s="510"/>
      <c r="S310" s="510"/>
      <c r="T310" s="510"/>
      <c r="U310" s="510"/>
      <c r="V310" s="510"/>
      <c r="W310" s="510"/>
      <c r="X310" s="510"/>
      <c r="Y310" s="510"/>
      <c r="Z310" s="510"/>
      <c r="AA310" s="510"/>
      <c r="AB310" s="510"/>
      <c r="AC310" s="510"/>
      <c r="AD310" s="510"/>
    </row>
    <row r="311" ht="28.5" customHeight="1">
      <c r="A311" s="288"/>
      <c r="B311" s="510"/>
      <c r="C311" s="510"/>
      <c r="D311" s="288"/>
      <c r="E311" s="511"/>
      <c r="F311" s="510"/>
      <c r="G311" s="510"/>
      <c r="H311" s="510"/>
      <c r="I311" s="510"/>
      <c r="J311" s="510"/>
      <c r="K311" s="510"/>
      <c r="L311" s="510"/>
      <c r="M311" s="510"/>
      <c r="N311" s="510"/>
      <c r="O311" s="510"/>
      <c r="P311" s="510"/>
      <c r="Q311" s="510"/>
      <c r="R311" s="510"/>
      <c r="S311" s="510"/>
      <c r="T311" s="510"/>
      <c r="U311" s="510"/>
      <c r="V311" s="510"/>
      <c r="W311" s="510"/>
      <c r="X311" s="510"/>
      <c r="Y311" s="510"/>
      <c r="Z311" s="510"/>
      <c r="AA311" s="510"/>
      <c r="AB311" s="510"/>
      <c r="AC311" s="510"/>
      <c r="AD311" s="510"/>
    </row>
    <row r="312" ht="28.5" customHeight="1">
      <c r="A312" s="288"/>
      <c r="B312" s="510"/>
      <c r="C312" s="510"/>
      <c r="D312" s="288"/>
      <c r="E312" s="511"/>
      <c r="F312" s="510"/>
      <c r="G312" s="510"/>
      <c r="H312" s="510"/>
      <c r="I312" s="510"/>
      <c r="J312" s="510"/>
      <c r="K312" s="510"/>
      <c r="L312" s="510"/>
      <c r="M312" s="510"/>
      <c r="N312" s="510"/>
      <c r="O312" s="510"/>
      <c r="P312" s="510"/>
      <c r="Q312" s="510"/>
      <c r="R312" s="510"/>
      <c r="S312" s="510"/>
      <c r="T312" s="510"/>
      <c r="U312" s="510"/>
      <c r="V312" s="510"/>
      <c r="W312" s="510"/>
      <c r="X312" s="510"/>
      <c r="Y312" s="510"/>
      <c r="Z312" s="510"/>
      <c r="AA312" s="510"/>
      <c r="AB312" s="510"/>
      <c r="AC312" s="510"/>
      <c r="AD312" s="510"/>
    </row>
    <row r="313" ht="28.5" customHeight="1">
      <c r="A313" s="288"/>
      <c r="B313" s="510"/>
      <c r="C313" s="510"/>
      <c r="D313" s="288"/>
      <c r="E313" s="511"/>
      <c r="F313" s="510"/>
      <c r="G313" s="510"/>
      <c r="H313" s="510"/>
      <c r="I313" s="510"/>
      <c r="J313" s="510"/>
      <c r="K313" s="510"/>
      <c r="L313" s="510"/>
      <c r="M313" s="510"/>
      <c r="N313" s="510"/>
      <c r="O313" s="510"/>
      <c r="P313" s="510"/>
      <c r="Q313" s="510"/>
      <c r="R313" s="510"/>
      <c r="S313" s="510"/>
      <c r="T313" s="510"/>
      <c r="U313" s="510"/>
      <c r="V313" s="510"/>
      <c r="W313" s="510"/>
      <c r="X313" s="510"/>
      <c r="Y313" s="510"/>
      <c r="Z313" s="510"/>
      <c r="AA313" s="510"/>
      <c r="AB313" s="510"/>
      <c r="AC313" s="510"/>
      <c r="AD313" s="510"/>
    </row>
    <row r="314" ht="28.5" customHeight="1">
      <c r="A314" s="288"/>
      <c r="B314" s="510"/>
      <c r="C314" s="510"/>
      <c r="D314" s="288"/>
      <c r="E314" s="511"/>
      <c r="F314" s="510"/>
      <c r="G314" s="510"/>
      <c r="H314" s="510"/>
      <c r="I314" s="510"/>
      <c r="J314" s="510"/>
      <c r="K314" s="510"/>
      <c r="L314" s="510"/>
      <c r="M314" s="510"/>
      <c r="N314" s="510"/>
      <c r="O314" s="510"/>
      <c r="P314" s="510"/>
      <c r="Q314" s="510"/>
      <c r="R314" s="510"/>
      <c r="S314" s="510"/>
      <c r="T314" s="510"/>
      <c r="U314" s="510"/>
      <c r="V314" s="510"/>
      <c r="W314" s="510"/>
      <c r="X314" s="510"/>
      <c r="Y314" s="510"/>
      <c r="Z314" s="510"/>
      <c r="AA314" s="510"/>
      <c r="AB314" s="510"/>
      <c r="AC314" s="510"/>
      <c r="AD314" s="510"/>
    </row>
    <row r="315" ht="28.5" customHeight="1">
      <c r="A315" s="288"/>
      <c r="B315" s="510"/>
      <c r="C315" s="510"/>
      <c r="D315" s="288"/>
      <c r="E315" s="511"/>
      <c r="F315" s="510"/>
      <c r="G315" s="510"/>
      <c r="H315" s="510"/>
      <c r="I315" s="510"/>
      <c r="J315" s="510"/>
      <c r="K315" s="510"/>
      <c r="L315" s="510"/>
      <c r="M315" s="510"/>
      <c r="N315" s="510"/>
      <c r="O315" s="510"/>
      <c r="P315" s="510"/>
      <c r="Q315" s="510"/>
      <c r="R315" s="510"/>
      <c r="S315" s="510"/>
      <c r="T315" s="510"/>
      <c r="U315" s="510"/>
      <c r="V315" s="510"/>
      <c r="W315" s="510"/>
      <c r="X315" s="510"/>
      <c r="Y315" s="510"/>
      <c r="Z315" s="510"/>
      <c r="AA315" s="510"/>
      <c r="AB315" s="510"/>
      <c r="AC315" s="510"/>
      <c r="AD315" s="510"/>
    </row>
    <row r="316" ht="28.5" customHeight="1">
      <c r="A316" s="288"/>
      <c r="B316" s="510"/>
      <c r="C316" s="510"/>
      <c r="D316" s="288"/>
      <c r="E316" s="511"/>
      <c r="F316" s="510"/>
      <c r="G316" s="510"/>
      <c r="H316" s="510"/>
      <c r="I316" s="510"/>
      <c r="J316" s="510"/>
      <c r="K316" s="510"/>
      <c r="L316" s="510"/>
      <c r="M316" s="510"/>
      <c r="N316" s="510"/>
      <c r="O316" s="510"/>
      <c r="P316" s="510"/>
      <c r="Q316" s="510"/>
      <c r="R316" s="510"/>
      <c r="S316" s="510"/>
      <c r="T316" s="510"/>
      <c r="U316" s="510"/>
      <c r="V316" s="510"/>
      <c r="W316" s="510"/>
      <c r="X316" s="510"/>
      <c r="Y316" s="510"/>
      <c r="Z316" s="510"/>
      <c r="AA316" s="510"/>
      <c r="AB316" s="510"/>
      <c r="AC316" s="510"/>
      <c r="AD316" s="510"/>
    </row>
    <row r="317" ht="28.5" customHeight="1">
      <c r="A317" s="288"/>
      <c r="B317" s="510"/>
      <c r="C317" s="510"/>
      <c r="D317" s="288"/>
      <c r="E317" s="511"/>
      <c r="F317" s="510"/>
      <c r="G317" s="510"/>
      <c r="H317" s="510"/>
      <c r="I317" s="510"/>
      <c r="J317" s="510"/>
      <c r="K317" s="510"/>
      <c r="L317" s="510"/>
      <c r="M317" s="510"/>
      <c r="N317" s="510"/>
      <c r="O317" s="510"/>
      <c r="P317" s="510"/>
      <c r="Q317" s="510"/>
      <c r="R317" s="510"/>
      <c r="S317" s="510"/>
      <c r="T317" s="510"/>
      <c r="U317" s="510"/>
      <c r="V317" s="510"/>
      <c r="W317" s="510"/>
      <c r="X317" s="510"/>
      <c r="Y317" s="510"/>
      <c r="Z317" s="510"/>
      <c r="AA317" s="510"/>
      <c r="AB317" s="510"/>
      <c r="AC317" s="510"/>
      <c r="AD317" s="510"/>
    </row>
    <row r="318" ht="28.5" customHeight="1">
      <c r="A318" s="288"/>
      <c r="B318" s="510"/>
      <c r="C318" s="510"/>
      <c r="D318" s="288"/>
      <c r="E318" s="511"/>
      <c r="F318" s="510"/>
      <c r="G318" s="510"/>
      <c r="H318" s="510"/>
      <c r="I318" s="510"/>
      <c r="J318" s="510"/>
      <c r="K318" s="510"/>
      <c r="L318" s="510"/>
      <c r="M318" s="510"/>
      <c r="N318" s="510"/>
      <c r="O318" s="510"/>
      <c r="P318" s="510"/>
      <c r="Q318" s="510"/>
      <c r="R318" s="510"/>
      <c r="S318" s="510"/>
      <c r="T318" s="510"/>
      <c r="U318" s="510"/>
      <c r="V318" s="510"/>
      <c r="W318" s="510"/>
      <c r="X318" s="510"/>
      <c r="Y318" s="510"/>
      <c r="Z318" s="510"/>
      <c r="AA318" s="510"/>
      <c r="AB318" s="510"/>
      <c r="AC318" s="510"/>
      <c r="AD318" s="510"/>
    </row>
    <row r="319" ht="28.5" customHeight="1">
      <c r="A319" s="288"/>
      <c r="B319" s="510"/>
      <c r="C319" s="510"/>
      <c r="D319" s="288"/>
      <c r="E319" s="511"/>
      <c r="F319" s="510"/>
      <c r="G319" s="510"/>
      <c r="H319" s="510"/>
      <c r="I319" s="510"/>
      <c r="J319" s="510"/>
      <c r="K319" s="510"/>
      <c r="L319" s="510"/>
      <c r="M319" s="510"/>
      <c r="N319" s="510"/>
      <c r="O319" s="510"/>
      <c r="P319" s="510"/>
      <c r="Q319" s="510"/>
      <c r="R319" s="510"/>
      <c r="S319" s="510"/>
      <c r="T319" s="510"/>
      <c r="U319" s="510"/>
      <c r="V319" s="510"/>
      <c r="W319" s="510"/>
      <c r="X319" s="510"/>
      <c r="Y319" s="510"/>
      <c r="Z319" s="510"/>
      <c r="AA319" s="510"/>
      <c r="AB319" s="510"/>
      <c r="AC319" s="510"/>
      <c r="AD319" s="510"/>
    </row>
    <row r="320" ht="28.5" customHeight="1">
      <c r="A320" s="288"/>
      <c r="B320" s="510"/>
      <c r="C320" s="510"/>
      <c r="D320" s="288"/>
      <c r="E320" s="511"/>
      <c r="F320" s="510"/>
      <c r="G320" s="510"/>
      <c r="H320" s="510"/>
      <c r="I320" s="510"/>
      <c r="J320" s="510"/>
      <c r="K320" s="510"/>
      <c r="L320" s="510"/>
      <c r="M320" s="510"/>
      <c r="N320" s="510"/>
      <c r="O320" s="510"/>
      <c r="P320" s="510"/>
      <c r="Q320" s="510"/>
      <c r="R320" s="510"/>
      <c r="S320" s="510"/>
      <c r="T320" s="510"/>
      <c r="U320" s="510"/>
      <c r="V320" s="510"/>
      <c r="W320" s="510"/>
      <c r="X320" s="510"/>
      <c r="Y320" s="510"/>
      <c r="Z320" s="510"/>
      <c r="AA320" s="510"/>
      <c r="AB320" s="510"/>
      <c r="AC320" s="510"/>
      <c r="AD320" s="510"/>
    </row>
    <row r="321" ht="28.5" customHeight="1">
      <c r="A321" s="288"/>
      <c r="B321" s="510"/>
      <c r="C321" s="510"/>
      <c r="D321" s="288"/>
      <c r="E321" s="511"/>
      <c r="F321" s="510"/>
      <c r="G321" s="510"/>
      <c r="H321" s="510"/>
      <c r="I321" s="510"/>
      <c r="J321" s="510"/>
      <c r="K321" s="510"/>
      <c r="L321" s="510"/>
      <c r="M321" s="510"/>
      <c r="N321" s="510"/>
      <c r="O321" s="510"/>
      <c r="P321" s="510"/>
      <c r="Q321" s="510"/>
      <c r="R321" s="510"/>
      <c r="S321" s="510"/>
      <c r="T321" s="510"/>
      <c r="U321" s="510"/>
      <c r="V321" s="510"/>
      <c r="W321" s="510"/>
      <c r="X321" s="510"/>
      <c r="Y321" s="510"/>
      <c r="Z321" s="510"/>
      <c r="AA321" s="510"/>
      <c r="AB321" s="510"/>
      <c r="AC321" s="510"/>
      <c r="AD321" s="510"/>
    </row>
    <row r="322" ht="28.5" customHeight="1">
      <c r="A322" s="288"/>
      <c r="B322" s="510"/>
      <c r="C322" s="510"/>
      <c r="D322" s="288"/>
      <c r="E322" s="511"/>
      <c r="F322" s="510"/>
      <c r="G322" s="510"/>
      <c r="H322" s="510"/>
      <c r="I322" s="510"/>
      <c r="J322" s="510"/>
      <c r="K322" s="510"/>
      <c r="L322" s="510"/>
      <c r="M322" s="510"/>
      <c r="N322" s="510"/>
      <c r="O322" s="510"/>
      <c r="P322" s="510"/>
      <c r="Q322" s="510"/>
      <c r="R322" s="510"/>
      <c r="S322" s="510"/>
      <c r="T322" s="510"/>
      <c r="U322" s="510"/>
      <c r="V322" s="510"/>
      <c r="W322" s="510"/>
      <c r="X322" s="510"/>
      <c r="Y322" s="510"/>
      <c r="Z322" s="510"/>
      <c r="AA322" s="510"/>
      <c r="AB322" s="510"/>
      <c r="AC322" s="510"/>
      <c r="AD322" s="510"/>
    </row>
    <row r="323" ht="28.5" customHeight="1">
      <c r="A323" s="288"/>
      <c r="B323" s="510"/>
      <c r="C323" s="510"/>
      <c r="D323" s="288"/>
      <c r="E323" s="511"/>
      <c r="F323" s="510"/>
      <c r="G323" s="510"/>
      <c r="H323" s="510"/>
      <c r="I323" s="510"/>
      <c r="J323" s="510"/>
      <c r="K323" s="510"/>
      <c r="L323" s="510"/>
      <c r="M323" s="510"/>
      <c r="N323" s="510"/>
      <c r="O323" s="510"/>
      <c r="P323" s="510"/>
      <c r="Q323" s="510"/>
      <c r="R323" s="510"/>
      <c r="S323" s="510"/>
      <c r="T323" s="510"/>
      <c r="U323" s="510"/>
      <c r="V323" s="510"/>
      <c r="W323" s="510"/>
      <c r="X323" s="510"/>
      <c r="Y323" s="510"/>
      <c r="Z323" s="510"/>
      <c r="AA323" s="510"/>
      <c r="AB323" s="510"/>
      <c r="AC323" s="510"/>
      <c r="AD323" s="510"/>
    </row>
    <row r="324" ht="28.5" customHeight="1">
      <c r="A324" s="288"/>
      <c r="B324" s="510"/>
      <c r="C324" s="510"/>
      <c r="D324" s="288"/>
      <c r="E324" s="511"/>
      <c r="F324" s="510"/>
      <c r="G324" s="510"/>
      <c r="H324" s="510"/>
      <c r="I324" s="510"/>
      <c r="J324" s="510"/>
      <c r="K324" s="510"/>
      <c r="L324" s="510"/>
      <c r="M324" s="510"/>
      <c r="N324" s="510"/>
      <c r="O324" s="510"/>
      <c r="P324" s="510"/>
      <c r="Q324" s="510"/>
      <c r="R324" s="510"/>
      <c r="S324" s="510"/>
      <c r="T324" s="510"/>
      <c r="U324" s="510"/>
      <c r="V324" s="510"/>
      <c r="W324" s="510"/>
      <c r="X324" s="510"/>
      <c r="Y324" s="510"/>
      <c r="Z324" s="510"/>
      <c r="AA324" s="510"/>
      <c r="AB324" s="510"/>
      <c r="AC324" s="510"/>
      <c r="AD324" s="510"/>
    </row>
    <row r="325" ht="28.5" customHeight="1">
      <c r="A325" s="288"/>
      <c r="B325" s="510"/>
      <c r="C325" s="510"/>
      <c r="D325" s="288"/>
      <c r="E325" s="511"/>
      <c r="F325" s="510"/>
      <c r="G325" s="510"/>
      <c r="H325" s="510"/>
      <c r="I325" s="510"/>
      <c r="J325" s="510"/>
      <c r="K325" s="510"/>
      <c r="L325" s="510"/>
      <c r="M325" s="510"/>
      <c r="N325" s="510"/>
      <c r="O325" s="510"/>
      <c r="P325" s="510"/>
      <c r="Q325" s="510"/>
      <c r="R325" s="510"/>
      <c r="S325" s="510"/>
      <c r="T325" s="510"/>
      <c r="U325" s="510"/>
      <c r="V325" s="510"/>
      <c r="W325" s="510"/>
      <c r="X325" s="510"/>
      <c r="Y325" s="510"/>
      <c r="Z325" s="510"/>
      <c r="AA325" s="510"/>
      <c r="AB325" s="510"/>
      <c r="AC325" s="510"/>
      <c r="AD325" s="510"/>
    </row>
    <row r="326" ht="28.5" customHeight="1">
      <c r="A326" s="288"/>
      <c r="B326" s="510"/>
      <c r="C326" s="510"/>
      <c r="D326" s="288"/>
      <c r="E326" s="511"/>
      <c r="F326" s="510"/>
      <c r="G326" s="510"/>
      <c r="H326" s="510"/>
      <c r="I326" s="510"/>
      <c r="J326" s="510"/>
      <c r="K326" s="510"/>
      <c r="L326" s="510"/>
      <c r="M326" s="510"/>
      <c r="N326" s="510"/>
      <c r="O326" s="510"/>
      <c r="P326" s="510"/>
      <c r="Q326" s="510"/>
      <c r="R326" s="510"/>
      <c r="S326" s="510"/>
      <c r="T326" s="510"/>
      <c r="U326" s="510"/>
      <c r="V326" s="510"/>
      <c r="W326" s="510"/>
      <c r="X326" s="510"/>
      <c r="Y326" s="510"/>
      <c r="Z326" s="510"/>
      <c r="AA326" s="510"/>
      <c r="AB326" s="510"/>
      <c r="AC326" s="510"/>
      <c r="AD326" s="510"/>
    </row>
    <row r="327" ht="28.5" customHeight="1">
      <c r="A327" s="288"/>
      <c r="B327" s="510"/>
      <c r="C327" s="510"/>
      <c r="D327" s="288"/>
      <c r="E327" s="511"/>
      <c r="F327" s="510"/>
      <c r="G327" s="510"/>
      <c r="H327" s="510"/>
      <c r="I327" s="510"/>
      <c r="J327" s="510"/>
      <c r="K327" s="510"/>
      <c r="L327" s="510"/>
      <c r="M327" s="510"/>
      <c r="N327" s="510"/>
      <c r="O327" s="510"/>
      <c r="P327" s="510"/>
      <c r="Q327" s="510"/>
      <c r="R327" s="510"/>
      <c r="S327" s="510"/>
      <c r="T327" s="510"/>
      <c r="U327" s="510"/>
      <c r="V327" s="510"/>
      <c r="W327" s="510"/>
      <c r="X327" s="510"/>
      <c r="Y327" s="510"/>
      <c r="Z327" s="510"/>
      <c r="AA327" s="510"/>
      <c r="AB327" s="510"/>
      <c r="AC327" s="510"/>
      <c r="AD327" s="510"/>
    </row>
    <row r="328" ht="28.5" customHeight="1">
      <c r="A328" s="288"/>
      <c r="B328" s="510"/>
      <c r="C328" s="510"/>
      <c r="D328" s="288"/>
      <c r="E328" s="511"/>
      <c r="F328" s="510"/>
      <c r="G328" s="510"/>
      <c r="H328" s="510"/>
      <c r="I328" s="510"/>
      <c r="J328" s="510"/>
      <c r="K328" s="510"/>
      <c r="L328" s="510"/>
      <c r="M328" s="510"/>
      <c r="N328" s="510"/>
      <c r="O328" s="510"/>
      <c r="P328" s="510"/>
      <c r="Q328" s="510"/>
      <c r="R328" s="510"/>
      <c r="S328" s="510"/>
      <c r="T328" s="510"/>
      <c r="U328" s="510"/>
      <c r="V328" s="510"/>
      <c r="W328" s="510"/>
      <c r="X328" s="510"/>
      <c r="Y328" s="510"/>
      <c r="Z328" s="510"/>
      <c r="AA328" s="510"/>
      <c r="AB328" s="510"/>
      <c r="AC328" s="510"/>
      <c r="AD328" s="510"/>
    </row>
    <row r="329" ht="28.5" customHeight="1">
      <c r="A329" s="288"/>
      <c r="B329" s="510"/>
      <c r="C329" s="510"/>
      <c r="D329" s="288"/>
      <c r="E329" s="511"/>
      <c r="F329" s="510"/>
      <c r="G329" s="510"/>
      <c r="H329" s="510"/>
      <c r="I329" s="510"/>
      <c r="J329" s="510"/>
      <c r="K329" s="510"/>
      <c r="L329" s="510"/>
      <c r="M329" s="510"/>
      <c r="N329" s="510"/>
      <c r="O329" s="510"/>
      <c r="P329" s="510"/>
      <c r="Q329" s="510"/>
      <c r="R329" s="510"/>
      <c r="S329" s="510"/>
      <c r="T329" s="510"/>
      <c r="U329" s="510"/>
      <c r="V329" s="510"/>
      <c r="W329" s="510"/>
      <c r="X329" s="510"/>
      <c r="Y329" s="510"/>
      <c r="Z329" s="510"/>
      <c r="AA329" s="510"/>
      <c r="AB329" s="510"/>
      <c r="AC329" s="510"/>
      <c r="AD329" s="510"/>
    </row>
    <row r="330" ht="28.5" customHeight="1">
      <c r="A330" s="288"/>
      <c r="B330" s="510"/>
      <c r="C330" s="510"/>
      <c r="D330" s="288"/>
      <c r="E330" s="511"/>
      <c r="F330" s="510"/>
      <c r="G330" s="510"/>
      <c r="H330" s="510"/>
      <c r="I330" s="510"/>
      <c r="J330" s="510"/>
      <c r="K330" s="510"/>
      <c r="L330" s="510"/>
      <c r="M330" s="510"/>
      <c r="N330" s="510"/>
      <c r="O330" s="510"/>
      <c r="P330" s="510"/>
      <c r="Q330" s="510"/>
      <c r="R330" s="510"/>
      <c r="S330" s="510"/>
      <c r="T330" s="510"/>
      <c r="U330" s="510"/>
      <c r="V330" s="510"/>
      <c r="W330" s="510"/>
      <c r="X330" s="510"/>
      <c r="Y330" s="510"/>
      <c r="Z330" s="510"/>
      <c r="AA330" s="510"/>
      <c r="AB330" s="510"/>
      <c r="AC330" s="510"/>
      <c r="AD330" s="510"/>
    </row>
    <row r="331" ht="28.5" customHeight="1">
      <c r="A331" s="288"/>
      <c r="B331" s="510"/>
      <c r="C331" s="510"/>
      <c r="D331" s="288"/>
      <c r="E331" s="511"/>
      <c r="F331" s="510"/>
      <c r="G331" s="510"/>
      <c r="H331" s="510"/>
      <c r="I331" s="510"/>
      <c r="J331" s="510"/>
      <c r="K331" s="510"/>
      <c r="L331" s="510"/>
      <c r="M331" s="510"/>
      <c r="N331" s="510"/>
      <c r="O331" s="510"/>
      <c r="P331" s="510"/>
      <c r="Q331" s="510"/>
      <c r="R331" s="510"/>
      <c r="S331" s="510"/>
      <c r="T331" s="510"/>
      <c r="U331" s="510"/>
      <c r="V331" s="510"/>
      <c r="W331" s="510"/>
      <c r="X331" s="510"/>
      <c r="Y331" s="510"/>
      <c r="Z331" s="510"/>
      <c r="AA331" s="510"/>
      <c r="AB331" s="510"/>
      <c r="AC331" s="510"/>
      <c r="AD331" s="510"/>
    </row>
    <row r="332" ht="28.5" customHeight="1">
      <c r="A332" s="288"/>
      <c r="B332" s="510"/>
      <c r="C332" s="510"/>
      <c r="D332" s="288"/>
      <c r="E332" s="511"/>
      <c r="F332" s="510"/>
      <c r="G332" s="510"/>
      <c r="H332" s="510"/>
      <c r="I332" s="510"/>
      <c r="J332" s="510"/>
      <c r="K332" s="510"/>
      <c r="L332" s="510"/>
      <c r="M332" s="510"/>
      <c r="N332" s="510"/>
      <c r="O332" s="510"/>
      <c r="P332" s="510"/>
      <c r="Q332" s="510"/>
      <c r="R332" s="510"/>
      <c r="S332" s="510"/>
      <c r="T332" s="510"/>
      <c r="U332" s="510"/>
      <c r="V332" s="510"/>
      <c r="W332" s="510"/>
      <c r="X332" s="510"/>
      <c r="Y332" s="510"/>
      <c r="Z332" s="510"/>
      <c r="AA332" s="510"/>
      <c r="AB332" s="510"/>
      <c r="AC332" s="510"/>
      <c r="AD332" s="510"/>
    </row>
    <row r="333" ht="28.5" customHeight="1">
      <c r="A333" s="288"/>
      <c r="B333" s="510"/>
      <c r="C333" s="510"/>
      <c r="D333" s="288"/>
      <c r="E333" s="511"/>
      <c r="F333" s="510"/>
      <c r="G333" s="510"/>
      <c r="H333" s="510"/>
      <c r="I333" s="510"/>
      <c r="J333" s="510"/>
      <c r="K333" s="510"/>
      <c r="L333" s="510"/>
      <c r="M333" s="510"/>
      <c r="N333" s="510"/>
      <c r="O333" s="510"/>
      <c r="P333" s="510"/>
      <c r="Q333" s="510"/>
      <c r="R333" s="510"/>
      <c r="S333" s="510"/>
      <c r="T333" s="510"/>
      <c r="U333" s="510"/>
      <c r="V333" s="510"/>
      <c r="W333" s="510"/>
      <c r="X333" s="510"/>
      <c r="Y333" s="510"/>
      <c r="Z333" s="510"/>
      <c r="AA333" s="510"/>
      <c r="AB333" s="510"/>
      <c r="AC333" s="510"/>
      <c r="AD333" s="510"/>
    </row>
    <row r="334" ht="28.5" customHeight="1">
      <c r="A334" s="288"/>
      <c r="B334" s="510"/>
      <c r="C334" s="510"/>
      <c r="D334" s="288"/>
      <c r="E334" s="511"/>
      <c r="F334" s="510"/>
      <c r="G334" s="510"/>
      <c r="H334" s="510"/>
      <c r="I334" s="510"/>
      <c r="J334" s="510"/>
      <c r="K334" s="510"/>
      <c r="L334" s="510"/>
      <c r="M334" s="510"/>
      <c r="N334" s="510"/>
      <c r="O334" s="510"/>
      <c r="P334" s="510"/>
      <c r="Q334" s="510"/>
      <c r="R334" s="510"/>
      <c r="S334" s="510"/>
      <c r="T334" s="510"/>
      <c r="U334" s="510"/>
      <c r="V334" s="510"/>
      <c r="W334" s="510"/>
      <c r="X334" s="510"/>
      <c r="Y334" s="510"/>
      <c r="Z334" s="510"/>
      <c r="AA334" s="510"/>
      <c r="AB334" s="510"/>
      <c r="AC334" s="510"/>
      <c r="AD334" s="510"/>
    </row>
    <row r="335" ht="28.5" customHeight="1">
      <c r="A335" s="288"/>
      <c r="B335" s="510"/>
      <c r="C335" s="510"/>
      <c r="D335" s="288"/>
      <c r="E335" s="511"/>
      <c r="F335" s="510"/>
      <c r="G335" s="510"/>
      <c r="H335" s="510"/>
      <c r="I335" s="510"/>
      <c r="J335" s="510"/>
      <c r="K335" s="510"/>
      <c r="L335" s="510"/>
      <c r="M335" s="510"/>
      <c r="N335" s="510"/>
      <c r="O335" s="510"/>
      <c r="P335" s="510"/>
      <c r="Q335" s="510"/>
      <c r="R335" s="510"/>
      <c r="S335" s="510"/>
      <c r="T335" s="510"/>
      <c r="U335" s="510"/>
      <c r="V335" s="510"/>
      <c r="W335" s="510"/>
      <c r="X335" s="510"/>
      <c r="Y335" s="510"/>
      <c r="Z335" s="510"/>
      <c r="AA335" s="510"/>
      <c r="AB335" s="510"/>
      <c r="AC335" s="510"/>
      <c r="AD335" s="510"/>
    </row>
    <row r="336" ht="28.5" customHeight="1">
      <c r="A336" s="288"/>
      <c r="B336" s="510"/>
      <c r="C336" s="510"/>
      <c r="D336" s="288"/>
      <c r="E336" s="511"/>
      <c r="F336" s="510"/>
      <c r="G336" s="510"/>
      <c r="H336" s="510"/>
      <c r="I336" s="510"/>
      <c r="J336" s="510"/>
      <c r="K336" s="510"/>
      <c r="L336" s="510"/>
      <c r="M336" s="510"/>
      <c r="N336" s="510"/>
      <c r="O336" s="510"/>
      <c r="P336" s="510"/>
      <c r="Q336" s="510"/>
      <c r="R336" s="510"/>
      <c r="S336" s="510"/>
      <c r="T336" s="510"/>
      <c r="U336" s="510"/>
      <c r="V336" s="510"/>
      <c r="W336" s="510"/>
      <c r="X336" s="510"/>
      <c r="Y336" s="510"/>
      <c r="Z336" s="510"/>
      <c r="AA336" s="510"/>
      <c r="AB336" s="510"/>
      <c r="AC336" s="510"/>
      <c r="AD336" s="510"/>
    </row>
    <row r="337" ht="28.5" customHeight="1">
      <c r="A337" s="288"/>
      <c r="B337" s="510"/>
      <c r="C337" s="510"/>
      <c r="D337" s="288"/>
      <c r="E337" s="511"/>
      <c r="F337" s="510"/>
      <c r="G337" s="510"/>
      <c r="H337" s="510"/>
      <c r="I337" s="510"/>
      <c r="J337" s="510"/>
      <c r="K337" s="510"/>
      <c r="L337" s="510"/>
      <c r="M337" s="510"/>
      <c r="N337" s="510"/>
      <c r="O337" s="510"/>
      <c r="P337" s="510"/>
      <c r="Q337" s="510"/>
      <c r="R337" s="510"/>
      <c r="S337" s="510"/>
      <c r="T337" s="510"/>
      <c r="U337" s="510"/>
      <c r="V337" s="510"/>
      <c r="W337" s="510"/>
      <c r="X337" s="510"/>
      <c r="Y337" s="510"/>
      <c r="Z337" s="510"/>
      <c r="AA337" s="510"/>
      <c r="AB337" s="510"/>
      <c r="AC337" s="510"/>
      <c r="AD337" s="510"/>
    </row>
    <row r="338" ht="28.5" customHeight="1">
      <c r="A338" s="288"/>
      <c r="B338" s="510"/>
      <c r="C338" s="510"/>
      <c r="D338" s="288"/>
      <c r="E338" s="511"/>
      <c r="F338" s="510"/>
      <c r="G338" s="510"/>
      <c r="H338" s="510"/>
      <c r="I338" s="510"/>
      <c r="J338" s="510"/>
      <c r="K338" s="510"/>
      <c r="L338" s="510"/>
      <c r="M338" s="510"/>
      <c r="N338" s="510"/>
      <c r="O338" s="510"/>
      <c r="P338" s="510"/>
      <c r="Q338" s="510"/>
      <c r="R338" s="510"/>
      <c r="S338" s="510"/>
      <c r="T338" s="510"/>
      <c r="U338" s="510"/>
      <c r="V338" s="510"/>
      <c r="W338" s="510"/>
      <c r="X338" s="510"/>
      <c r="Y338" s="510"/>
      <c r="Z338" s="510"/>
      <c r="AA338" s="510"/>
      <c r="AB338" s="510"/>
      <c r="AC338" s="510"/>
      <c r="AD338" s="510"/>
    </row>
    <row r="339" ht="28.5" customHeight="1">
      <c r="A339" s="288"/>
      <c r="B339" s="510"/>
      <c r="C339" s="510"/>
      <c r="D339" s="288"/>
      <c r="E339" s="511"/>
      <c r="F339" s="510"/>
      <c r="G339" s="510"/>
      <c r="H339" s="510"/>
      <c r="I339" s="510"/>
      <c r="J339" s="510"/>
      <c r="K339" s="510"/>
      <c r="L339" s="510"/>
      <c r="M339" s="510"/>
      <c r="N339" s="510"/>
      <c r="O339" s="510"/>
      <c r="P339" s="510"/>
      <c r="Q339" s="510"/>
      <c r="R339" s="510"/>
      <c r="S339" s="510"/>
      <c r="T339" s="510"/>
      <c r="U339" s="510"/>
      <c r="V339" s="510"/>
      <c r="W339" s="510"/>
      <c r="X339" s="510"/>
      <c r="Y339" s="510"/>
      <c r="Z339" s="510"/>
      <c r="AA339" s="510"/>
      <c r="AB339" s="510"/>
      <c r="AC339" s="510"/>
      <c r="AD339" s="510"/>
    </row>
    <row r="340" ht="28.5" customHeight="1">
      <c r="A340" s="288"/>
      <c r="B340" s="510"/>
      <c r="C340" s="510"/>
      <c r="D340" s="288"/>
      <c r="E340" s="511"/>
      <c r="F340" s="510"/>
      <c r="G340" s="510"/>
      <c r="H340" s="510"/>
      <c r="I340" s="510"/>
      <c r="J340" s="510"/>
      <c r="K340" s="510"/>
      <c r="L340" s="510"/>
      <c r="M340" s="510"/>
      <c r="N340" s="510"/>
      <c r="O340" s="510"/>
      <c r="P340" s="510"/>
      <c r="Q340" s="510"/>
      <c r="R340" s="510"/>
      <c r="S340" s="510"/>
      <c r="T340" s="510"/>
      <c r="U340" s="510"/>
      <c r="V340" s="510"/>
      <c r="W340" s="510"/>
      <c r="X340" s="510"/>
      <c r="Y340" s="510"/>
      <c r="Z340" s="510"/>
      <c r="AA340" s="510"/>
      <c r="AB340" s="510"/>
      <c r="AC340" s="510"/>
      <c r="AD340" s="510"/>
    </row>
    <row r="341" ht="28.5" customHeight="1">
      <c r="A341" s="288"/>
      <c r="B341" s="510"/>
      <c r="C341" s="510"/>
      <c r="D341" s="288"/>
      <c r="E341" s="511"/>
      <c r="F341" s="510"/>
      <c r="G341" s="510"/>
      <c r="H341" s="510"/>
      <c r="I341" s="510"/>
      <c r="J341" s="510"/>
      <c r="K341" s="510"/>
      <c r="L341" s="510"/>
      <c r="M341" s="510"/>
      <c r="N341" s="510"/>
      <c r="O341" s="510"/>
      <c r="P341" s="510"/>
      <c r="Q341" s="510"/>
      <c r="R341" s="510"/>
      <c r="S341" s="510"/>
      <c r="T341" s="510"/>
      <c r="U341" s="510"/>
      <c r="V341" s="510"/>
      <c r="W341" s="510"/>
      <c r="X341" s="510"/>
      <c r="Y341" s="510"/>
      <c r="Z341" s="510"/>
      <c r="AA341" s="510"/>
      <c r="AB341" s="510"/>
      <c r="AC341" s="510"/>
      <c r="AD341" s="510"/>
    </row>
    <row r="342" ht="28.5" customHeight="1">
      <c r="A342" s="288"/>
      <c r="B342" s="510"/>
      <c r="C342" s="510"/>
      <c r="D342" s="288"/>
      <c r="E342" s="511"/>
      <c r="F342" s="510"/>
      <c r="G342" s="510"/>
      <c r="H342" s="510"/>
      <c r="I342" s="510"/>
      <c r="J342" s="510"/>
      <c r="K342" s="510"/>
      <c r="L342" s="510"/>
      <c r="M342" s="510"/>
      <c r="N342" s="510"/>
      <c r="O342" s="510"/>
      <c r="P342" s="510"/>
      <c r="Q342" s="510"/>
      <c r="R342" s="510"/>
      <c r="S342" s="510"/>
      <c r="T342" s="510"/>
      <c r="U342" s="510"/>
      <c r="V342" s="510"/>
      <c r="W342" s="510"/>
      <c r="X342" s="510"/>
      <c r="Y342" s="510"/>
      <c r="Z342" s="510"/>
      <c r="AA342" s="510"/>
      <c r="AB342" s="510"/>
      <c r="AC342" s="510"/>
      <c r="AD342" s="510"/>
    </row>
    <row r="343" ht="28.5" customHeight="1">
      <c r="A343" s="288"/>
      <c r="B343" s="510"/>
      <c r="C343" s="510"/>
      <c r="D343" s="288"/>
      <c r="E343" s="511"/>
      <c r="F343" s="510"/>
      <c r="G343" s="510"/>
      <c r="H343" s="510"/>
      <c r="I343" s="510"/>
      <c r="J343" s="510"/>
      <c r="K343" s="510"/>
      <c r="L343" s="510"/>
      <c r="M343" s="510"/>
      <c r="N343" s="510"/>
      <c r="O343" s="510"/>
      <c r="P343" s="510"/>
      <c r="Q343" s="510"/>
      <c r="R343" s="510"/>
      <c r="S343" s="510"/>
      <c r="T343" s="510"/>
      <c r="U343" s="510"/>
      <c r="V343" s="510"/>
      <c r="W343" s="510"/>
      <c r="X343" s="510"/>
      <c r="Y343" s="510"/>
      <c r="Z343" s="510"/>
      <c r="AA343" s="510"/>
      <c r="AB343" s="510"/>
      <c r="AC343" s="510"/>
      <c r="AD343" s="510"/>
    </row>
    <row r="344" ht="28.5" customHeight="1">
      <c r="A344" s="288"/>
      <c r="B344" s="510"/>
      <c r="C344" s="510"/>
      <c r="D344" s="288"/>
      <c r="E344" s="511"/>
      <c r="F344" s="510"/>
      <c r="G344" s="510"/>
      <c r="H344" s="510"/>
      <c r="I344" s="510"/>
      <c r="J344" s="510"/>
      <c r="K344" s="510"/>
      <c r="L344" s="510"/>
      <c r="M344" s="510"/>
      <c r="N344" s="510"/>
      <c r="O344" s="510"/>
      <c r="P344" s="510"/>
      <c r="Q344" s="510"/>
      <c r="R344" s="510"/>
      <c r="S344" s="510"/>
      <c r="T344" s="510"/>
      <c r="U344" s="510"/>
      <c r="V344" s="510"/>
      <c r="W344" s="510"/>
      <c r="X344" s="510"/>
      <c r="Y344" s="510"/>
      <c r="Z344" s="510"/>
      <c r="AA344" s="510"/>
      <c r="AB344" s="510"/>
      <c r="AC344" s="510"/>
      <c r="AD344" s="510"/>
    </row>
    <row r="345" ht="28.5" customHeight="1">
      <c r="A345" s="288"/>
      <c r="B345" s="510"/>
      <c r="C345" s="510"/>
      <c r="D345" s="288"/>
      <c r="E345" s="511"/>
      <c r="F345" s="510"/>
      <c r="G345" s="510"/>
      <c r="H345" s="510"/>
      <c r="I345" s="510"/>
      <c r="J345" s="510"/>
      <c r="K345" s="510"/>
      <c r="L345" s="510"/>
      <c r="M345" s="510"/>
      <c r="N345" s="510"/>
      <c r="O345" s="510"/>
      <c r="P345" s="510"/>
      <c r="Q345" s="510"/>
      <c r="R345" s="510"/>
      <c r="S345" s="510"/>
      <c r="T345" s="510"/>
      <c r="U345" s="510"/>
      <c r="V345" s="510"/>
      <c r="W345" s="510"/>
      <c r="X345" s="510"/>
      <c r="Y345" s="510"/>
      <c r="Z345" s="510"/>
      <c r="AA345" s="510"/>
      <c r="AB345" s="510"/>
      <c r="AC345" s="510"/>
      <c r="AD345" s="510"/>
    </row>
    <row r="346" ht="28.5" customHeight="1">
      <c r="A346" s="288"/>
      <c r="B346" s="510"/>
      <c r="C346" s="510"/>
      <c r="D346" s="288"/>
      <c r="E346" s="511"/>
      <c r="F346" s="510"/>
      <c r="G346" s="510"/>
      <c r="H346" s="510"/>
      <c r="I346" s="510"/>
      <c r="J346" s="510"/>
      <c r="K346" s="510"/>
      <c r="L346" s="510"/>
      <c r="M346" s="510"/>
      <c r="N346" s="510"/>
      <c r="O346" s="510"/>
      <c r="P346" s="510"/>
      <c r="Q346" s="510"/>
      <c r="R346" s="510"/>
      <c r="S346" s="510"/>
      <c r="T346" s="510"/>
      <c r="U346" s="510"/>
      <c r="V346" s="510"/>
      <c r="W346" s="510"/>
      <c r="X346" s="510"/>
      <c r="Y346" s="510"/>
      <c r="Z346" s="510"/>
      <c r="AA346" s="510"/>
      <c r="AB346" s="510"/>
      <c r="AC346" s="510"/>
      <c r="AD346" s="510"/>
    </row>
    <row r="347" ht="28.5" customHeight="1">
      <c r="A347" s="288"/>
      <c r="B347" s="510"/>
      <c r="C347" s="510"/>
      <c r="D347" s="288"/>
      <c r="E347" s="511"/>
      <c r="F347" s="510"/>
      <c r="G347" s="510"/>
      <c r="H347" s="510"/>
      <c r="I347" s="510"/>
      <c r="J347" s="510"/>
      <c r="K347" s="510"/>
      <c r="L347" s="510"/>
      <c r="M347" s="510"/>
      <c r="N347" s="510"/>
      <c r="O347" s="510"/>
      <c r="P347" s="510"/>
      <c r="Q347" s="510"/>
      <c r="R347" s="510"/>
      <c r="S347" s="510"/>
      <c r="T347" s="510"/>
      <c r="U347" s="510"/>
      <c r="V347" s="510"/>
      <c r="W347" s="510"/>
      <c r="X347" s="510"/>
      <c r="Y347" s="510"/>
      <c r="Z347" s="510"/>
      <c r="AA347" s="510"/>
      <c r="AB347" s="510"/>
      <c r="AC347" s="510"/>
      <c r="AD347" s="510"/>
    </row>
    <row r="348" ht="28.5" customHeight="1">
      <c r="A348" s="288"/>
      <c r="B348" s="510"/>
      <c r="C348" s="510"/>
      <c r="D348" s="288"/>
      <c r="E348" s="511"/>
      <c r="F348" s="510"/>
      <c r="G348" s="510"/>
      <c r="H348" s="510"/>
      <c r="I348" s="510"/>
      <c r="J348" s="510"/>
      <c r="K348" s="510"/>
      <c r="L348" s="510"/>
      <c r="M348" s="510"/>
      <c r="N348" s="510"/>
      <c r="O348" s="510"/>
      <c r="P348" s="510"/>
      <c r="Q348" s="510"/>
      <c r="R348" s="510"/>
      <c r="S348" s="510"/>
      <c r="T348" s="510"/>
      <c r="U348" s="510"/>
      <c r="V348" s="510"/>
      <c r="W348" s="510"/>
      <c r="X348" s="510"/>
      <c r="Y348" s="510"/>
      <c r="Z348" s="510"/>
      <c r="AA348" s="510"/>
      <c r="AB348" s="510"/>
      <c r="AC348" s="510"/>
      <c r="AD348" s="510"/>
    </row>
    <row r="349" ht="28.5" customHeight="1">
      <c r="A349" s="288"/>
      <c r="B349" s="510"/>
      <c r="C349" s="510"/>
      <c r="D349" s="288"/>
      <c r="E349" s="511"/>
      <c r="F349" s="510"/>
      <c r="G349" s="510"/>
      <c r="H349" s="510"/>
      <c r="I349" s="510"/>
      <c r="J349" s="510"/>
      <c r="K349" s="510"/>
      <c r="L349" s="510"/>
      <c r="M349" s="510"/>
      <c r="N349" s="510"/>
      <c r="O349" s="510"/>
      <c r="P349" s="510"/>
      <c r="Q349" s="510"/>
      <c r="R349" s="510"/>
      <c r="S349" s="510"/>
      <c r="T349" s="510"/>
      <c r="U349" s="510"/>
      <c r="V349" s="510"/>
      <c r="W349" s="510"/>
      <c r="X349" s="510"/>
      <c r="Y349" s="510"/>
      <c r="Z349" s="510"/>
      <c r="AA349" s="510"/>
      <c r="AB349" s="510"/>
      <c r="AC349" s="510"/>
      <c r="AD349" s="510"/>
    </row>
    <row r="350" ht="28.5" customHeight="1">
      <c r="A350" s="288"/>
      <c r="B350" s="510"/>
      <c r="C350" s="510"/>
      <c r="D350" s="288"/>
      <c r="E350" s="511"/>
      <c r="F350" s="510"/>
      <c r="G350" s="510"/>
      <c r="H350" s="510"/>
      <c r="I350" s="510"/>
      <c r="J350" s="510"/>
      <c r="K350" s="510"/>
      <c r="L350" s="510"/>
      <c r="M350" s="510"/>
      <c r="N350" s="510"/>
      <c r="O350" s="510"/>
      <c r="P350" s="510"/>
      <c r="Q350" s="510"/>
      <c r="R350" s="510"/>
      <c r="S350" s="510"/>
      <c r="T350" s="510"/>
      <c r="U350" s="510"/>
      <c r="V350" s="510"/>
      <c r="W350" s="510"/>
      <c r="X350" s="510"/>
      <c r="Y350" s="510"/>
      <c r="Z350" s="510"/>
      <c r="AA350" s="510"/>
      <c r="AB350" s="510"/>
      <c r="AC350" s="510"/>
      <c r="AD350" s="510"/>
    </row>
    <row r="351" ht="28.5" customHeight="1">
      <c r="A351" s="288"/>
      <c r="B351" s="510"/>
      <c r="C351" s="510"/>
      <c r="D351" s="288"/>
      <c r="E351" s="511"/>
      <c r="F351" s="510"/>
      <c r="G351" s="510"/>
      <c r="H351" s="510"/>
      <c r="I351" s="510"/>
      <c r="J351" s="510"/>
      <c r="K351" s="510"/>
      <c r="L351" s="510"/>
      <c r="M351" s="510"/>
      <c r="N351" s="510"/>
      <c r="O351" s="510"/>
      <c r="P351" s="510"/>
      <c r="Q351" s="510"/>
      <c r="R351" s="510"/>
      <c r="S351" s="510"/>
      <c r="T351" s="510"/>
      <c r="U351" s="510"/>
      <c r="V351" s="510"/>
      <c r="W351" s="510"/>
      <c r="X351" s="510"/>
      <c r="Y351" s="510"/>
      <c r="Z351" s="510"/>
      <c r="AA351" s="510"/>
      <c r="AB351" s="510"/>
      <c r="AC351" s="510"/>
      <c r="AD351" s="510"/>
    </row>
    <row r="352" ht="28.5" customHeight="1">
      <c r="A352" s="288"/>
      <c r="B352" s="510"/>
      <c r="C352" s="510"/>
      <c r="D352" s="288"/>
      <c r="E352" s="511"/>
      <c r="F352" s="510"/>
      <c r="G352" s="510"/>
      <c r="H352" s="510"/>
      <c r="I352" s="510"/>
      <c r="J352" s="510"/>
      <c r="K352" s="510"/>
      <c r="L352" s="510"/>
      <c r="M352" s="510"/>
      <c r="N352" s="510"/>
      <c r="O352" s="510"/>
      <c r="P352" s="510"/>
      <c r="Q352" s="510"/>
      <c r="R352" s="510"/>
      <c r="S352" s="510"/>
      <c r="T352" s="510"/>
      <c r="U352" s="510"/>
      <c r="V352" s="510"/>
      <c r="W352" s="510"/>
      <c r="X352" s="510"/>
      <c r="Y352" s="510"/>
      <c r="Z352" s="510"/>
      <c r="AA352" s="510"/>
      <c r="AB352" s="510"/>
      <c r="AC352" s="510"/>
      <c r="AD352" s="510"/>
    </row>
    <row r="353" ht="28.5" customHeight="1">
      <c r="A353" s="288"/>
      <c r="B353" s="510"/>
      <c r="C353" s="510"/>
      <c r="D353" s="288"/>
      <c r="E353" s="511"/>
      <c r="F353" s="510"/>
      <c r="G353" s="510"/>
      <c r="H353" s="510"/>
      <c r="I353" s="510"/>
      <c r="J353" s="510"/>
      <c r="K353" s="510"/>
      <c r="L353" s="510"/>
      <c r="M353" s="510"/>
      <c r="N353" s="510"/>
      <c r="O353" s="510"/>
      <c r="P353" s="510"/>
      <c r="Q353" s="510"/>
      <c r="R353" s="510"/>
      <c r="S353" s="510"/>
      <c r="T353" s="510"/>
      <c r="U353" s="510"/>
      <c r="V353" s="510"/>
      <c r="W353" s="510"/>
      <c r="X353" s="510"/>
      <c r="Y353" s="510"/>
      <c r="Z353" s="510"/>
      <c r="AA353" s="510"/>
      <c r="AB353" s="510"/>
      <c r="AC353" s="510"/>
      <c r="AD353" s="510"/>
    </row>
    <row r="354" ht="28.5" customHeight="1">
      <c r="A354" s="288"/>
      <c r="B354" s="510"/>
      <c r="C354" s="510"/>
      <c r="D354" s="288"/>
      <c r="E354" s="511"/>
      <c r="F354" s="510"/>
      <c r="G354" s="510"/>
      <c r="H354" s="510"/>
      <c r="I354" s="510"/>
      <c r="J354" s="510"/>
      <c r="K354" s="510"/>
      <c r="L354" s="510"/>
      <c r="M354" s="510"/>
      <c r="N354" s="510"/>
      <c r="O354" s="510"/>
      <c r="P354" s="510"/>
      <c r="Q354" s="510"/>
      <c r="R354" s="510"/>
      <c r="S354" s="510"/>
      <c r="T354" s="510"/>
      <c r="U354" s="510"/>
      <c r="V354" s="510"/>
      <c r="W354" s="510"/>
      <c r="X354" s="510"/>
      <c r="Y354" s="510"/>
      <c r="Z354" s="510"/>
      <c r="AA354" s="510"/>
      <c r="AB354" s="510"/>
      <c r="AC354" s="510"/>
      <c r="AD354" s="510"/>
    </row>
    <row r="355" ht="28.5" customHeight="1">
      <c r="A355" s="288"/>
      <c r="B355" s="510"/>
      <c r="C355" s="510"/>
      <c r="D355" s="288"/>
      <c r="E355" s="511"/>
      <c r="F355" s="510"/>
      <c r="G355" s="510"/>
      <c r="H355" s="510"/>
      <c r="I355" s="510"/>
      <c r="J355" s="510"/>
      <c r="K355" s="510"/>
      <c r="L355" s="510"/>
      <c r="M355" s="510"/>
      <c r="N355" s="510"/>
      <c r="O355" s="510"/>
      <c r="P355" s="510"/>
      <c r="Q355" s="510"/>
      <c r="R355" s="510"/>
      <c r="S355" s="510"/>
      <c r="T355" s="510"/>
      <c r="U355" s="510"/>
      <c r="V355" s="510"/>
      <c r="W355" s="510"/>
      <c r="X355" s="510"/>
      <c r="Y355" s="510"/>
      <c r="Z355" s="510"/>
      <c r="AA355" s="510"/>
      <c r="AB355" s="510"/>
      <c r="AC355" s="510"/>
      <c r="AD355" s="510"/>
    </row>
    <row r="356" ht="28.5" customHeight="1">
      <c r="A356" s="288"/>
      <c r="B356" s="510"/>
      <c r="C356" s="510"/>
      <c r="D356" s="288"/>
      <c r="E356" s="511"/>
      <c r="F356" s="510"/>
      <c r="G356" s="510"/>
      <c r="H356" s="510"/>
      <c r="I356" s="510"/>
      <c r="J356" s="510"/>
      <c r="K356" s="510"/>
      <c r="L356" s="510"/>
      <c r="M356" s="510"/>
      <c r="N356" s="510"/>
      <c r="O356" s="510"/>
      <c r="P356" s="510"/>
      <c r="Q356" s="510"/>
      <c r="R356" s="510"/>
      <c r="S356" s="510"/>
      <c r="T356" s="510"/>
      <c r="U356" s="510"/>
      <c r="V356" s="510"/>
      <c r="W356" s="510"/>
      <c r="X356" s="510"/>
      <c r="Y356" s="510"/>
      <c r="Z356" s="510"/>
      <c r="AA356" s="510"/>
      <c r="AB356" s="510"/>
      <c r="AC356" s="510"/>
      <c r="AD356" s="510"/>
    </row>
    <row r="357" ht="28.5" customHeight="1">
      <c r="A357" s="288"/>
      <c r="B357" s="510"/>
      <c r="C357" s="510"/>
      <c r="D357" s="288"/>
      <c r="E357" s="511"/>
      <c r="F357" s="510"/>
      <c r="G357" s="510"/>
      <c r="H357" s="510"/>
      <c r="I357" s="510"/>
      <c r="J357" s="510"/>
      <c r="K357" s="510"/>
      <c r="L357" s="510"/>
      <c r="M357" s="510"/>
      <c r="N357" s="510"/>
      <c r="O357" s="510"/>
      <c r="P357" s="510"/>
      <c r="Q357" s="510"/>
      <c r="R357" s="510"/>
      <c r="S357" s="510"/>
      <c r="T357" s="510"/>
      <c r="U357" s="510"/>
      <c r="V357" s="510"/>
      <c r="W357" s="510"/>
      <c r="X357" s="510"/>
      <c r="Y357" s="510"/>
      <c r="Z357" s="510"/>
      <c r="AA357" s="510"/>
      <c r="AB357" s="510"/>
      <c r="AC357" s="510"/>
      <c r="AD357" s="510"/>
    </row>
    <row r="358" ht="28.5" customHeight="1">
      <c r="A358" s="288"/>
      <c r="B358" s="510"/>
      <c r="C358" s="510"/>
      <c r="D358" s="288"/>
      <c r="E358" s="511"/>
      <c r="F358" s="510"/>
      <c r="G358" s="510"/>
      <c r="H358" s="510"/>
      <c r="I358" s="510"/>
      <c r="J358" s="510"/>
      <c r="K358" s="510"/>
      <c r="L358" s="510"/>
      <c r="M358" s="510"/>
      <c r="N358" s="510"/>
      <c r="O358" s="510"/>
      <c r="P358" s="510"/>
      <c r="Q358" s="510"/>
      <c r="R358" s="510"/>
      <c r="S358" s="510"/>
      <c r="T358" s="510"/>
      <c r="U358" s="510"/>
      <c r="V358" s="510"/>
      <c r="W358" s="510"/>
      <c r="X358" s="510"/>
      <c r="Y358" s="510"/>
      <c r="Z358" s="510"/>
      <c r="AA358" s="510"/>
      <c r="AB358" s="510"/>
      <c r="AC358" s="510"/>
      <c r="AD358" s="510"/>
    </row>
    <row r="359" ht="28.5" customHeight="1">
      <c r="A359" s="288"/>
      <c r="B359" s="510"/>
      <c r="C359" s="510"/>
      <c r="D359" s="288"/>
      <c r="E359" s="511"/>
      <c r="F359" s="510"/>
      <c r="G359" s="510"/>
      <c r="H359" s="510"/>
      <c r="I359" s="510"/>
      <c r="J359" s="510"/>
      <c r="K359" s="510"/>
      <c r="L359" s="510"/>
      <c r="M359" s="510"/>
      <c r="N359" s="510"/>
      <c r="O359" s="510"/>
      <c r="P359" s="510"/>
      <c r="Q359" s="510"/>
      <c r="R359" s="510"/>
      <c r="S359" s="510"/>
      <c r="T359" s="510"/>
      <c r="U359" s="510"/>
      <c r="V359" s="510"/>
      <c r="W359" s="510"/>
      <c r="X359" s="510"/>
      <c r="Y359" s="510"/>
      <c r="Z359" s="510"/>
      <c r="AA359" s="510"/>
      <c r="AB359" s="510"/>
      <c r="AC359" s="510"/>
      <c r="AD359" s="510"/>
    </row>
    <row r="360" ht="28.5" customHeight="1">
      <c r="A360" s="288"/>
      <c r="B360" s="510"/>
      <c r="C360" s="510"/>
      <c r="D360" s="288"/>
      <c r="E360" s="511"/>
      <c r="F360" s="510"/>
      <c r="G360" s="510"/>
      <c r="H360" s="510"/>
      <c r="I360" s="510"/>
      <c r="J360" s="510"/>
      <c r="K360" s="510"/>
      <c r="L360" s="510"/>
      <c r="M360" s="510"/>
      <c r="N360" s="510"/>
      <c r="O360" s="510"/>
      <c r="P360" s="510"/>
      <c r="Q360" s="510"/>
      <c r="R360" s="510"/>
      <c r="S360" s="510"/>
      <c r="T360" s="510"/>
      <c r="U360" s="510"/>
      <c r="V360" s="510"/>
      <c r="W360" s="510"/>
      <c r="X360" s="510"/>
      <c r="Y360" s="510"/>
      <c r="Z360" s="510"/>
      <c r="AA360" s="510"/>
      <c r="AB360" s="510"/>
      <c r="AC360" s="510"/>
      <c r="AD360" s="510"/>
    </row>
    <row r="361" ht="28.5" customHeight="1">
      <c r="A361" s="288"/>
      <c r="B361" s="510"/>
      <c r="C361" s="510"/>
      <c r="D361" s="288"/>
      <c r="E361" s="511"/>
      <c r="F361" s="510"/>
      <c r="G361" s="510"/>
      <c r="H361" s="510"/>
      <c r="I361" s="510"/>
      <c r="J361" s="510"/>
      <c r="K361" s="510"/>
      <c r="L361" s="510"/>
      <c r="M361" s="510"/>
      <c r="N361" s="510"/>
      <c r="O361" s="510"/>
      <c r="P361" s="510"/>
      <c r="Q361" s="510"/>
      <c r="R361" s="510"/>
      <c r="S361" s="510"/>
      <c r="T361" s="510"/>
      <c r="U361" s="510"/>
      <c r="V361" s="510"/>
      <c r="W361" s="510"/>
      <c r="X361" s="510"/>
      <c r="Y361" s="510"/>
      <c r="Z361" s="510"/>
      <c r="AA361" s="510"/>
      <c r="AB361" s="510"/>
      <c r="AC361" s="510"/>
      <c r="AD361" s="510"/>
    </row>
    <row r="362" ht="28.5" customHeight="1">
      <c r="A362" s="288"/>
      <c r="B362" s="510"/>
      <c r="C362" s="510"/>
      <c r="D362" s="288"/>
      <c r="E362" s="511"/>
      <c r="F362" s="510"/>
      <c r="G362" s="510"/>
      <c r="H362" s="510"/>
      <c r="I362" s="510"/>
      <c r="J362" s="510"/>
      <c r="K362" s="510"/>
      <c r="L362" s="510"/>
      <c r="M362" s="510"/>
      <c r="N362" s="510"/>
      <c r="O362" s="510"/>
      <c r="P362" s="510"/>
      <c r="Q362" s="510"/>
      <c r="R362" s="510"/>
      <c r="S362" s="510"/>
      <c r="T362" s="510"/>
      <c r="U362" s="510"/>
      <c r="V362" s="510"/>
      <c r="W362" s="510"/>
      <c r="X362" s="510"/>
      <c r="Y362" s="510"/>
      <c r="Z362" s="510"/>
      <c r="AA362" s="510"/>
      <c r="AB362" s="510"/>
      <c r="AC362" s="510"/>
      <c r="AD362" s="510"/>
    </row>
    <row r="363" ht="28.5" customHeight="1">
      <c r="A363" s="288"/>
      <c r="B363" s="510"/>
      <c r="C363" s="510"/>
      <c r="D363" s="288"/>
      <c r="E363" s="511"/>
      <c r="F363" s="510"/>
      <c r="G363" s="510"/>
      <c r="H363" s="510"/>
      <c r="I363" s="510"/>
      <c r="J363" s="510"/>
      <c r="K363" s="510"/>
      <c r="L363" s="510"/>
      <c r="M363" s="510"/>
      <c r="N363" s="510"/>
      <c r="O363" s="510"/>
      <c r="P363" s="510"/>
      <c r="Q363" s="510"/>
      <c r="R363" s="510"/>
      <c r="S363" s="510"/>
      <c r="T363" s="510"/>
      <c r="U363" s="510"/>
      <c r="V363" s="510"/>
      <c r="W363" s="510"/>
      <c r="X363" s="510"/>
      <c r="Y363" s="510"/>
      <c r="Z363" s="510"/>
      <c r="AA363" s="510"/>
      <c r="AB363" s="510"/>
      <c r="AC363" s="510"/>
      <c r="AD363" s="510"/>
    </row>
    <row r="364" ht="28.5" customHeight="1">
      <c r="A364" s="288"/>
      <c r="B364" s="510"/>
      <c r="C364" s="510"/>
      <c r="D364" s="288"/>
      <c r="E364" s="511"/>
      <c r="F364" s="510"/>
      <c r="G364" s="510"/>
      <c r="H364" s="510"/>
      <c r="I364" s="510"/>
      <c r="J364" s="510"/>
      <c r="K364" s="510"/>
      <c r="L364" s="510"/>
      <c r="M364" s="510"/>
      <c r="N364" s="510"/>
      <c r="O364" s="510"/>
      <c r="P364" s="510"/>
      <c r="Q364" s="510"/>
      <c r="R364" s="510"/>
      <c r="S364" s="510"/>
      <c r="T364" s="510"/>
      <c r="U364" s="510"/>
      <c r="V364" s="510"/>
      <c r="W364" s="510"/>
      <c r="X364" s="510"/>
      <c r="Y364" s="510"/>
      <c r="Z364" s="510"/>
      <c r="AA364" s="510"/>
      <c r="AB364" s="510"/>
      <c r="AC364" s="510"/>
      <c r="AD364" s="510"/>
    </row>
    <row r="365" ht="28.5" customHeight="1">
      <c r="A365" s="288"/>
      <c r="B365" s="510"/>
      <c r="C365" s="510"/>
      <c r="D365" s="288"/>
      <c r="E365" s="511"/>
      <c r="F365" s="510"/>
      <c r="G365" s="510"/>
      <c r="H365" s="510"/>
      <c r="I365" s="510"/>
      <c r="J365" s="510"/>
      <c r="K365" s="510"/>
      <c r="L365" s="510"/>
      <c r="M365" s="510"/>
      <c r="N365" s="510"/>
      <c r="O365" s="510"/>
      <c r="P365" s="510"/>
      <c r="Q365" s="510"/>
      <c r="R365" s="510"/>
      <c r="S365" s="510"/>
      <c r="T365" s="510"/>
      <c r="U365" s="510"/>
      <c r="V365" s="510"/>
      <c r="W365" s="510"/>
      <c r="X365" s="510"/>
      <c r="Y365" s="510"/>
      <c r="Z365" s="510"/>
      <c r="AA365" s="510"/>
      <c r="AB365" s="510"/>
      <c r="AC365" s="510"/>
      <c r="AD365" s="510"/>
    </row>
    <row r="366" ht="28.5" customHeight="1">
      <c r="A366" s="288"/>
      <c r="B366" s="510"/>
      <c r="C366" s="510"/>
      <c r="D366" s="288"/>
      <c r="E366" s="511"/>
      <c r="F366" s="510"/>
      <c r="G366" s="510"/>
      <c r="H366" s="510"/>
      <c r="I366" s="510"/>
      <c r="J366" s="510"/>
      <c r="K366" s="510"/>
      <c r="L366" s="510"/>
      <c r="M366" s="510"/>
      <c r="N366" s="510"/>
      <c r="O366" s="510"/>
      <c r="P366" s="510"/>
      <c r="Q366" s="510"/>
      <c r="R366" s="510"/>
      <c r="S366" s="510"/>
      <c r="T366" s="510"/>
      <c r="U366" s="510"/>
      <c r="V366" s="510"/>
      <c r="W366" s="510"/>
      <c r="X366" s="510"/>
      <c r="Y366" s="510"/>
      <c r="Z366" s="510"/>
      <c r="AA366" s="510"/>
      <c r="AB366" s="510"/>
      <c r="AC366" s="510"/>
      <c r="AD366" s="510"/>
    </row>
    <row r="367" ht="28.5" customHeight="1">
      <c r="A367" s="288"/>
      <c r="B367" s="510"/>
      <c r="C367" s="510"/>
      <c r="D367" s="288"/>
      <c r="E367" s="511"/>
      <c r="F367" s="510"/>
      <c r="G367" s="510"/>
      <c r="H367" s="510"/>
      <c r="I367" s="510"/>
      <c r="J367" s="510"/>
      <c r="K367" s="510"/>
      <c r="L367" s="510"/>
      <c r="M367" s="510"/>
      <c r="N367" s="510"/>
      <c r="O367" s="510"/>
      <c r="P367" s="510"/>
      <c r="Q367" s="510"/>
      <c r="R367" s="510"/>
      <c r="S367" s="510"/>
      <c r="T367" s="510"/>
      <c r="U367" s="510"/>
      <c r="V367" s="510"/>
      <c r="W367" s="510"/>
      <c r="X367" s="510"/>
      <c r="Y367" s="510"/>
      <c r="Z367" s="510"/>
      <c r="AA367" s="510"/>
      <c r="AB367" s="510"/>
      <c r="AC367" s="510"/>
      <c r="AD367" s="510"/>
    </row>
    <row r="368" ht="28.5" customHeight="1">
      <c r="A368" s="288"/>
      <c r="B368" s="510"/>
      <c r="C368" s="510"/>
      <c r="D368" s="288"/>
      <c r="E368" s="511"/>
      <c r="F368" s="510"/>
      <c r="G368" s="510"/>
      <c r="H368" s="510"/>
      <c r="I368" s="510"/>
      <c r="J368" s="510"/>
      <c r="K368" s="510"/>
      <c r="L368" s="510"/>
      <c r="M368" s="510"/>
      <c r="N368" s="510"/>
      <c r="O368" s="510"/>
      <c r="P368" s="510"/>
      <c r="Q368" s="510"/>
      <c r="R368" s="510"/>
      <c r="S368" s="510"/>
      <c r="T368" s="510"/>
      <c r="U368" s="510"/>
      <c r="V368" s="510"/>
      <c r="W368" s="510"/>
      <c r="X368" s="510"/>
      <c r="Y368" s="510"/>
      <c r="Z368" s="510"/>
      <c r="AA368" s="510"/>
      <c r="AB368" s="510"/>
      <c r="AC368" s="510"/>
      <c r="AD368" s="510"/>
    </row>
    <row r="369" ht="28.5" customHeight="1">
      <c r="A369" s="288"/>
      <c r="B369" s="510"/>
      <c r="C369" s="510"/>
      <c r="D369" s="288"/>
      <c r="E369" s="511"/>
      <c r="F369" s="510"/>
      <c r="G369" s="510"/>
      <c r="H369" s="510"/>
      <c r="I369" s="510"/>
      <c r="J369" s="510"/>
      <c r="K369" s="510"/>
      <c r="L369" s="510"/>
      <c r="M369" s="510"/>
      <c r="N369" s="510"/>
      <c r="O369" s="510"/>
      <c r="P369" s="510"/>
      <c r="Q369" s="510"/>
      <c r="R369" s="510"/>
      <c r="S369" s="510"/>
      <c r="T369" s="510"/>
      <c r="U369" s="510"/>
      <c r="V369" s="510"/>
      <c r="W369" s="510"/>
      <c r="X369" s="510"/>
      <c r="Y369" s="510"/>
      <c r="Z369" s="510"/>
      <c r="AA369" s="510"/>
      <c r="AB369" s="510"/>
      <c r="AC369" s="510"/>
      <c r="AD369" s="510"/>
    </row>
    <row r="370" ht="28.5" customHeight="1">
      <c r="A370" s="288"/>
      <c r="B370" s="510"/>
      <c r="C370" s="510"/>
      <c r="D370" s="288"/>
      <c r="E370" s="511"/>
      <c r="F370" s="510"/>
      <c r="G370" s="510"/>
      <c r="H370" s="510"/>
      <c r="I370" s="510"/>
      <c r="J370" s="510"/>
      <c r="K370" s="510"/>
      <c r="L370" s="510"/>
      <c r="M370" s="510"/>
      <c r="N370" s="510"/>
      <c r="O370" s="510"/>
      <c r="P370" s="510"/>
      <c r="Q370" s="510"/>
      <c r="R370" s="510"/>
      <c r="S370" s="510"/>
      <c r="T370" s="510"/>
      <c r="U370" s="510"/>
      <c r="V370" s="510"/>
      <c r="W370" s="510"/>
      <c r="X370" s="510"/>
      <c r="Y370" s="510"/>
      <c r="Z370" s="510"/>
      <c r="AA370" s="510"/>
      <c r="AB370" s="510"/>
      <c r="AC370" s="510"/>
      <c r="AD370" s="510"/>
    </row>
    <row r="371" ht="28.5" customHeight="1">
      <c r="A371" s="288"/>
      <c r="B371" s="510"/>
      <c r="C371" s="510"/>
      <c r="D371" s="288"/>
      <c r="E371" s="511"/>
      <c r="F371" s="510"/>
      <c r="G371" s="510"/>
      <c r="H371" s="510"/>
      <c r="I371" s="510"/>
      <c r="J371" s="510"/>
      <c r="K371" s="510"/>
      <c r="L371" s="510"/>
      <c r="M371" s="510"/>
      <c r="N371" s="510"/>
      <c r="O371" s="510"/>
      <c r="P371" s="510"/>
      <c r="Q371" s="510"/>
      <c r="R371" s="510"/>
      <c r="S371" s="510"/>
      <c r="T371" s="510"/>
      <c r="U371" s="510"/>
      <c r="V371" s="510"/>
      <c r="W371" s="510"/>
      <c r="X371" s="510"/>
      <c r="Y371" s="510"/>
      <c r="Z371" s="510"/>
      <c r="AA371" s="510"/>
      <c r="AB371" s="510"/>
      <c r="AC371" s="510"/>
      <c r="AD371" s="510"/>
    </row>
    <row r="372" ht="28.5" customHeight="1">
      <c r="A372" s="288"/>
      <c r="B372" s="510"/>
      <c r="C372" s="510"/>
      <c r="D372" s="288"/>
      <c r="E372" s="511"/>
      <c r="F372" s="510"/>
      <c r="G372" s="510"/>
      <c r="H372" s="510"/>
      <c r="I372" s="510"/>
      <c r="J372" s="510"/>
      <c r="K372" s="510"/>
      <c r="L372" s="510"/>
      <c r="M372" s="510"/>
      <c r="N372" s="510"/>
      <c r="O372" s="510"/>
      <c r="P372" s="510"/>
      <c r="Q372" s="510"/>
      <c r="R372" s="510"/>
      <c r="S372" s="510"/>
      <c r="T372" s="510"/>
      <c r="U372" s="510"/>
      <c r="V372" s="510"/>
      <c r="W372" s="510"/>
      <c r="X372" s="510"/>
      <c r="Y372" s="510"/>
      <c r="Z372" s="510"/>
      <c r="AA372" s="510"/>
      <c r="AB372" s="510"/>
      <c r="AC372" s="510"/>
      <c r="AD372" s="510"/>
    </row>
    <row r="373" ht="28.5" customHeight="1">
      <c r="A373" s="288"/>
      <c r="B373" s="510"/>
      <c r="C373" s="510"/>
      <c r="D373" s="288"/>
      <c r="E373" s="511"/>
      <c r="F373" s="510"/>
      <c r="G373" s="510"/>
      <c r="H373" s="510"/>
      <c r="I373" s="510"/>
      <c r="J373" s="510"/>
      <c r="K373" s="510"/>
      <c r="L373" s="510"/>
      <c r="M373" s="510"/>
      <c r="N373" s="510"/>
      <c r="O373" s="510"/>
      <c r="P373" s="510"/>
      <c r="Q373" s="510"/>
      <c r="R373" s="510"/>
      <c r="S373" s="510"/>
      <c r="T373" s="510"/>
      <c r="U373" s="510"/>
      <c r="V373" s="510"/>
      <c r="W373" s="510"/>
      <c r="X373" s="510"/>
      <c r="Y373" s="510"/>
      <c r="Z373" s="510"/>
      <c r="AA373" s="510"/>
      <c r="AB373" s="510"/>
      <c r="AC373" s="510"/>
      <c r="AD373" s="510"/>
    </row>
    <row r="374" ht="28.5" customHeight="1">
      <c r="A374" s="288"/>
      <c r="B374" s="510"/>
      <c r="C374" s="510"/>
      <c r="D374" s="288"/>
      <c r="E374" s="511"/>
      <c r="F374" s="510"/>
      <c r="G374" s="510"/>
      <c r="H374" s="510"/>
      <c r="I374" s="510"/>
      <c r="J374" s="510"/>
      <c r="K374" s="510"/>
      <c r="L374" s="510"/>
      <c r="M374" s="510"/>
      <c r="N374" s="510"/>
      <c r="O374" s="510"/>
      <c r="P374" s="510"/>
      <c r="Q374" s="510"/>
      <c r="R374" s="510"/>
      <c r="S374" s="510"/>
      <c r="T374" s="510"/>
      <c r="U374" s="510"/>
      <c r="V374" s="510"/>
      <c r="W374" s="510"/>
      <c r="X374" s="510"/>
      <c r="Y374" s="510"/>
      <c r="Z374" s="510"/>
      <c r="AA374" s="510"/>
      <c r="AB374" s="510"/>
      <c r="AC374" s="510"/>
      <c r="AD374" s="510"/>
    </row>
    <row r="375" ht="28.5" customHeight="1">
      <c r="A375" s="288"/>
      <c r="B375" s="510"/>
      <c r="C375" s="510"/>
      <c r="D375" s="288"/>
      <c r="E375" s="511"/>
      <c r="F375" s="510"/>
      <c r="G375" s="510"/>
      <c r="H375" s="510"/>
      <c r="I375" s="510"/>
      <c r="J375" s="510"/>
      <c r="K375" s="510"/>
      <c r="L375" s="510"/>
      <c r="M375" s="510"/>
      <c r="N375" s="510"/>
      <c r="O375" s="510"/>
      <c r="P375" s="510"/>
      <c r="Q375" s="510"/>
      <c r="R375" s="510"/>
      <c r="S375" s="510"/>
      <c r="T375" s="510"/>
      <c r="U375" s="510"/>
      <c r="V375" s="510"/>
      <c r="W375" s="510"/>
      <c r="X375" s="510"/>
      <c r="Y375" s="510"/>
      <c r="Z375" s="510"/>
      <c r="AA375" s="510"/>
      <c r="AB375" s="510"/>
      <c r="AC375" s="510"/>
      <c r="AD375" s="510"/>
    </row>
    <row r="376" ht="28.5" customHeight="1">
      <c r="A376" s="288"/>
      <c r="B376" s="510"/>
      <c r="C376" s="510"/>
      <c r="D376" s="288"/>
      <c r="E376" s="511"/>
      <c r="F376" s="510"/>
      <c r="G376" s="510"/>
      <c r="H376" s="510"/>
      <c r="I376" s="510"/>
      <c r="J376" s="510"/>
      <c r="K376" s="510"/>
      <c r="L376" s="510"/>
      <c r="M376" s="510"/>
      <c r="N376" s="510"/>
      <c r="O376" s="510"/>
      <c r="P376" s="510"/>
      <c r="Q376" s="510"/>
      <c r="R376" s="510"/>
      <c r="S376" s="510"/>
      <c r="T376" s="510"/>
      <c r="U376" s="510"/>
      <c r="V376" s="510"/>
      <c r="W376" s="510"/>
      <c r="X376" s="510"/>
      <c r="Y376" s="510"/>
      <c r="Z376" s="510"/>
      <c r="AA376" s="510"/>
      <c r="AB376" s="510"/>
      <c r="AC376" s="510"/>
      <c r="AD376" s="510"/>
    </row>
    <row r="377" ht="28.5" customHeight="1">
      <c r="A377" s="288"/>
      <c r="B377" s="510"/>
      <c r="C377" s="510"/>
      <c r="D377" s="288"/>
      <c r="E377" s="511"/>
      <c r="F377" s="510"/>
      <c r="G377" s="510"/>
      <c r="H377" s="510"/>
      <c r="I377" s="510"/>
      <c r="J377" s="510"/>
      <c r="K377" s="510"/>
      <c r="L377" s="510"/>
      <c r="M377" s="510"/>
      <c r="N377" s="510"/>
      <c r="O377" s="510"/>
      <c r="P377" s="510"/>
      <c r="Q377" s="510"/>
      <c r="R377" s="510"/>
      <c r="S377" s="510"/>
      <c r="T377" s="510"/>
      <c r="U377" s="510"/>
      <c r="V377" s="510"/>
      <c r="W377" s="510"/>
      <c r="X377" s="510"/>
      <c r="Y377" s="510"/>
      <c r="Z377" s="510"/>
      <c r="AA377" s="510"/>
      <c r="AB377" s="510"/>
      <c r="AC377" s="510"/>
      <c r="AD377" s="510"/>
    </row>
    <row r="378" ht="28.5" customHeight="1">
      <c r="A378" s="288"/>
      <c r="B378" s="510"/>
      <c r="C378" s="510"/>
      <c r="D378" s="288"/>
      <c r="E378" s="511"/>
      <c r="F378" s="510"/>
      <c r="G378" s="510"/>
      <c r="H378" s="510"/>
      <c r="I378" s="510"/>
      <c r="J378" s="510"/>
      <c r="K378" s="510"/>
      <c r="L378" s="510"/>
      <c r="M378" s="510"/>
      <c r="N378" s="510"/>
      <c r="O378" s="510"/>
      <c r="P378" s="510"/>
      <c r="Q378" s="510"/>
      <c r="R378" s="510"/>
      <c r="S378" s="510"/>
      <c r="T378" s="510"/>
      <c r="U378" s="510"/>
      <c r="V378" s="510"/>
      <c r="W378" s="510"/>
      <c r="X378" s="510"/>
      <c r="Y378" s="510"/>
      <c r="Z378" s="510"/>
      <c r="AA378" s="510"/>
      <c r="AB378" s="510"/>
      <c r="AC378" s="510"/>
      <c r="AD378" s="510"/>
    </row>
    <row r="379" ht="28.5" customHeight="1">
      <c r="A379" s="288"/>
      <c r="B379" s="510"/>
      <c r="C379" s="510"/>
      <c r="D379" s="288"/>
      <c r="E379" s="511"/>
      <c r="F379" s="510"/>
      <c r="G379" s="510"/>
      <c r="H379" s="510"/>
      <c r="I379" s="510"/>
      <c r="J379" s="510"/>
      <c r="K379" s="510"/>
      <c r="L379" s="510"/>
      <c r="M379" s="510"/>
      <c r="N379" s="510"/>
      <c r="O379" s="510"/>
      <c r="P379" s="510"/>
      <c r="Q379" s="510"/>
      <c r="R379" s="510"/>
      <c r="S379" s="510"/>
      <c r="T379" s="510"/>
      <c r="U379" s="510"/>
      <c r="V379" s="510"/>
      <c r="W379" s="510"/>
      <c r="X379" s="510"/>
      <c r="Y379" s="510"/>
      <c r="Z379" s="510"/>
      <c r="AA379" s="510"/>
      <c r="AB379" s="510"/>
      <c r="AC379" s="510"/>
      <c r="AD379" s="510"/>
    </row>
    <row r="380" ht="28.5" customHeight="1">
      <c r="A380" s="288"/>
      <c r="B380" s="510"/>
      <c r="C380" s="510"/>
      <c r="D380" s="288"/>
      <c r="E380" s="511"/>
      <c r="F380" s="510"/>
      <c r="G380" s="510"/>
      <c r="H380" s="510"/>
      <c r="I380" s="510"/>
      <c r="J380" s="510"/>
      <c r="K380" s="510"/>
      <c r="L380" s="510"/>
      <c r="M380" s="510"/>
      <c r="N380" s="510"/>
      <c r="O380" s="510"/>
      <c r="P380" s="510"/>
      <c r="Q380" s="510"/>
      <c r="R380" s="510"/>
      <c r="S380" s="510"/>
      <c r="T380" s="510"/>
      <c r="U380" s="510"/>
      <c r="V380" s="510"/>
      <c r="W380" s="510"/>
      <c r="X380" s="510"/>
      <c r="Y380" s="510"/>
      <c r="Z380" s="510"/>
      <c r="AA380" s="510"/>
      <c r="AB380" s="510"/>
      <c r="AC380" s="510"/>
      <c r="AD380" s="510"/>
    </row>
    <row r="381" ht="28.5" customHeight="1">
      <c r="A381" s="288"/>
      <c r="B381" s="510"/>
      <c r="C381" s="510"/>
      <c r="D381" s="288"/>
      <c r="E381" s="511"/>
      <c r="F381" s="510"/>
      <c r="G381" s="510"/>
      <c r="H381" s="510"/>
      <c r="I381" s="510"/>
      <c r="J381" s="510"/>
      <c r="K381" s="510"/>
      <c r="L381" s="510"/>
      <c r="M381" s="510"/>
      <c r="N381" s="510"/>
      <c r="O381" s="510"/>
      <c r="P381" s="510"/>
      <c r="Q381" s="510"/>
      <c r="R381" s="510"/>
      <c r="S381" s="510"/>
      <c r="T381" s="510"/>
      <c r="U381" s="510"/>
      <c r="V381" s="510"/>
      <c r="W381" s="510"/>
      <c r="X381" s="510"/>
      <c r="Y381" s="510"/>
      <c r="Z381" s="510"/>
      <c r="AA381" s="510"/>
      <c r="AB381" s="510"/>
      <c r="AC381" s="510"/>
      <c r="AD381" s="510"/>
    </row>
    <row r="382" ht="28.5" customHeight="1">
      <c r="A382" s="288"/>
      <c r="B382" s="510"/>
      <c r="C382" s="510"/>
      <c r="D382" s="288"/>
      <c r="E382" s="511"/>
      <c r="F382" s="510"/>
      <c r="G382" s="510"/>
      <c r="H382" s="510"/>
      <c r="I382" s="510"/>
      <c r="J382" s="510"/>
      <c r="K382" s="510"/>
      <c r="L382" s="510"/>
      <c r="M382" s="510"/>
      <c r="N382" s="510"/>
      <c r="O382" s="510"/>
      <c r="P382" s="510"/>
      <c r="Q382" s="510"/>
      <c r="R382" s="510"/>
      <c r="S382" s="510"/>
      <c r="T382" s="510"/>
      <c r="U382" s="510"/>
      <c r="V382" s="510"/>
      <c r="W382" s="510"/>
      <c r="X382" s="510"/>
      <c r="Y382" s="510"/>
      <c r="Z382" s="510"/>
      <c r="AA382" s="510"/>
      <c r="AB382" s="510"/>
      <c r="AC382" s="510"/>
      <c r="AD382" s="510"/>
    </row>
    <row r="383" ht="28.5" customHeight="1">
      <c r="A383" s="288"/>
      <c r="B383" s="510"/>
      <c r="C383" s="510"/>
      <c r="D383" s="288"/>
      <c r="E383" s="511"/>
      <c r="F383" s="510"/>
      <c r="G383" s="510"/>
      <c r="H383" s="510"/>
      <c r="I383" s="510"/>
      <c r="J383" s="510"/>
      <c r="K383" s="510"/>
      <c r="L383" s="510"/>
      <c r="M383" s="510"/>
      <c r="N383" s="510"/>
      <c r="O383" s="510"/>
      <c r="P383" s="510"/>
      <c r="Q383" s="510"/>
      <c r="R383" s="510"/>
      <c r="S383" s="510"/>
      <c r="T383" s="510"/>
      <c r="U383" s="510"/>
      <c r="V383" s="510"/>
      <c r="W383" s="510"/>
      <c r="X383" s="510"/>
      <c r="Y383" s="510"/>
      <c r="Z383" s="510"/>
      <c r="AA383" s="510"/>
      <c r="AB383" s="510"/>
      <c r="AC383" s="510"/>
      <c r="AD383" s="510"/>
    </row>
    <row r="384" ht="28.5" customHeight="1">
      <c r="A384" s="288"/>
      <c r="B384" s="510"/>
      <c r="C384" s="510"/>
      <c r="D384" s="288"/>
      <c r="E384" s="511"/>
      <c r="F384" s="510"/>
      <c r="G384" s="510"/>
      <c r="H384" s="510"/>
      <c r="I384" s="510"/>
      <c r="J384" s="510"/>
      <c r="K384" s="510"/>
      <c r="L384" s="510"/>
      <c r="M384" s="510"/>
      <c r="N384" s="510"/>
      <c r="O384" s="510"/>
      <c r="P384" s="510"/>
      <c r="Q384" s="510"/>
      <c r="R384" s="510"/>
      <c r="S384" s="510"/>
      <c r="T384" s="510"/>
      <c r="U384" s="510"/>
      <c r="V384" s="510"/>
      <c r="W384" s="510"/>
      <c r="X384" s="510"/>
      <c r="Y384" s="510"/>
      <c r="Z384" s="510"/>
      <c r="AA384" s="510"/>
      <c r="AB384" s="510"/>
      <c r="AC384" s="510"/>
      <c r="AD384" s="510"/>
    </row>
    <row r="385" ht="28.5" customHeight="1">
      <c r="A385" s="288"/>
      <c r="B385" s="510"/>
      <c r="C385" s="510"/>
      <c r="D385" s="288"/>
      <c r="E385" s="511"/>
      <c r="F385" s="510"/>
      <c r="G385" s="510"/>
      <c r="H385" s="510"/>
      <c r="I385" s="510"/>
      <c r="J385" s="510"/>
      <c r="K385" s="510"/>
      <c r="L385" s="510"/>
      <c r="M385" s="510"/>
      <c r="N385" s="510"/>
      <c r="O385" s="510"/>
      <c r="P385" s="510"/>
      <c r="Q385" s="510"/>
      <c r="R385" s="510"/>
      <c r="S385" s="510"/>
      <c r="T385" s="510"/>
      <c r="U385" s="510"/>
      <c r="V385" s="510"/>
      <c r="W385" s="510"/>
      <c r="X385" s="510"/>
      <c r="Y385" s="510"/>
      <c r="Z385" s="510"/>
      <c r="AA385" s="510"/>
      <c r="AB385" s="510"/>
      <c r="AC385" s="510"/>
      <c r="AD385" s="510"/>
    </row>
    <row r="386" ht="28.5" customHeight="1">
      <c r="A386" s="288"/>
      <c r="B386" s="510"/>
      <c r="C386" s="510"/>
      <c r="D386" s="288"/>
      <c r="E386" s="511"/>
      <c r="F386" s="510"/>
      <c r="G386" s="510"/>
      <c r="H386" s="510"/>
      <c r="I386" s="510"/>
      <c r="J386" s="510"/>
      <c r="K386" s="510"/>
      <c r="L386" s="510"/>
      <c r="M386" s="510"/>
      <c r="N386" s="510"/>
      <c r="O386" s="510"/>
      <c r="P386" s="510"/>
      <c r="Q386" s="510"/>
      <c r="R386" s="510"/>
      <c r="S386" s="510"/>
      <c r="T386" s="510"/>
      <c r="U386" s="510"/>
      <c r="V386" s="510"/>
      <c r="W386" s="510"/>
      <c r="X386" s="510"/>
      <c r="Y386" s="510"/>
      <c r="Z386" s="510"/>
      <c r="AA386" s="510"/>
      <c r="AB386" s="510"/>
      <c r="AC386" s="510"/>
      <c r="AD386" s="510"/>
    </row>
    <row r="387" ht="28.5" customHeight="1">
      <c r="A387" s="288"/>
      <c r="B387" s="510"/>
      <c r="C387" s="510"/>
      <c r="D387" s="288"/>
      <c r="E387" s="511"/>
      <c r="F387" s="510"/>
      <c r="G387" s="510"/>
      <c r="H387" s="510"/>
      <c r="I387" s="510"/>
      <c r="J387" s="510"/>
      <c r="K387" s="510"/>
      <c r="L387" s="510"/>
      <c r="M387" s="510"/>
      <c r="N387" s="510"/>
      <c r="O387" s="510"/>
      <c r="P387" s="510"/>
      <c r="Q387" s="510"/>
      <c r="R387" s="510"/>
      <c r="S387" s="510"/>
      <c r="T387" s="510"/>
      <c r="U387" s="510"/>
      <c r="V387" s="510"/>
      <c r="W387" s="510"/>
      <c r="X387" s="510"/>
      <c r="Y387" s="510"/>
      <c r="Z387" s="510"/>
      <c r="AA387" s="510"/>
      <c r="AB387" s="510"/>
      <c r="AC387" s="510"/>
      <c r="AD387" s="510"/>
    </row>
    <row r="388" ht="28.5" customHeight="1">
      <c r="A388" s="288"/>
      <c r="B388" s="510"/>
      <c r="C388" s="510"/>
      <c r="D388" s="288"/>
      <c r="E388" s="511"/>
      <c r="F388" s="510"/>
      <c r="G388" s="510"/>
      <c r="H388" s="510"/>
      <c r="I388" s="510"/>
      <c r="J388" s="510"/>
      <c r="K388" s="510"/>
      <c r="L388" s="510"/>
      <c r="M388" s="510"/>
      <c r="N388" s="510"/>
      <c r="O388" s="510"/>
      <c r="P388" s="510"/>
      <c r="Q388" s="510"/>
      <c r="R388" s="510"/>
      <c r="S388" s="510"/>
      <c r="T388" s="510"/>
      <c r="U388" s="510"/>
      <c r="V388" s="510"/>
      <c r="W388" s="510"/>
      <c r="X388" s="510"/>
      <c r="Y388" s="510"/>
      <c r="Z388" s="510"/>
      <c r="AA388" s="510"/>
      <c r="AB388" s="510"/>
      <c r="AC388" s="510"/>
      <c r="AD388" s="510"/>
    </row>
    <row r="389" ht="28.5" customHeight="1">
      <c r="A389" s="288"/>
      <c r="B389" s="510"/>
      <c r="C389" s="510"/>
      <c r="D389" s="288"/>
      <c r="E389" s="511"/>
      <c r="F389" s="510"/>
      <c r="G389" s="510"/>
      <c r="H389" s="510"/>
      <c r="I389" s="510"/>
      <c r="J389" s="510"/>
      <c r="K389" s="510"/>
      <c r="L389" s="510"/>
      <c r="M389" s="510"/>
      <c r="N389" s="510"/>
      <c r="O389" s="510"/>
      <c r="P389" s="510"/>
      <c r="Q389" s="510"/>
      <c r="R389" s="510"/>
      <c r="S389" s="510"/>
      <c r="T389" s="510"/>
      <c r="U389" s="510"/>
      <c r="V389" s="510"/>
      <c r="W389" s="510"/>
      <c r="X389" s="510"/>
      <c r="Y389" s="510"/>
      <c r="Z389" s="510"/>
      <c r="AA389" s="510"/>
      <c r="AB389" s="510"/>
      <c r="AC389" s="510"/>
      <c r="AD389" s="510"/>
    </row>
    <row r="390" ht="28.5" customHeight="1">
      <c r="A390" s="288"/>
      <c r="B390" s="510"/>
      <c r="C390" s="510"/>
      <c r="D390" s="288"/>
      <c r="E390" s="511"/>
      <c r="F390" s="510"/>
      <c r="G390" s="510"/>
      <c r="H390" s="510"/>
      <c r="I390" s="510"/>
      <c r="J390" s="510"/>
      <c r="K390" s="510"/>
      <c r="L390" s="510"/>
      <c r="M390" s="510"/>
      <c r="N390" s="510"/>
      <c r="O390" s="510"/>
      <c r="P390" s="510"/>
      <c r="Q390" s="510"/>
      <c r="R390" s="510"/>
      <c r="S390" s="510"/>
      <c r="T390" s="510"/>
      <c r="U390" s="510"/>
      <c r="V390" s="510"/>
      <c r="W390" s="510"/>
      <c r="X390" s="510"/>
      <c r="Y390" s="510"/>
      <c r="Z390" s="510"/>
      <c r="AA390" s="510"/>
      <c r="AB390" s="510"/>
      <c r="AC390" s="510"/>
      <c r="AD390" s="510"/>
    </row>
    <row r="391" ht="28.5" customHeight="1">
      <c r="A391" s="288"/>
      <c r="B391" s="510"/>
      <c r="C391" s="510"/>
      <c r="D391" s="288"/>
      <c r="E391" s="511"/>
      <c r="F391" s="510"/>
      <c r="G391" s="510"/>
      <c r="H391" s="510"/>
      <c r="I391" s="510"/>
      <c r="J391" s="510"/>
      <c r="K391" s="510"/>
      <c r="L391" s="510"/>
      <c r="M391" s="510"/>
      <c r="N391" s="510"/>
      <c r="O391" s="510"/>
      <c r="P391" s="510"/>
      <c r="Q391" s="510"/>
      <c r="R391" s="510"/>
      <c r="S391" s="510"/>
      <c r="T391" s="510"/>
      <c r="U391" s="510"/>
      <c r="V391" s="510"/>
      <c r="W391" s="510"/>
      <c r="X391" s="510"/>
      <c r="Y391" s="510"/>
      <c r="Z391" s="510"/>
      <c r="AA391" s="510"/>
      <c r="AB391" s="510"/>
      <c r="AC391" s="510"/>
      <c r="AD391" s="510"/>
    </row>
    <row r="392" ht="28.5" customHeight="1">
      <c r="A392" s="288"/>
      <c r="B392" s="510"/>
      <c r="C392" s="510"/>
      <c r="D392" s="288"/>
      <c r="E392" s="511"/>
      <c r="F392" s="510"/>
      <c r="G392" s="510"/>
      <c r="H392" s="510"/>
      <c r="I392" s="510"/>
      <c r="J392" s="510"/>
      <c r="K392" s="510"/>
      <c r="L392" s="510"/>
      <c r="M392" s="510"/>
      <c r="N392" s="510"/>
      <c r="O392" s="510"/>
      <c r="P392" s="510"/>
      <c r="Q392" s="510"/>
      <c r="R392" s="510"/>
      <c r="S392" s="510"/>
      <c r="T392" s="510"/>
      <c r="U392" s="510"/>
      <c r="V392" s="510"/>
      <c r="W392" s="510"/>
      <c r="X392" s="510"/>
      <c r="Y392" s="510"/>
      <c r="Z392" s="510"/>
      <c r="AA392" s="510"/>
      <c r="AB392" s="510"/>
      <c r="AC392" s="510"/>
      <c r="AD392" s="510"/>
    </row>
    <row r="393" ht="28.5" customHeight="1">
      <c r="A393" s="288"/>
      <c r="B393" s="510"/>
      <c r="C393" s="510"/>
      <c r="D393" s="288"/>
      <c r="E393" s="511"/>
      <c r="F393" s="510"/>
      <c r="G393" s="510"/>
      <c r="H393" s="510"/>
      <c r="I393" s="510"/>
      <c r="J393" s="510"/>
      <c r="K393" s="510"/>
      <c r="L393" s="510"/>
      <c r="M393" s="510"/>
      <c r="N393" s="510"/>
      <c r="O393" s="510"/>
      <c r="P393" s="510"/>
      <c r="Q393" s="510"/>
      <c r="R393" s="510"/>
      <c r="S393" s="510"/>
      <c r="T393" s="510"/>
      <c r="U393" s="510"/>
      <c r="V393" s="510"/>
      <c r="W393" s="510"/>
      <c r="X393" s="510"/>
      <c r="Y393" s="510"/>
      <c r="Z393" s="510"/>
      <c r="AA393" s="510"/>
      <c r="AB393" s="510"/>
      <c r="AC393" s="510"/>
      <c r="AD393" s="510"/>
    </row>
    <row r="394" ht="28.5" customHeight="1">
      <c r="A394" s="288"/>
      <c r="B394" s="510"/>
      <c r="C394" s="510"/>
      <c r="D394" s="288"/>
      <c r="E394" s="511"/>
      <c r="F394" s="510"/>
      <c r="G394" s="510"/>
      <c r="H394" s="510"/>
      <c r="I394" s="510"/>
      <c r="J394" s="510"/>
      <c r="K394" s="510"/>
      <c r="L394" s="510"/>
      <c r="M394" s="510"/>
      <c r="N394" s="510"/>
      <c r="O394" s="510"/>
      <c r="P394" s="510"/>
      <c r="Q394" s="510"/>
      <c r="R394" s="510"/>
      <c r="S394" s="510"/>
      <c r="T394" s="510"/>
      <c r="U394" s="510"/>
      <c r="V394" s="510"/>
      <c r="W394" s="510"/>
      <c r="X394" s="510"/>
      <c r="Y394" s="510"/>
      <c r="Z394" s="510"/>
      <c r="AA394" s="510"/>
      <c r="AB394" s="510"/>
      <c r="AC394" s="510"/>
      <c r="AD394" s="510"/>
    </row>
    <row r="395" ht="28.5" customHeight="1">
      <c r="A395" s="288"/>
      <c r="B395" s="510"/>
      <c r="C395" s="510"/>
      <c r="D395" s="288"/>
      <c r="E395" s="511"/>
      <c r="F395" s="510"/>
      <c r="G395" s="510"/>
      <c r="H395" s="510"/>
      <c r="I395" s="510"/>
      <c r="J395" s="510"/>
      <c r="K395" s="510"/>
      <c r="L395" s="510"/>
      <c r="M395" s="510"/>
      <c r="N395" s="510"/>
      <c r="O395" s="510"/>
      <c r="P395" s="510"/>
      <c r="Q395" s="510"/>
      <c r="R395" s="510"/>
      <c r="S395" s="510"/>
      <c r="T395" s="510"/>
      <c r="U395" s="510"/>
      <c r="V395" s="510"/>
      <c r="W395" s="510"/>
      <c r="X395" s="510"/>
      <c r="Y395" s="510"/>
      <c r="Z395" s="510"/>
      <c r="AA395" s="510"/>
      <c r="AB395" s="510"/>
      <c r="AC395" s="510"/>
      <c r="AD395" s="510"/>
    </row>
    <row r="396" ht="28.5" customHeight="1">
      <c r="A396" s="288"/>
      <c r="B396" s="510"/>
      <c r="C396" s="510"/>
      <c r="D396" s="288"/>
      <c r="E396" s="511"/>
      <c r="F396" s="510"/>
      <c r="G396" s="510"/>
      <c r="H396" s="510"/>
      <c r="I396" s="510"/>
      <c r="J396" s="510"/>
      <c r="K396" s="510"/>
      <c r="L396" s="510"/>
      <c r="M396" s="510"/>
      <c r="N396" s="510"/>
      <c r="O396" s="510"/>
      <c r="P396" s="510"/>
      <c r="Q396" s="510"/>
      <c r="R396" s="510"/>
      <c r="S396" s="510"/>
      <c r="T396" s="510"/>
      <c r="U396" s="510"/>
      <c r="V396" s="510"/>
      <c r="W396" s="510"/>
      <c r="X396" s="510"/>
      <c r="Y396" s="510"/>
      <c r="Z396" s="510"/>
      <c r="AA396" s="510"/>
      <c r="AB396" s="510"/>
      <c r="AC396" s="510"/>
      <c r="AD396" s="510"/>
    </row>
    <row r="397" ht="28.5" customHeight="1">
      <c r="A397" s="288"/>
      <c r="B397" s="510"/>
      <c r="C397" s="510"/>
      <c r="D397" s="288"/>
      <c r="E397" s="511"/>
      <c r="F397" s="510"/>
      <c r="G397" s="510"/>
      <c r="H397" s="510"/>
      <c r="I397" s="510"/>
      <c r="J397" s="510"/>
      <c r="K397" s="510"/>
      <c r="L397" s="510"/>
      <c r="M397" s="510"/>
      <c r="N397" s="510"/>
      <c r="O397" s="510"/>
      <c r="P397" s="510"/>
      <c r="Q397" s="510"/>
      <c r="R397" s="510"/>
      <c r="S397" s="510"/>
      <c r="T397" s="510"/>
      <c r="U397" s="510"/>
      <c r="V397" s="510"/>
      <c r="W397" s="510"/>
      <c r="X397" s="510"/>
      <c r="Y397" s="510"/>
      <c r="Z397" s="510"/>
      <c r="AA397" s="510"/>
      <c r="AB397" s="510"/>
      <c r="AC397" s="510"/>
      <c r="AD397" s="510"/>
    </row>
    <row r="398" ht="28.5" customHeight="1">
      <c r="A398" s="288"/>
      <c r="B398" s="510"/>
      <c r="C398" s="510"/>
      <c r="D398" s="288"/>
      <c r="E398" s="511"/>
      <c r="F398" s="510"/>
      <c r="G398" s="510"/>
      <c r="H398" s="510"/>
      <c r="I398" s="510"/>
      <c r="J398" s="510"/>
      <c r="K398" s="510"/>
      <c r="L398" s="510"/>
      <c r="M398" s="510"/>
      <c r="N398" s="510"/>
      <c r="O398" s="510"/>
      <c r="P398" s="510"/>
      <c r="Q398" s="510"/>
      <c r="R398" s="510"/>
      <c r="S398" s="510"/>
      <c r="T398" s="510"/>
      <c r="U398" s="510"/>
      <c r="V398" s="510"/>
      <c r="W398" s="510"/>
      <c r="X398" s="510"/>
      <c r="Y398" s="510"/>
      <c r="Z398" s="510"/>
      <c r="AA398" s="510"/>
      <c r="AB398" s="510"/>
      <c r="AC398" s="510"/>
      <c r="AD398" s="510"/>
    </row>
    <row r="399" ht="28.5" customHeight="1">
      <c r="A399" s="288"/>
      <c r="B399" s="510"/>
      <c r="C399" s="510"/>
      <c r="D399" s="288"/>
      <c r="E399" s="511"/>
      <c r="F399" s="510"/>
      <c r="G399" s="510"/>
      <c r="H399" s="510"/>
      <c r="I399" s="510"/>
      <c r="J399" s="510"/>
      <c r="K399" s="510"/>
      <c r="L399" s="510"/>
      <c r="M399" s="510"/>
      <c r="N399" s="510"/>
      <c r="O399" s="510"/>
      <c r="P399" s="510"/>
      <c r="Q399" s="510"/>
      <c r="R399" s="510"/>
      <c r="S399" s="510"/>
      <c r="T399" s="510"/>
      <c r="U399" s="510"/>
      <c r="V399" s="510"/>
      <c r="W399" s="510"/>
      <c r="X399" s="510"/>
      <c r="Y399" s="510"/>
      <c r="Z399" s="510"/>
      <c r="AA399" s="510"/>
      <c r="AB399" s="510"/>
      <c r="AC399" s="510"/>
      <c r="AD399" s="510"/>
    </row>
    <row r="400" ht="28.5" customHeight="1">
      <c r="A400" s="288"/>
      <c r="B400" s="510"/>
      <c r="C400" s="510"/>
      <c r="D400" s="288"/>
      <c r="E400" s="511"/>
      <c r="F400" s="510"/>
      <c r="G400" s="510"/>
      <c r="H400" s="510"/>
      <c r="I400" s="510"/>
      <c r="J400" s="510"/>
      <c r="K400" s="510"/>
      <c r="L400" s="510"/>
      <c r="M400" s="510"/>
      <c r="N400" s="510"/>
      <c r="O400" s="510"/>
      <c r="P400" s="510"/>
      <c r="Q400" s="510"/>
      <c r="R400" s="510"/>
      <c r="S400" s="510"/>
      <c r="T400" s="510"/>
      <c r="U400" s="510"/>
      <c r="V400" s="510"/>
      <c r="W400" s="510"/>
      <c r="X400" s="510"/>
      <c r="Y400" s="510"/>
      <c r="Z400" s="510"/>
      <c r="AA400" s="510"/>
      <c r="AB400" s="510"/>
      <c r="AC400" s="510"/>
      <c r="AD400" s="510"/>
    </row>
    <row r="401" ht="28.5" customHeight="1">
      <c r="A401" s="288"/>
      <c r="B401" s="510"/>
      <c r="C401" s="510"/>
      <c r="D401" s="288"/>
      <c r="E401" s="511"/>
      <c r="F401" s="510"/>
      <c r="G401" s="510"/>
      <c r="H401" s="510"/>
      <c r="I401" s="510"/>
      <c r="J401" s="510"/>
      <c r="K401" s="510"/>
      <c r="L401" s="510"/>
      <c r="M401" s="510"/>
      <c r="N401" s="510"/>
      <c r="O401" s="510"/>
      <c r="P401" s="510"/>
      <c r="Q401" s="510"/>
      <c r="R401" s="510"/>
      <c r="S401" s="510"/>
      <c r="T401" s="510"/>
      <c r="U401" s="510"/>
      <c r="V401" s="510"/>
      <c r="W401" s="510"/>
      <c r="X401" s="510"/>
      <c r="Y401" s="510"/>
      <c r="Z401" s="510"/>
      <c r="AA401" s="510"/>
      <c r="AB401" s="510"/>
      <c r="AC401" s="510"/>
      <c r="AD401" s="510"/>
    </row>
    <row r="402" ht="28.5" customHeight="1">
      <c r="A402" s="288"/>
      <c r="B402" s="510"/>
      <c r="C402" s="510"/>
      <c r="D402" s="288"/>
      <c r="E402" s="511"/>
      <c r="F402" s="510"/>
      <c r="G402" s="510"/>
      <c r="H402" s="510"/>
      <c r="I402" s="510"/>
      <c r="J402" s="510"/>
      <c r="K402" s="510"/>
      <c r="L402" s="510"/>
      <c r="M402" s="510"/>
      <c r="N402" s="510"/>
      <c r="O402" s="510"/>
      <c r="P402" s="510"/>
      <c r="Q402" s="510"/>
      <c r="R402" s="510"/>
      <c r="S402" s="510"/>
      <c r="T402" s="510"/>
      <c r="U402" s="510"/>
      <c r="V402" s="510"/>
      <c r="W402" s="510"/>
      <c r="X402" s="510"/>
      <c r="Y402" s="510"/>
      <c r="Z402" s="510"/>
      <c r="AA402" s="510"/>
      <c r="AB402" s="510"/>
      <c r="AC402" s="510"/>
      <c r="AD402" s="510"/>
    </row>
    <row r="403" ht="28.5" customHeight="1">
      <c r="A403" s="288"/>
      <c r="B403" s="510"/>
      <c r="C403" s="510"/>
      <c r="D403" s="288"/>
      <c r="E403" s="511"/>
      <c r="F403" s="510"/>
      <c r="G403" s="510"/>
      <c r="H403" s="510"/>
      <c r="I403" s="510"/>
      <c r="J403" s="510"/>
      <c r="K403" s="510"/>
      <c r="L403" s="510"/>
      <c r="M403" s="510"/>
      <c r="N403" s="510"/>
      <c r="O403" s="510"/>
      <c r="P403" s="510"/>
      <c r="Q403" s="510"/>
      <c r="R403" s="510"/>
      <c r="S403" s="510"/>
      <c r="T403" s="510"/>
      <c r="U403" s="510"/>
      <c r="V403" s="510"/>
      <c r="W403" s="510"/>
      <c r="X403" s="510"/>
      <c r="Y403" s="510"/>
      <c r="Z403" s="510"/>
      <c r="AA403" s="510"/>
      <c r="AB403" s="510"/>
      <c r="AC403" s="510"/>
      <c r="AD403" s="510"/>
    </row>
    <row r="404" ht="28.5" customHeight="1">
      <c r="A404" s="288"/>
      <c r="B404" s="510"/>
      <c r="C404" s="510"/>
      <c r="D404" s="288"/>
      <c r="E404" s="511"/>
      <c r="F404" s="510"/>
      <c r="G404" s="510"/>
      <c r="H404" s="510"/>
      <c r="I404" s="510"/>
      <c r="J404" s="510"/>
      <c r="K404" s="510"/>
      <c r="L404" s="510"/>
      <c r="M404" s="510"/>
      <c r="N404" s="510"/>
      <c r="O404" s="510"/>
      <c r="P404" s="510"/>
      <c r="Q404" s="510"/>
      <c r="R404" s="510"/>
      <c r="S404" s="510"/>
      <c r="T404" s="510"/>
      <c r="U404" s="510"/>
      <c r="V404" s="510"/>
      <c r="W404" s="510"/>
      <c r="X404" s="510"/>
      <c r="Y404" s="510"/>
      <c r="Z404" s="510"/>
      <c r="AA404" s="510"/>
      <c r="AB404" s="510"/>
      <c r="AC404" s="510"/>
      <c r="AD404" s="510"/>
    </row>
    <row r="405" ht="28.5" customHeight="1">
      <c r="A405" s="288"/>
      <c r="B405" s="510"/>
      <c r="C405" s="510"/>
      <c r="D405" s="288"/>
      <c r="E405" s="511"/>
      <c r="F405" s="510"/>
      <c r="G405" s="510"/>
      <c r="H405" s="510"/>
      <c r="I405" s="510"/>
      <c r="J405" s="510"/>
      <c r="K405" s="510"/>
      <c r="L405" s="510"/>
      <c r="M405" s="510"/>
      <c r="N405" s="510"/>
      <c r="O405" s="510"/>
      <c r="P405" s="510"/>
      <c r="Q405" s="510"/>
      <c r="R405" s="510"/>
      <c r="S405" s="510"/>
      <c r="T405" s="510"/>
      <c r="U405" s="510"/>
      <c r="V405" s="510"/>
      <c r="W405" s="510"/>
      <c r="X405" s="510"/>
      <c r="Y405" s="510"/>
      <c r="Z405" s="510"/>
      <c r="AA405" s="510"/>
      <c r="AB405" s="510"/>
      <c r="AC405" s="510"/>
      <c r="AD405" s="510"/>
    </row>
    <row r="406" ht="28.5" customHeight="1">
      <c r="A406" s="288"/>
      <c r="B406" s="510"/>
      <c r="C406" s="510"/>
      <c r="D406" s="288"/>
      <c r="E406" s="511"/>
      <c r="F406" s="510"/>
      <c r="G406" s="510"/>
      <c r="H406" s="510"/>
      <c r="I406" s="510"/>
      <c r="J406" s="510"/>
      <c r="K406" s="510"/>
      <c r="L406" s="510"/>
      <c r="M406" s="510"/>
      <c r="N406" s="510"/>
      <c r="O406" s="510"/>
      <c r="P406" s="510"/>
      <c r="Q406" s="510"/>
      <c r="R406" s="510"/>
      <c r="S406" s="510"/>
      <c r="T406" s="510"/>
      <c r="U406" s="510"/>
      <c r="V406" s="510"/>
      <c r="W406" s="510"/>
      <c r="X406" s="510"/>
      <c r="Y406" s="510"/>
      <c r="Z406" s="510"/>
      <c r="AA406" s="510"/>
      <c r="AB406" s="510"/>
      <c r="AC406" s="510"/>
      <c r="AD406" s="510"/>
    </row>
    <row r="407" ht="28.5" customHeight="1">
      <c r="A407" s="288"/>
      <c r="B407" s="510"/>
      <c r="C407" s="510"/>
      <c r="D407" s="288"/>
      <c r="E407" s="511"/>
      <c r="F407" s="510"/>
      <c r="G407" s="510"/>
      <c r="H407" s="510"/>
      <c r="I407" s="510"/>
      <c r="J407" s="510"/>
      <c r="K407" s="510"/>
      <c r="L407" s="510"/>
      <c r="M407" s="510"/>
      <c r="N407" s="510"/>
      <c r="O407" s="510"/>
      <c r="P407" s="510"/>
      <c r="Q407" s="510"/>
      <c r="R407" s="510"/>
      <c r="S407" s="510"/>
      <c r="T407" s="510"/>
      <c r="U407" s="510"/>
      <c r="V407" s="510"/>
      <c r="W407" s="510"/>
      <c r="X407" s="510"/>
      <c r="Y407" s="510"/>
      <c r="Z407" s="510"/>
      <c r="AA407" s="510"/>
      <c r="AB407" s="510"/>
      <c r="AC407" s="510"/>
      <c r="AD407" s="510"/>
    </row>
    <row r="408" ht="28.5" customHeight="1">
      <c r="A408" s="288"/>
      <c r="B408" s="510"/>
      <c r="C408" s="510"/>
      <c r="D408" s="288"/>
      <c r="E408" s="511"/>
      <c r="F408" s="510"/>
      <c r="G408" s="510"/>
      <c r="H408" s="510"/>
      <c r="I408" s="510"/>
      <c r="J408" s="510"/>
      <c r="K408" s="510"/>
      <c r="L408" s="510"/>
      <c r="M408" s="510"/>
      <c r="N408" s="510"/>
      <c r="O408" s="510"/>
      <c r="P408" s="510"/>
      <c r="Q408" s="510"/>
      <c r="R408" s="510"/>
      <c r="S408" s="510"/>
      <c r="T408" s="510"/>
      <c r="U408" s="510"/>
      <c r="V408" s="510"/>
      <c r="W408" s="510"/>
      <c r="X408" s="510"/>
      <c r="Y408" s="510"/>
      <c r="Z408" s="510"/>
      <c r="AA408" s="510"/>
      <c r="AB408" s="510"/>
      <c r="AC408" s="510"/>
      <c r="AD408" s="510"/>
    </row>
    <row r="409" ht="28.5" customHeight="1">
      <c r="A409" s="288"/>
      <c r="B409" s="510"/>
      <c r="C409" s="510"/>
      <c r="D409" s="288"/>
      <c r="E409" s="511"/>
      <c r="F409" s="510"/>
      <c r="G409" s="510"/>
      <c r="H409" s="510"/>
      <c r="I409" s="510"/>
      <c r="J409" s="510"/>
      <c r="K409" s="510"/>
      <c r="L409" s="510"/>
      <c r="M409" s="510"/>
      <c r="N409" s="510"/>
      <c r="O409" s="510"/>
      <c r="P409" s="510"/>
      <c r="Q409" s="510"/>
      <c r="R409" s="510"/>
      <c r="S409" s="510"/>
      <c r="T409" s="510"/>
      <c r="U409" s="510"/>
      <c r="V409" s="510"/>
      <c r="W409" s="510"/>
      <c r="X409" s="510"/>
      <c r="Y409" s="510"/>
      <c r="Z409" s="510"/>
      <c r="AA409" s="510"/>
      <c r="AB409" s="510"/>
      <c r="AC409" s="510"/>
      <c r="AD409" s="510"/>
    </row>
    <row r="410" ht="28.5" customHeight="1">
      <c r="A410" s="288"/>
      <c r="B410" s="510"/>
      <c r="C410" s="510"/>
      <c r="D410" s="288"/>
      <c r="E410" s="511"/>
      <c r="F410" s="510"/>
      <c r="G410" s="510"/>
      <c r="H410" s="510"/>
      <c r="I410" s="510"/>
      <c r="J410" s="510"/>
      <c r="K410" s="510"/>
      <c r="L410" s="510"/>
      <c r="M410" s="510"/>
      <c r="N410" s="510"/>
      <c r="O410" s="510"/>
      <c r="P410" s="510"/>
      <c r="Q410" s="510"/>
      <c r="R410" s="510"/>
      <c r="S410" s="510"/>
      <c r="T410" s="510"/>
      <c r="U410" s="510"/>
      <c r="V410" s="510"/>
      <c r="W410" s="510"/>
      <c r="X410" s="510"/>
      <c r="Y410" s="510"/>
      <c r="Z410" s="510"/>
      <c r="AA410" s="510"/>
      <c r="AB410" s="510"/>
      <c r="AC410" s="510"/>
      <c r="AD410" s="510"/>
    </row>
    <row r="411" ht="28.5" customHeight="1">
      <c r="A411" s="288"/>
      <c r="B411" s="510"/>
      <c r="C411" s="510"/>
      <c r="D411" s="288"/>
      <c r="E411" s="511"/>
      <c r="F411" s="510"/>
      <c r="G411" s="510"/>
      <c r="H411" s="510"/>
      <c r="I411" s="510"/>
      <c r="J411" s="510"/>
      <c r="K411" s="510"/>
      <c r="L411" s="510"/>
      <c r="M411" s="510"/>
      <c r="N411" s="510"/>
      <c r="O411" s="510"/>
      <c r="P411" s="510"/>
      <c r="Q411" s="510"/>
      <c r="R411" s="510"/>
      <c r="S411" s="510"/>
      <c r="T411" s="510"/>
      <c r="U411" s="510"/>
      <c r="V411" s="510"/>
      <c r="W411" s="510"/>
      <c r="X411" s="510"/>
      <c r="Y411" s="510"/>
      <c r="Z411" s="510"/>
      <c r="AA411" s="510"/>
      <c r="AB411" s="510"/>
      <c r="AC411" s="510"/>
      <c r="AD411" s="510"/>
    </row>
    <row r="412" ht="28.5" customHeight="1">
      <c r="A412" s="288"/>
      <c r="B412" s="510"/>
      <c r="C412" s="510"/>
      <c r="D412" s="288"/>
      <c r="E412" s="511"/>
      <c r="F412" s="510"/>
      <c r="G412" s="510"/>
      <c r="H412" s="510"/>
      <c r="I412" s="510"/>
      <c r="J412" s="510"/>
      <c r="K412" s="510"/>
      <c r="L412" s="510"/>
      <c r="M412" s="510"/>
      <c r="N412" s="510"/>
      <c r="O412" s="510"/>
      <c r="P412" s="510"/>
      <c r="Q412" s="510"/>
      <c r="R412" s="510"/>
      <c r="S412" s="510"/>
      <c r="T412" s="510"/>
      <c r="U412" s="510"/>
      <c r="V412" s="510"/>
      <c r="W412" s="510"/>
      <c r="X412" s="510"/>
      <c r="Y412" s="510"/>
      <c r="Z412" s="510"/>
      <c r="AA412" s="510"/>
      <c r="AB412" s="510"/>
      <c r="AC412" s="510"/>
      <c r="AD412" s="510"/>
    </row>
    <row r="413" ht="28.5" customHeight="1">
      <c r="A413" s="288"/>
      <c r="B413" s="510"/>
      <c r="C413" s="510"/>
      <c r="D413" s="288"/>
      <c r="E413" s="511"/>
      <c r="F413" s="510"/>
      <c r="G413" s="510"/>
      <c r="H413" s="510"/>
      <c r="I413" s="510"/>
      <c r="J413" s="510"/>
      <c r="K413" s="510"/>
      <c r="L413" s="510"/>
      <c r="M413" s="510"/>
      <c r="N413" s="510"/>
      <c r="O413" s="510"/>
      <c r="P413" s="510"/>
      <c r="Q413" s="510"/>
      <c r="R413" s="510"/>
      <c r="S413" s="510"/>
      <c r="T413" s="510"/>
      <c r="U413" s="510"/>
      <c r="V413" s="510"/>
      <c r="W413" s="510"/>
      <c r="X413" s="510"/>
      <c r="Y413" s="510"/>
      <c r="Z413" s="510"/>
      <c r="AA413" s="510"/>
      <c r="AB413" s="510"/>
      <c r="AC413" s="510"/>
      <c r="AD413" s="510"/>
    </row>
    <row r="414" ht="28.5" customHeight="1">
      <c r="A414" s="288"/>
      <c r="B414" s="510"/>
      <c r="C414" s="510"/>
      <c r="D414" s="288"/>
      <c r="E414" s="511"/>
      <c r="F414" s="510"/>
      <c r="G414" s="510"/>
      <c r="H414" s="510"/>
      <c r="I414" s="510"/>
      <c r="J414" s="510"/>
      <c r="K414" s="510"/>
      <c r="L414" s="510"/>
      <c r="M414" s="510"/>
      <c r="N414" s="510"/>
      <c r="O414" s="510"/>
      <c r="P414" s="510"/>
      <c r="Q414" s="510"/>
      <c r="R414" s="510"/>
      <c r="S414" s="510"/>
      <c r="T414" s="510"/>
      <c r="U414" s="510"/>
      <c r="V414" s="510"/>
      <c r="W414" s="510"/>
      <c r="X414" s="510"/>
      <c r="Y414" s="510"/>
      <c r="Z414" s="510"/>
      <c r="AA414" s="510"/>
      <c r="AB414" s="510"/>
      <c r="AC414" s="510"/>
      <c r="AD414" s="510"/>
    </row>
    <row r="415" ht="28.5" customHeight="1">
      <c r="A415" s="288"/>
      <c r="B415" s="510"/>
      <c r="C415" s="510"/>
      <c r="D415" s="288"/>
      <c r="E415" s="511"/>
      <c r="F415" s="510"/>
      <c r="G415" s="510"/>
      <c r="H415" s="510"/>
      <c r="I415" s="510"/>
      <c r="J415" s="510"/>
      <c r="K415" s="510"/>
      <c r="L415" s="510"/>
      <c r="M415" s="510"/>
      <c r="N415" s="510"/>
      <c r="O415" s="510"/>
      <c r="P415" s="510"/>
      <c r="Q415" s="510"/>
      <c r="R415" s="510"/>
      <c r="S415" s="510"/>
      <c r="T415" s="510"/>
      <c r="U415" s="510"/>
      <c r="V415" s="510"/>
      <c r="W415" s="510"/>
      <c r="X415" s="510"/>
      <c r="Y415" s="510"/>
      <c r="Z415" s="510"/>
      <c r="AA415" s="510"/>
      <c r="AB415" s="510"/>
      <c r="AC415" s="510"/>
      <c r="AD415" s="510"/>
    </row>
    <row r="416" ht="28.5" customHeight="1">
      <c r="A416" s="288"/>
      <c r="B416" s="510"/>
      <c r="C416" s="510"/>
      <c r="D416" s="288"/>
      <c r="E416" s="511"/>
      <c r="F416" s="510"/>
      <c r="G416" s="510"/>
      <c r="H416" s="510"/>
      <c r="I416" s="510"/>
      <c r="J416" s="510"/>
      <c r="K416" s="510"/>
      <c r="L416" s="510"/>
      <c r="M416" s="510"/>
      <c r="N416" s="510"/>
      <c r="O416" s="510"/>
      <c r="P416" s="510"/>
      <c r="Q416" s="510"/>
      <c r="R416" s="510"/>
      <c r="S416" s="510"/>
      <c r="T416" s="510"/>
      <c r="U416" s="510"/>
      <c r="V416" s="510"/>
      <c r="W416" s="510"/>
      <c r="X416" s="510"/>
      <c r="Y416" s="510"/>
      <c r="Z416" s="510"/>
      <c r="AA416" s="510"/>
      <c r="AB416" s="510"/>
      <c r="AC416" s="510"/>
      <c r="AD416" s="510"/>
    </row>
    <row r="417" ht="28.5" customHeight="1">
      <c r="A417" s="288"/>
      <c r="B417" s="510"/>
      <c r="C417" s="510"/>
      <c r="D417" s="288"/>
      <c r="E417" s="511"/>
      <c r="F417" s="510"/>
      <c r="G417" s="510"/>
      <c r="H417" s="510"/>
      <c r="I417" s="510"/>
      <c r="J417" s="510"/>
      <c r="K417" s="510"/>
      <c r="L417" s="510"/>
      <c r="M417" s="510"/>
      <c r="N417" s="510"/>
      <c r="O417" s="510"/>
      <c r="P417" s="510"/>
      <c r="Q417" s="510"/>
      <c r="R417" s="510"/>
      <c r="S417" s="510"/>
      <c r="T417" s="510"/>
      <c r="U417" s="510"/>
      <c r="V417" s="510"/>
      <c r="W417" s="510"/>
      <c r="X417" s="510"/>
      <c r="Y417" s="510"/>
      <c r="Z417" s="510"/>
      <c r="AA417" s="510"/>
      <c r="AB417" s="510"/>
      <c r="AC417" s="510"/>
      <c r="AD417" s="510"/>
    </row>
    <row r="418" ht="28.5" customHeight="1">
      <c r="A418" s="288"/>
      <c r="B418" s="510"/>
      <c r="C418" s="510"/>
      <c r="D418" s="288"/>
      <c r="E418" s="511"/>
      <c r="F418" s="510"/>
      <c r="G418" s="510"/>
      <c r="H418" s="510"/>
      <c r="I418" s="510"/>
      <c r="J418" s="510"/>
      <c r="K418" s="510"/>
      <c r="L418" s="510"/>
      <c r="M418" s="510"/>
      <c r="N418" s="510"/>
      <c r="O418" s="510"/>
      <c r="P418" s="510"/>
      <c r="Q418" s="510"/>
      <c r="R418" s="510"/>
      <c r="S418" s="510"/>
      <c r="T418" s="510"/>
      <c r="U418" s="510"/>
      <c r="V418" s="510"/>
      <c r="W418" s="510"/>
      <c r="X418" s="510"/>
      <c r="Y418" s="510"/>
      <c r="Z418" s="510"/>
      <c r="AA418" s="510"/>
      <c r="AB418" s="510"/>
      <c r="AC418" s="510"/>
      <c r="AD418" s="510"/>
    </row>
    <row r="419" ht="28.5" customHeight="1">
      <c r="A419" s="288"/>
      <c r="B419" s="510"/>
      <c r="C419" s="510"/>
      <c r="D419" s="288"/>
      <c r="E419" s="511"/>
      <c r="F419" s="510"/>
      <c r="G419" s="510"/>
      <c r="H419" s="510"/>
      <c r="I419" s="510"/>
      <c r="J419" s="510"/>
      <c r="K419" s="510"/>
      <c r="L419" s="510"/>
      <c r="M419" s="510"/>
      <c r="N419" s="510"/>
      <c r="O419" s="510"/>
      <c r="P419" s="510"/>
      <c r="Q419" s="510"/>
      <c r="R419" s="510"/>
      <c r="S419" s="510"/>
      <c r="T419" s="510"/>
      <c r="U419" s="510"/>
      <c r="V419" s="510"/>
      <c r="W419" s="510"/>
      <c r="X419" s="510"/>
      <c r="Y419" s="510"/>
      <c r="Z419" s="510"/>
      <c r="AA419" s="510"/>
      <c r="AB419" s="510"/>
      <c r="AC419" s="510"/>
      <c r="AD419" s="510"/>
    </row>
    <row r="420" ht="28.5" customHeight="1">
      <c r="A420" s="288"/>
      <c r="B420" s="510"/>
      <c r="C420" s="510"/>
      <c r="D420" s="288"/>
      <c r="E420" s="511"/>
      <c r="F420" s="510"/>
      <c r="G420" s="510"/>
      <c r="H420" s="510"/>
      <c r="I420" s="510"/>
      <c r="J420" s="510"/>
      <c r="K420" s="510"/>
      <c r="L420" s="510"/>
      <c r="M420" s="510"/>
      <c r="N420" s="510"/>
      <c r="O420" s="510"/>
      <c r="P420" s="510"/>
      <c r="Q420" s="510"/>
      <c r="R420" s="510"/>
      <c r="S420" s="510"/>
      <c r="T420" s="510"/>
      <c r="U420" s="510"/>
      <c r="V420" s="510"/>
      <c r="W420" s="510"/>
      <c r="X420" s="510"/>
      <c r="Y420" s="510"/>
      <c r="Z420" s="510"/>
      <c r="AA420" s="510"/>
      <c r="AB420" s="510"/>
      <c r="AC420" s="510"/>
      <c r="AD420" s="510"/>
    </row>
    <row r="421" ht="28.5" customHeight="1">
      <c r="A421" s="288"/>
      <c r="B421" s="510"/>
      <c r="C421" s="510"/>
      <c r="D421" s="288"/>
      <c r="E421" s="511"/>
      <c r="F421" s="510"/>
      <c r="G421" s="510"/>
      <c r="H421" s="510"/>
      <c r="I421" s="510"/>
      <c r="J421" s="510"/>
      <c r="K421" s="510"/>
      <c r="L421" s="510"/>
      <c r="M421" s="510"/>
      <c r="N421" s="510"/>
      <c r="O421" s="510"/>
      <c r="P421" s="510"/>
      <c r="Q421" s="510"/>
      <c r="R421" s="510"/>
      <c r="S421" s="510"/>
      <c r="T421" s="510"/>
      <c r="U421" s="510"/>
      <c r="V421" s="510"/>
      <c r="W421" s="510"/>
      <c r="X421" s="510"/>
      <c r="Y421" s="510"/>
      <c r="Z421" s="510"/>
      <c r="AA421" s="510"/>
      <c r="AB421" s="510"/>
      <c r="AC421" s="510"/>
      <c r="AD421" s="510"/>
    </row>
    <row r="422" ht="28.5" customHeight="1">
      <c r="A422" s="288"/>
      <c r="B422" s="510"/>
      <c r="C422" s="510"/>
      <c r="D422" s="288"/>
      <c r="E422" s="511"/>
      <c r="F422" s="510"/>
      <c r="G422" s="510"/>
      <c r="H422" s="510"/>
      <c r="I422" s="510"/>
      <c r="J422" s="510"/>
      <c r="K422" s="510"/>
      <c r="L422" s="510"/>
      <c r="M422" s="510"/>
      <c r="N422" s="510"/>
      <c r="O422" s="510"/>
      <c r="P422" s="510"/>
      <c r="Q422" s="510"/>
      <c r="R422" s="510"/>
      <c r="S422" s="510"/>
      <c r="T422" s="510"/>
      <c r="U422" s="510"/>
      <c r="V422" s="510"/>
      <c r="W422" s="510"/>
      <c r="X422" s="510"/>
      <c r="Y422" s="510"/>
      <c r="Z422" s="510"/>
      <c r="AA422" s="510"/>
      <c r="AB422" s="510"/>
      <c r="AC422" s="510"/>
      <c r="AD422" s="510"/>
    </row>
    <row r="423" ht="28.5" customHeight="1">
      <c r="A423" s="288"/>
      <c r="B423" s="510"/>
      <c r="C423" s="510"/>
      <c r="D423" s="288"/>
      <c r="E423" s="511"/>
      <c r="F423" s="510"/>
      <c r="G423" s="510"/>
      <c r="H423" s="510"/>
      <c r="I423" s="510"/>
      <c r="J423" s="510"/>
      <c r="K423" s="510"/>
      <c r="L423" s="510"/>
      <c r="M423" s="510"/>
      <c r="N423" s="510"/>
      <c r="O423" s="510"/>
      <c r="P423" s="510"/>
      <c r="Q423" s="510"/>
      <c r="R423" s="510"/>
      <c r="S423" s="510"/>
      <c r="T423" s="510"/>
      <c r="U423" s="510"/>
      <c r="V423" s="510"/>
      <c r="W423" s="510"/>
      <c r="X423" s="510"/>
      <c r="Y423" s="510"/>
      <c r="Z423" s="510"/>
      <c r="AA423" s="510"/>
      <c r="AB423" s="510"/>
      <c r="AC423" s="510"/>
      <c r="AD423" s="510"/>
    </row>
    <row r="424" ht="28.5" customHeight="1">
      <c r="A424" s="288"/>
      <c r="B424" s="510"/>
      <c r="C424" s="510"/>
      <c r="D424" s="288"/>
      <c r="E424" s="511"/>
      <c r="F424" s="510"/>
      <c r="G424" s="510"/>
      <c r="H424" s="510"/>
      <c r="I424" s="510"/>
      <c r="J424" s="510"/>
      <c r="K424" s="510"/>
      <c r="L424" s="510"/>
      <c r="M424" s="510"/>
      <c r="N424" s="510"/>
      <c r="O424" s="510"/>
      <c r="P424" s="510"/>
      <c r="Q424" s="510"/>
      <c r="R424" s="510"/>
      <c r="S424" s="510"/>
      <c r="T424" s="510"/>
      <c r="U424" s="510"/>
      <c r="V424" s="510"/>
      <c r="W424" s="510"/>
      <c r="X424" s="510"/>
      <c r="Y424" s="510"/>
      <c r="Z424" s="510"/>
      <c r="AA424" s="510"/>
      <c r="AB424" s="510"/>
      <c r="AC424" s="510"/>
      <c r="AD424" s="510"/>
    </row>
    <row r="425" ht="28.5" customHeight="1">
      <c r="A425" s="288"/>
      <c r="B425" s="510"/>
      <c r="C425" s="510"/>
      <c r="D425" s="288"/>
      <c r="E425" s="511"/>
      <c r="F425" s="510"/>
      <c r="G425" s="510"/>
      <c r="H425" s="510"/>
      <c r="I425" s="510"/>
      <c r="J425" s="510"/>
      <c r="K425" s="510"/>
      <c r="L425" s="510"/>
      <c r="M425" s="510"/>
      <c r="N425" s="510"/>
      <c r="O425" s="510"/>
      <c r="P425" s="510"/>
      <c r="Q425" s="510"/>
      <c r="R425" s="510"/>
      <c r="S425" s="510"/>
      <c r="T425" s="510"/>
      <c r="U425" s="510"/>
      <c r="V425" s="510"/>
      <c r="W425" s="510"/>
      <c r="X425" s="510"/>
      <c r="Y425" s="510"/>
      <c r="Z425" s="510"/>
      <c r="AA425" s="510"/>
      <c r="AB425" s="510"/>
      <c r="AC425" s="510"/>
      <c r="AD425" s="510"/>
    </row>
    <row r="426" ht="28.5" customHeight="1">
      <c r="A426" s="288"/>
      <c r="B426" s="510"/>
      <c r="C426" s="510"/>
      <c r="D426" s="288"/>
      <c r="E426" s="511"/>
      <c r="F426" s="510"/>
      <c r="G426" s="510"/>
      <c r="H426" s="510"/>
      <c r="I426" s="510"/>
      <c r="J426" s="510"/>
      <c r="K426" s="510"/>
      <c r="L426" s="510"/>
      <c r="M426" s="510"/>
      <c r="N426" s="510"/>
      <c r="O426" s="510"/>
      <c r="P426" s="510"/>
      <c r="Q426" s="510"/>
      <c r="R426" s="510"/>
      <c r="S426" s="510"/>
      <c r="T426" s="510"/>
      <c r="U426" s="510"/>
      <c r="V426" s="510"/>
      <c r="W426" s="510"/>
      <c r="X426" s="510"/>
      <c r="Y426" s="510"/>
      <c r="Z426" s="510"/>
      <c r="AA426" s="510"/>
      <c r="AB426" s="510"/>
      <c r="AC426" s="510"/>
      <c r="AD426" s="510"/>
    </row>
    <row r="427" ht="28.5" customHeight="1">
      <c r="A427" s="288"/>
      <c r="B427" s="510"/>
      <c r="C427" s="510"/>
      <c r="D427" s="288"/>
      <c r="E427" s="511"/>
      <c r="F427" s="510"/>
      <c r="G427" s="510"/>
      <c r="H427" s="510"/>
      <c r="I427" s="510"/>
      <c r="J427" s="510"/>
      <c r="K427" s="510"/>
      <c r="L427" s="510"/>
      <c r="M427" s="510"/>
      <c r="N427" s="510"/>
      <c r="O427" s="510"/>
      <c r="P427" s="510"/>
      <c r="Q427" s="510"/>
      <c r="R427" s="510"/>
      <c r="S427" s="510"/>
      <c r="T427" s="510"/>
      <c r="U427" s="510"/>
      <c r="V427" s="510"/>
      <c r="W427" s="510"/>
      <c r="X427" s="510"/>
      <c r="Y427" s="510"/>
      <c r="Z427" s="510"/>
      <c r="AA427" s="510"/>
      <c r="AB427" s="510"/>
      <c r="AC427" s="510"/>
      <c r="AD427" s="510"/>
    </row>
    <row r="428" ht="28.5" customHeight="1">
      <c r="A428" s="288"/>
      <c r="B428" s="510"/>
      <c r="C428" s="510"/>
      <c r="D428" s="288"/>
      <c r="E428" s="511"/>
      <c r="F428" s="510"/>
      <c r="G428" s="510"/>
      <c r="H428" s="510"/>
      <c r="I428" s="510"/>
      <c r="J428" s="510"/>
      <c r="K428" s="510"/>
      <c r="L428" s="510"/>
      <c r="M428" s="510"/>
      <c r="N428" s="510"/>
      <c r="O428" s="510"/>
      <c r="P428" s="510"/>
      <c r="Q428" s="510"/>
      <c r="R428" s="510"/>
      <c r="S428" s="510"/>
      <c r="T428" s="510"/>
      <c r="U428" s="510"/>
      <c r="V428" s="510"/>
      <c r="W428" s="510"/>
      <c r="X428" s="510"/>
      <c r="Y428" s="510"/>
      <c r="Z428" s="510"/>
      <c r="AA428" s="510"/>
      <c r="AB428" s="510"/>
      <c r="AC428" s="510"/>
      <c r="AD428" s="510"/>
    </row>
    <row r="429" ht="28.5" customHeight="1">
      <c r="A429" s="288"/>
      <c r="B429" s="510"/>
      <c r="C429" s="510"/>
      <c r="D429" s="288"/>
      <c r="E429" s="511"/>
      <c r="F429" s="510"/>
      <c r="G429" s="510"/>
      <c r="H429" s="510"/>
      <c r="I429" s="510"/>
      <c r="J429" s="510"/>
      <c r="K429" s="510"/>
      <c r="L429" s="510"/>
      <c r="M429" s="510"/>
      <c r="N429" s="510"/>
      <c r="O429" s="510"/>
      <c r="P429" s="510"/>
      <c r="Q429" s="510"/>
      <c r="R429" s="510"/>
      <c r="S429" s="510"/>
      <c r="T429" s="510"/>
      <c r="U429" s="510"/>
      <c r="V429" s="510"/>
      <c r="W429" s="510"/>
      <c r="X429" s="510"/>
      <c r="Y429" s="510"/>
      <c r="Z429" s="510"/>
      <c r="AA429" s="510"/>
      <c r="AB429" s="510"/>
      <c r="AC429" s="510"/>
      <c r="AD429" s="510"/>
    </row>
    <row r="430" ht="28.5" customHeight="1">
      <c r="A430" s="288"/>
      <c r="B430" s="510"/>
      <c r="C430" s="510"/>
      <c r="D430" s="288"/>
      <c r="E430" s="511"/>
      <c r="F430" s="510"/>
      <c r="G430" s="510"/>
      <c r="H430" s="510"/>
      <c r="I430" s="510"/>
      <c r="J430" s="510"/>
      <c r="K430" s="510"/>
      <c r="L430" s="510"/>
      <c r="M430" s="510"/>
      <c r="N430" s="510"/>
      <c r="O430" s="510"/>
      <c r="P430" s="510"/>
      <c r="Q430" s="510"/>
      <c r="R430" s="510"/>
      <c r="S430" s="510"/>
      <c r="T430" s="510"/>
      <c r="U430" s="510"/>
      <c r="V430" s="510"/>
      <c r="W430" s="510"/>
      <c r="X430" s="510"/>
      <c r="Y430" s="510"/>
      <c r="Z430" s="510"/>
      <c r="AA430" s="510"/>
      <c r="AB430" s="510"/>
      <c r="AC430" s="510"/>
      <c r="AD430" s="510"/>
    </row>
    <row r="431" ht="28.5" customHeight="1">
      <c r="A431" s="288"/>
      <c r="B431" s="510"/>
      <c r="C431" s="510"/>
      <c r="D431" s="288"/>
      <c r="E431" s="511"/>
      <c r="F431" s="510"/>
      <c r="G431" s="510"/>
      <c r="H431" s="510"/>
      <c r="I431" s="510"/>
      <c r="J431" s="510"/>
      <c r="K431" s="510"/>
      <c r="L431" s="510"/>
      <c r="M431" s="510"/>
      <c r="N431" s="510"/>
      <c r="O431" s="510"/>
      <c r="P431" s="510"/>
      <c r="Q431" s="510"/>
      <c r="R431" s="510"/>
      <c r="S431" s="510"/>
      <c r="T431" s="510"/>
      <c r="U431" s="510"/>
      <c r="V431" s="510"/>
      <c r="W431" s="510"/>
      <c r="X431" s="510"/>
      <c r="Y431" s="510"/>
      <c r="Z431" s="510"/>
      <c r="AA431" s="510"/>
      <c r="AB431" s="510"/>
      <c r="AC431" s="510"/>
      <c r="AD431" s="510"/>
    </row>
    <row r="432" ht="28.5" customHeight="1">
      <c r="A432" s="288"/>
      <c r="B432" s="510"/>
      <c r="C432" s="510"/>
      <c r="D432" s="288"/>
      <c r="E432" s="511"/>
      <c r="F432" s="510"/>
      <c r="G432" s="510"/>
      <c r="H432" s="510"/>
      <c r="I432" s="510"/>
      <c r="J432" s="510"/>
      <c r="K432" s="510"/>
      <c r="L432" s="510"/>
      <c r="M432" s="510"/>
      <c r="N432" s="510"/>
      <c r="O432" s="510"/>
      <c r="P432" s="510"/>
      <c r="Q432" s="510"/>
      <c r="R432" s="510"/>
      <c r="S432" s="510"/>
      <c r="T432" s="510"/>
      <c r="U432" s="510"/>
      <c r="V432" s="510"/>
      <c r="W432" s="510"/>
      <c r="X432" s="510"/>
      <c r="Y432" s="510"/>
      <c r="Z432" s="510"/>
      <c r="AA432" s="510"/>
      <c r="AB432" s="510"/>
      <c r="AC432" s="510"/>
      <c r="AD432" s="510"/>
    </row>
    <row r="433" ht="28.5" customHeight="1">
      <c r="A433" s="288"/>
      <c r="B433" s="510"/>
      <c r="C433" s="510"/>
      <c r="D433" s="288"/>
      <c r="E433" s="511"/>
      <c r="F433" s="510"/>
      <c r="G433" s="510"/>
      <c r="H433" s="510"/>
      <c r="I433" s="510"/>
      <c r="J433" s="510"/>
      <c r="K433" s="510"/>
      <c r="L433" s="510"/>
      <c r="M433" s="510"/>
      <c r="N433" s="510"/>
      <c r="O433" s="510"/>
      <c r="P433" s="510"/>
      <c r="Q433" s="510"/>
      <c r="R433" s="510"/>
      <c r="S433" s="510"/>
      <c r="T433" s="510"/>
      <c r="U433" s="510"/>
      <c r="V433" s="510"/>
      <c r="W433" s="510"/>
      <c r="X433" s="510"/>
      <c r="Y433" s="510"/>
      <c r="Z433" s="510"/>
      <c r="AA433" s="510"/>
      <c r="AB433" s="510"/>
      <c r="AC433" s="510"/>
      <c r="AD433" s="510"/>
    </row>
    <row r="434" ht="28.5" customHeight="1">
      <c r="A434" s="288"/>
      <c r="B434" s="510"/>
      <c r="C434" s="510"/>
      <c r="D434" s="288"/>
      <c r="E434" s="511"/>
      <c r="F434" s="510"/>
      <c r="G434" s="510"/>
      <c r="H434" s="510"/>
      <c r="I434" s="510"/>
      <c r="J434" s="510"/>
      <c r="K434" s="510"/>
      <c r="L434" s="510"/>
      <c r="M434" s="510"/>
      <c r="N434" s="510"/>
      <c r="O434" s="510"/>
      <c r="P434" s="510"/>
      <c r="Q434" s="510"/>
      <c r="R434" s="510"/>
      <c r="S434" s="510"/>
      <c r="T434" s="510"/>
      <c r="U434" s="510"/>
      <c r="V434" s="510"/>
      <c r="W434" s="510"/>
      <c r="X434" s="510"/>
      <c r="Y434" s="510"/>
      <c r="Z434" s="510"/>
      <c r="AA434" s="510"/>
      <c r="AB434" s="510"/>
      <c r="AC434" s="510"/>
      <c r="AD434" s="510"/>
    </row>
    <row r="435" ht="28.5" customHeight="1">
      <c r="A435" s="288"/>
      <c r="B435" s="510"/>
      <c r="C435" s="510"/>
      <c r="D435" s="288"/>
      <c r="E435" s="511"/>
      <c r="F435" s="510"/>
      <c r="G435" s="510"/>
      <c r="H435" s="510"/>
      <c r="I435" s="510"/>
      <c r="J435" s="510"/>
      <c r="K435" s="510"/>
      <c r="L435" s="510"/>
      <c r="M435" s="510"/>
      <c r="N435" s="510"/>
      <c r="O435" s="510"/>
      <c r="P435" s="510"/>
      <c r="Q435" s="510"/>
      <c r="R435" s="510"/>
      <c r="S435" s="510"/>
      <c r="T435" s="510"/>
      <c r="U435" s="510"/>
      <c r="V435" s="510"/>
      <c r="W435" s="510"/>
      <c r="X435" s="510"/>
      <c r="Y435" s="510"/>
      <c r="Z435" s="510"/>
      <c r="AA435" s="510"/>
      <c r="AB435" s="510"/>
      <c r="AC435" s="510"/>
      <c r="AD435" s="510"/>
    </row>
    <row r="436" ht="28.5" customHeight="1">
      <c r="A436" s="288"/>
      <c r="B436" s="510"/>
      <c r="C436" s="510"/>
      <c r="D436" s="288"/>
      <c r="E436" s="511"/>
      <c r="F436" s="510"/>
      <c r="G436" s="510"/>
      <c r="H436" s="510"/>
      <c r="I436" s="510"/>
      <c r="J436" s="510"/>
      <c r="K436" s="510"/>
      <c r="L436" s="510"/>
      <c r="M436" s="510"/>
      <c r="N436" s="510"/>
      <c r="O436" s="510"/>
      <c r="P436" s="510"/>
      <c r="Q436" s="510"/>
      <c r="R436" s="510"/>
      <c r="S436" s="510"/>
      <c r="T436" s="510"/>
      <c r="U436" s="510"/>
      <c r="V436" s="510"/>
      <c r="W436" s="510"/>
      <c r="X436" s="510"/>
      <c r="Y436" s="510"/>
      <c r="Z436" s="510"/>
      <c r="AA436" s="510"/>
      <c r="AB436" s="510"/>
      <c r="AC436" s="510"/>
      <c r="AD436" s="510"/>
    </row>
    <row r="437" ht="28.5" customHeight="1">
      <c r="A437" s="288"/>
      <c r="B437" s="510"/>
      <c r="C437" s="510"/>
      <c r="D437" s="288"/>
      <c r="E437" s="511"/>
      <c r="F437" s="510"/>
      <c r="G437" s="510"/>
      <c r="H437" s="510"/>
      <c r="I437" s="510"/>
      <c r="J437" s="510"/>
      <c r="K437" s="510"/>
      <c r="L437" s="510"/>
      <c r="M437" s="510"/>
      <c r="N437" s="510"/>
      <c r="O437" s="510"/>
      <c r="P437" s="510"/>
      <c r="Q437" s="510"/>
      <c r="R437" s="510"/>
      <c r="S437" s="510"/>
      <c r="T437" s="510"/>
      <c r="U437" s="510"/>
      <c r="V437" s="510"/>
      <c r="W437" s="510"/>
      <c r="X437" s="510"/>
      <c r="Y437" s="510"/>
      <c r="Z437" s="510"/>
      <c r="AA437" s="510"/>
      <c r="AB437" s="510"/>
      <c r="AC437" s="510"/>
      <c r="AD437" s="510"/>
    </row>
    <row r="438" ht="28.5" customHeight="1">
      <c r="A438" s="288"/>
      <c r="B438" s="510"/>
      <c r="C438" s="510"/>
      <c r="D438" s="288"/>
      <c r="E438" s="511"/>
      <c r="F438" s="510"/>
      <c r="G438" s="510"/>
      <c r="H438" s="510"/>
      <c r="I438" s="510"/>
      <c r="J438" s="510"/>
      <c r="K438" s="510"/>
      <c r="L438" s="510"/>
      <c r="M438" s="510"/>
      <c r="N438" s="510"/>
      <c r="O438" s="510"/>
      <c r="P438" s="510"/>
      <c r="Q438" s="510"/>
      <c r="R438" s="510"/>
      <c r="S438" s="510"/>
      <c r="T438" s="510"/>
      <c r="U438" s="510"/>
      <c r="V438" s="510"/>
      <c r="W438" s="510"/>
      <c r="X438" s="510"/>
      <c r="Y438" s="510"/>
      <c r="Z438" s="510"/>
      <c r="AA438" s="510"/>
      <c r="AB438" s="510"/>
      <c r="AC438" s="510"/>
      <c r="AD438" s="510"/>
    </row>
    <row r="439" ht="28.5" customHeight="1">
      <c r="A439" s="288"/>
      <c r="B439" s="510"/>
      <c r="C439" s="510"/>
      <c r="D439" s="288"/>
      <c r="E439" s="511"/>
      <c r="F439" s="510"/>
      <c r="G439" s="510"/>
      <c r="H439" s="510"/>
      <c r="I439" s="510"/>
      <c r="J439" s="510"/>
      <c r="K439" s="510"/>
      <c r="L439" s="510"/>
      <c r="M439" s="510"/>
      <c r="N439" s="510"/>
      <c r="O439" s="510"/>
      <c r="P439" s="510"/>
      <c r="Q439" s="510"/>
      <c r="R439" s="510"/>
      <c r="S439" s="510"/>
      <c r="T439" s="510"/>
      <c r="U439" s="510"/>
      <c r="V439" s="510"/>
      <c r="W439" s="510"/>
      <c r="X439" s="510"/>
      <c r="Y439" s="510"/>
      <c r="Z439" s="510"/>
      <c r="AA439" s="510"/>
      <c r="AB439" s="510"/>
      <c r="AC439" s="510"/>
      <c r="AD439" s="510"/>
    </row>
    <row r="440" ht="28.5" customHeight="1">
      <c r="A440" s="288"/>
      <c r="B440" s="510"/>
      <c r="C440" s="510"/>
      <c r="D440" s="288"/>
      <c r="E440" s="511"/>
      <c r="F440" s="510"/>
      <c r="G440" s="510"/>
      <c r="H440" s="510"/>
      <c r="I440" s="510"/>
      <c r="J440" s="510"/>
      <c r="K440" s="510"/>
      <c r="L440" s="510"/>
      <c r="M440" s="510"/>
      <c r="N440" s="510"/>
      <c r="O440" s="510"/>
      <c r="P440" s="510"/>
      <c r="Q440" s="510"/>
      <c r="R440" s="510"/>
      <c r="S440" s="510"/>
      <c r="T440" s="510"/>
      <c r="U440" s="510"/>
      <c r="V440" s="510"/>
      <c r="W440" s="510"/>
      <c r="X440" s="510"/>
      <c r="Y440" s="510"/>
      <c r="Z440" s="510"/>
      <c r="AA440" s="510"/>
      <c r="AB440" s="510"/>
      <c r="AC440" s="510"/>
      <c r="AD440" s="510"/>
    </row>
    <row r="441" ht="28.5" customHeight="1">
      <c r="A441" s="288"/>
      <c r="B441" s="510"/>
      <c r="C441" s="510"/>
      <c r="D441" s="288"/>
      <c r="E441" s="511"/>
      <c r="F441" s="510"/>
      <c r="G441" s="510"/>
      <c r="H441" s="510"/>
      <c r="I441" s="510"/>
      <c r="J441" s="510"/>
      <c r="K441" s="510"/>
      <c r="L441" s="510"/>
      <c r="M441" s="510"/>
      <c r="N441" s="510"/>
      <c r="O441" s="510"/>
      <c r="P441" s="510"/>
      <c r="Q441" s="510"/>
      <c r="R441" s="510"/>
      <c r="S441" s="510"/>
      <c r="T441" s="510"/>
      <c r="U441" s="510"/>
      <c r="V441" s="510"/>
      <c r="W441" s="510"/>
      <c r="X441" s="510"/>
      <c r="Y441" s="510"/>
      <c r="Z441" s="510"/>
      <c r="AA441" s="510"/>
      <c r="AB441" s="510"/>
      <c r="AC441" s="510"/>
      <c r="AD441" s="510"/>
    </row>
    <row r="442" ht="28.5" customHeight="1">
      <c r="A442" s="288"/>
      <c r="B442" s="510"/>
      <c r="C442" s="510"/>
      <c r="D442" s="288"/>
      <c r="E442" s="511"/>
      <c r="F442" s="510"/>
      <c r="G442" s="510"/>
      <c r="H442" s="510"/>
      <c r="I442" s="510"/>
      <c r="J442" s="510"/>
      <c r="K442" s="510"/>
      <c r="L442" s="510"/>
      <c r="M442" s="510"/>
      <c r="N442" s="510"/>
      <c r="O442" s="510"/>
      <c r="P442" s="510"/>
      <c r="Q442" s="510"/>
      <c r="R442" s="510"/>
      <c r="S442" s="510"/>
      <c r="T442" s="510"/>
      <c r="U442" s="510"/>
      <c r="V442" s="510"/>
      <c r="W442" s="510"/>
      <c r="X442" s="510"/>
      <c r="Y442" s="510"/>
      <c r="Z442" s="510"/>
      <c r="AA442" s="510"/>
      <c r="AB442" s="510"/>
      <c r="AC442" s="510"/>
      <c r="AD442" s="510"/>
    </row>
    <row r="443" ht="28.5" customHeight="1">
      <c r="A443" s="288"/>
      <c r="B443" s="510"/>
      <c r="C443" s="510"/>
      <c r="D443" s="288"/>
      <c r="E443" s="511"/>
      <c r="F443" s="510"/>
      <c r="G443" s="510"/>
      <c r="H443" s="510"/>
      <c r="I443" s="510"/>
      <c r="J443" s="510"/>
      <c r="K443" s="510"/>
      <c r="L443" s="510"/>
      <c r="M443" s="510"/>
      <c r="N443" s="510"/>
      <c r="O443" s="510"/>
      <c r="P443" s="510"/>
      <c r="Q443" s="510"/>
      <c r="R443" s="510"/>
      <c r="S443" s="510"/>
      <c r="T443" s="510"/>
      <c r="U443" s="510"/>
      <c r="V443" s="510"/>
      <c r="W443" s="510"/>
      <c r="X443" s="510"/>
      <c r="Y443" s="510"/>
      <c r="Z443" s="510"/>
      <c r="AA443" s="510"/>
      <c r="AB443" s="510"/>
      <c r="AC443" s="510"/>
      <c r="AD443" s="510"/>
    </row>
    <row r="444" ht="28.5" customHeight="1">
      <c r="A444" s="288"/>
      <c r="B444" s="510"/>
      <c r="C444" s="510"/>
      <c r="D444" s="288"/>
      <c r="E444" s="511"/>
      <c r="F444" s="510"/>
      <c r="G444" s="510"/>
      <c r="H444" s="510"/>
      <c r="I444" s="510"/>
      <c r="J444" s="510"/>
      <c r="K444" s="510"/>
      <c r="L444" s="510"/>
      <c r="M444" s="510"/>
      <c r="N444" s="510"/>
      <c r="O444" s="510"/>
      <c r="P444" s="510"/>
      <c r="Q444" s="510"/>
      <c r="R444" s="510"/>
      <c r="S444" s="510"/>
      <c r="T444" s="510"/>
      <c r="U444" s="510"/>
      <c r="V444" s="510"/>
      <c r="W444" s="510"/>
      <c r="X444" s="510"/>
      <c r="Y444" s="510"/>
      <c r="Z444" s="510"/>
      <c r="AA444" s="510"/>
      <c r="AB444" s="510"/>
      <c r="AC444" s="510"/>
      <c r="AD444" s="510"/>
    </row>
    <row r="445" ht="28.5" customHeight="1">
      <c r="A445" s="288"/>
      <c r="B445" s="510"/>
      <c r="C445" s="510"/>
      <c r="D445" s="288"/>
      <c r="E445" s="511"/>
      <c r="F445" s="510"/>
      <c r="G445" s="510"/>
      <c r="H445" s="510"/>
      <c r="I445" s="510"/>
      <c r="J445" s="510"/>
      <c r="K445" s="510"/>
      <c r="L445" s="510"/>
      <c r="M445" s="510"/>
      <c r="N445" s="510"/>
      <c r="O445" s="510"/>
      <c r="P445" s="510"/>
      <c r="Q445" s="510"/>
      <c r="R445" s="510"/>
      <c r="S445" s="510"/>
      <c r="T445" s="510"/>
      <c r="U445" s="510"/>
      <c r="V445" s="510"/>
      <c r="W445" s="510"/>
      <c r="X445" s="510"/>
      <c r="Y445" s="510"/>
      <c r="Z445" s="510"/>
      <c r="AA445" s="510"/>
      <c r="AB445" s="510"/>
      <c r="AC445" s="510"/>
      <c r="AD445" s="510"/>
    </row>
    <row r="446" ht="28.5" customHeight="1">
      <c r="A446" s="288"/>
      <c r="B446" s="510"/>
      <c r="C446" s="510"/>
      <c r="D446" s="288"/>
      <c r="E446" s="511"/>
      <c r="F446" s="510"/>
      <c r="G446" s="510"/>
      <c r="H446" s="510"/>
      <c r="I446" s="510"/>
      <c r="J446" s="510"/>
      <c r="K446" s="510"/>
      <c r="L446" s="510"/>
      <c r="M446" s="510"/>
      <c r="N446" s="510"/>
      <c r="O446" s="510"/>
      <c r="P446" s="510"/>
      <c r="Q446" s="510"/>
      <c r="R446" s="510"/>
      <c r="S446" s="510"/>
      <c r="T446" s="510"/>
      <c r="U446" s="510"/>
      <c r="V446" s="510"/>
      <c r="W446" s="510"/>
      <c r="X446" s="510"/>
      <c r="Y446" s="510"/>
      <c r="Z446" s="510"/>
      <c r="AA446" s="510"/>
      <c r="AB446" s="510"/>
      <c r="AC446" s="510"/>
      <c r="AD446" s="510"/>
    </row>
    <row r="447" ht="28.5" customHeight="1">
      <c r="A447" s="288"/>
      <c r="B447" s="510"/>
      <c r="C447" s="510"/>
      <c r="D447" s="288"/>
      <c r="E447" s="511"/>
      <c r="F447" s="510"/>
      <c r="G447" s="510"/>
      <c r="H447" s="510"/>
      <c r="I447" s="510"/>
      <c r="J447" s="510"/>
      <c r="K447" s="510"/>
      <c r="L447" s="510"/>
      <c r="M447" s="510"/>
      <c r="N447" s="510"/>
      <c r="O447" s="510"/>
      <c r="P447" s="510"/>
      <c r="Q447" s="510"/>
      <c r="R447" s="510"/>
      <c r="S447" s="510"/>
      <c r="T447" s="510"/>
      <c r="U447" s="510"/>
      <c r="V447" s="510"/>
      <c r="W447" s="510"/>
      <c r="X447" s="510"/>
      <c r="Y447" s="510"/>
      <c r="Z447" s="510"/>
      <c r="AA447" s="510"/>
      <c r="AB447" s="510"/>
      <c r="AC447" s="510"/>
      <c r="AD447" s="510"/>
    </row>
    <row r="448" ht="28.5" customHeight="1">
      <c r="A448" s="288"/>
      <c r="B448" s="510"/>
      <c r="C448" s="510"/>
      <c r="D448" s="288"/>
      <c r="E448" s="511"/>
      <c r="F448" s="510"/>
      <c r="G448" s="510"/>
      <c r="H448" s="510"/>
      <c r="I448" s="510"/>
      <c r="J448" s="510"/>
      <c r="K448" s="510"/>
      <c r="L448" s="510"/>
      <c r="M448" s="510"/>
      <c r="N448" s="510"/>
      <c r="O448" s="510"/>
      <c r="P448" s="510"/>
      <c r="Q448" s="510"/>
      <c r="R448" s="510"/>
      <c r="S448" s="510"/>
      <c r="T448" s="510"/>
      <c r="U448" s="510"/>
      <c r="V448" s="510"/>
      <c r="W448" s="510"/>
      <c r="X448" s="510"/>
      <c r="Y448" s="510"/>
      <c r="Z448" s="510"/>
      <c r="AA448" s="510"/>
      <c r="AB448" s="510"/>
      <c r="AC448" s="510"/>
      <c r="AD448" s="510"/>
    </row>
    <row r="449" ht="28.5" customHeight="1">
      <c r="A449" s="288"/>
      <c r="B449" s="510"/>
      <c r="C449" s="510"/>
      <c r="D449" s="288"/>
      <c r="E449" s="511"/>
      <c r="F449" s="510"/>
      <c r="G449" s="510"/>
      <c r="H449" s="510"/>
      <c r="I449" s="510"/>
      <c r="J449" s="510"/>
      <c r="K449" s="510"/>
      <c r="L449" s="510"/>
      <c r="M449" s="510"/>
      <c r="N449" s="510"/>
      <c r="O449" s="510"/>
      <c r="P449" s="510"/>
      <c r="Q449" s="510"/>
      <c r="R449" s="510"/>
      <c r="S449" s="510"/>
      <c r="T449" s="510"/>
      <c r="U449" s="510"/>
      <c r="V449" s="510"/>
      <c r="W449" s="510"/>
      <c r="X449" s="510"/>
      <c r="Y449" s="510"/>
      <c r="Z449" s="510"/>
      <c r="AA449" s="510"/>
      <c r="AB449" s="510"/>
      <c r="AC449" s="510"/>
      <c r="AD449" s="510"/>
    </row>
    <row r="450" ht="28.5" customHeight="1">
      <c r="A450" s="288"/>
      <c r="B450" s="510"/>
      <c r="C450" s="510"/>
      <c r="D450" s="288"/>
      <c r="E450" s="511"/>
      <c r="F450" s="510"/>
      <c r="G450" s="510"/>
      <c r="H450" s="510"/>
      <c r="I450" s="510"/>
      <c r="J450" s="510"/>
      <c r="K450" s="510"/>
      <c r="L450" s="510"/>
      <c r="M450" s="510"/>
      <c r="N450" s="510"/>
      <c r="O450" s="510"/>
      <c r="P450" s="510"/>
      <c r="Q450" s="510"/>
      <c r="R450" s="510"/>
      <c r="S450" s="510"/>
      <c r="T450" s="510"/>
      <c r="U450" s="510"/>
      <c r="V450" s="510"/>
      <c r="W450" s="510"/>
      <c r="X450" s="510"/>
      <c r="Y450" s="510"/>
      <c r="Z450" s="510"/>
      <c r="AA450" s="510"/>
      <c r="AB450" s="510"/>
      <c r="AC450" s="510"/>
      <c r="AD450" s="510"/>
    </row>
    <row r="451" ht="28.5" customHeight="1">
      <c r="A451" s="288"/>
      <c r="B451" s="510"/>
      <c r="C451" s="510"/>
      <c r="D451" s="288"/>
      <c r="E451" s="511"/>
      <c r="F451" s="510"/>
      <c r="G451" s="510"/>
      <c r="H451" s="510"/>
      <c r="I451" s="510"/>
      <c r="J451" s="510"/>
      <c r="K451" s="510"/>
      <c r="L451" s="510"/>
      <c r="M451" s="510"/>
      <c r="N451" s="510"/>
      <c r="O451" s="510"/>
      <c r="P451" s="510"/>
      <c r="Q451" s="510"/>
      <c r="R451" s="510"/>
      <c r="S451" s="510"/>
      <c r="T451" s="510"/>
      <c r="U451" s="510"/>
      <c r="V451" s="510"/>
      <c r="W451" s="510"/>
      <c r="X451" s="510"/>
      <c r="Y451" s="510"/>
      <c r="Z451" s="510"/>
      <c r="AA451" s="510"/>
      <c r="AB451" s="510"/>
      <c r="AC451" s="510"/>
      <c r="AD451" s="510"/>
    </row>
    <row r="452" ht="28.5" customHeight="1">
      <c r="A452" s="288"/>
      <c r="B452" s="510"/>
      <c r="C452" s="510"/>
      <c r="D452" s="288"/>
      <c r="E452" s="511"/>
      <c r="F452" s="510"/>
      <c r="G452" s="510"/>
      <c r="H452" s="510"/>
      <c r="I452" s="510"/>
      <c r="J452" s="510"/>
      <c r="K452" s="510"/>
      <c r="L452" s="510"/>
      <c r="M452" s="510"/>
      <c r="N452" s="510"/>
      <c r="O452" s="510"/>
      <c r="P452" s="510"/>
      <c r="Q452" s="510"/>
      <c r="R452" s="510"/>
      <c r="S452" s="510"/>
      <c r="T452" s="510"/>
      <c r="U452" s="510"/>
      <c r="V452" s="510"/>
      <c r="W452" s="510"/>
      <c r="X452" s="510"/>
      <c r="Y452" s="510"/>
      <c r="Z452" s="510"/>
      <c r="AA452" s="510"/>
      <c r="AB452" s="510"/>
      <c r="AC452" s="510"/>
      <c r="AD452" s="510"/>
    </row>
    <row r="453" ht="28.5" customHeight="1">
      <c r="A453" s="288"/>
      <c r="B453" s="510"/>
      <c r="C453" s="510"/>
      <c r="D453" s="288"/>
      <c r="E453" s="511"/>
      <c r="F453" s="510"/>
      <c r="G453" s="510"/>
      <c r="H453" s="510"/>
      <c r="I453" s="510"/>
      <c r="J453" s="510"/>
      <c r="K453" s="510"/>
      <c r="L453" s="510"/>
      <c r="M453" s="510"/>
      <c r="N453" s="510"/>
      <c r="O453" s="510"/>
      <c r="P453" s="510"/>
      <c r="Q453" s="510"/>
      <c r="R453" s="510"/>
      <c r="S453" s="510"/>
      <c r="T453" s="510"/>
      <c r="U453" s="510"/>
      <c r="V453" s="510"/>
      <c r="W453" s="510"/>
      <c r="X453" s="510"/>
      <c r="Y453" s="510"/>
      <c r="Z453" s="510"/>
      <c r="AA453" s="510"/>
      <c r="AB453" s="510"/>
      <c r="AC453" s="510"/>
      <c r="AD453" s="510"/>
    </row>
    <row r="454" ht="28.5" customHeight="1">
      <c r="A454" s="288"/>
      <c r="B454" s="510"/>
      <c r="C454" s="510"/>
      <c r="D454" s="288"/>
      <c r="E454" s="511"/>
      <c r="F454" s="510"/>
      <c r="G454" s="510"/>
      <c r="H454" s="510"/>
      <c r="I454" s="510"/>
      <c r="J454" s="510"/>
      <c r="K454" s="510"/>
      <c r="L454" s="510"/>
      <c r="M454" s="510"/>
      <c r="N454" s="510"/>
      <c r="O454" s="510"/>
      <c r="P454" s="510"/>
      <c r="Q454" s="510"/>
      <c r="R454" s="510"/>
      <c r="S454" s="510"/>
      <c r="T454" s="510"/>
      <c r="U454" s="510"/>
      <c r="V454" s="510"/>
      <c r="W454" s="510"/>
      <c r="X454" s="510"/>
      <c r="Y454" s="510"/>
      <c r="Z454" s="510"/>
      <c r="AA454" s="510"/>
      <c r="AB454" s="510"/>
      <c r="AC454" s="510"/>
      <c r="AD454" s="510"/>
    </row>
    <row r="455" ht="28.5" customHeight="1">
      <c r="A455" s="288"/>
      <c r="B455" s="510"/>
      <c r="C455" s="510"/>
      <c r="D455" s="288"/>
      <c r="E455" s="511"/>
      <c r="F455" s="510"/>
      <c r="G455" s="510"/>
      <c r="H455" s="510"/>
      <c r="I455" s="510"/>
      <c r="J455" s="510"/>
      <c r="K455" s="510"/>
      <c r="L455" s="510"/>
      <c r="M455" s="510"/>
      <c r="N455" s="510"/>
      <c r="O455" s="510"/>
      <c r="P455" s="510"/>
      <c r="Q455" s="510"/>
      <c r="R455" s="510"/>
      <c r="S455" s="510"/>
      <c r="T455" s="510"/>
      <c r="U455" s="510"/>
      <c r="V455" s="510"/>
      <c r="W455" s="510"/>
      <c r="X455" s="510"/>
      <c r="Y455" s="510"/>
      <c r="Z455" s="510"/>
      <c r="AA455" s="510"/>
      <c r="AB455" s="510"/>
      <c r="AC455" s="510"/>
      <c r="AD455" s="510"/>
    </row>
    <row r="456" ht="28.5" customHeight="1">
      <c r="A456" s="288"/>
      <c r="B456" s="510"/>
      <c r="C456" s="510"/>
      <c r="D456" s="288"/>
      <c r="E456" s="511"/>
      <c r="F456" s="510"/>
      <c r="G456" s="510"/>
      <c r="H456" s="510"/>
      <c r="I456" s="510"/>
      <c r="J456" s="510"/>
      <c r="K456" s="510"/>
      <c r="L456" s="510"/>
      <c r="M456" s="510"/>
      <c r="N456" s="510"/>
      <c r="O456" s="510"/>
      <c r="P456" s="510"/>
      <c r="Q456" s="510"/>
      <c r="R456" s="510"/>
      <c r="S456" s="510"/>
      <c r="T456" s="510"/>
      <c r="U456" s="510"/>
      <c r="V456" s="510"/>
      <c r="W456" s="510"/>
      <c r="X456" s="510"/>
      <c r="Y456" s="510"/>
      <c r="Z456" s="510"/>
      <c r="AA456" s="510"/>
      <c r="AB456" s="510"/>
      <c r="AC456" s="510"/>
      <c r="AD456" s="510"/>
    </row>
    <row r="457" ht="28.5" customHeight="1">
      <c r="A457" s="288"/>
      <c r="B457" s="510"/>
      <c r="C457" s="510"/>
      <c r="D457" s="288"/>
      <c r="E457" s="511"/>
      <c r="F457" s="510"/>
      <c r="G457" s="510"/>
      <c r="H457" s="510"/>
      <c r="I457" s="510"/>
      <c r="J457" s="510"/>
      <c r="K457" s="510"/>
      <c r="L457" s="510"/>
      <c r="M457" s="510"/>
      <c r="N457" s="510"/>
      <c r="O457" s="510"/>
      <c r="P457" s="510"/>
      <c r="Q457" s="510"/>
      <c r="R457" s="510"/>
      <c r="S457" s="510"/>
      <c r="T457" s="510"/>
      <c r="U457" s="510"/>
      <c r="V457" s="510"/>
      <c r="W457" s="510"/>
      <c r="X457" s="510"/>
      <c r="Y457" s="510"/>
      <c r="Z457" s="510"/>
      <c r="AA457" s="510"/>
      <c r="AB457" s="510"/>
      <c r="AC457" s="510"/>
      <c r="AD457" s="510"/>
    </row>
    <row r="458" ht="28.5" customHeight="1">
      <c r="A458" s="288"/>
      <c r="B458" s="510"/>
      <c r="C458" s="510"/>
      <c r="D458" s="288"/>
      <c r="E458" s="511"/>
      <c r="F458" s="510"/>
      <c r="G458" s="510"/>
      <c r="H458" s="510"/>
      <c r="I458" s="510"/>
      <c r="J458" s="510"/>
      <c r="K458" s="510"/>
      <c r="L458" s="510"/>
      <c r="M458" s="510"/>
      <c r="N458" s="510"/>
      <c r="O458" s="510"/>
      <c r="P458" s="510"/>
      <c r="Q458" s="510"/>
      <c r="R458" s="510"/>
      <c r="S458" s="510"/>
      <c r="T458" s="510"/>
      <c r="U458" s="510"/>
      <c r="V458" s="510"/>
      <c r="W458" s="510"/>
      <c r="X458" s="510"/>
      <c r="Y458" s="510"/>
      <c r="Z458" s="510"/>
      <c r="AA458" s="510"/>
      <c r="AB458" s="510"/>
      <c r="AC458" s="510"/>
      <c r="AD458" s="510"/>
    </row>
    <row r="459" ht="28.5" customHeight="1">
      <c r="A459" s="288"/>
      <c r="B459" s="510"/>
      <c r="C459" s="510"/>
      <c r="D459" s="288"/>
      <c r="E459" s="511"/>
      <c r="F459" s="510"/>
      <c r="G459" s="510"/>
      <c r="H459" s="510"/>
      <c r="I459" s="510"/>
      <c r="J459" s="510"/>
      <c r="K459" s="510"/>
      <c r="L459" s="510"/>
      <c r="M459" s="510"/>
      <c r="N459" s="510"/>
      <c r="O459" s="510"/>
      <c r="P459" s="510"/>
      <c r="Q459" s="510"/>
      <c r="R459" s="510"/>
      <c r="S459" s="510"/>
      <c r="T459" s="510"/>
      <c r="U459" s="510"/>
      <c r="V459" s="510"/>
      <c r="W459" s="510"/>
      <c r="X459" s="510"/>
      <c r="Y459" s="510"/>
      <c r="Z459" s="510"/>
      <c r="AA459" s="510"/>
      <c r="AB459" s="510"/>
      <c r="AC459" s="510"/>
      <c r="AD459" s="510"/>
    </row>
    <row r="460" ht="28.5" customHeight="1">
      <c r="A460" s="288"/>
      <c r="B460" s="510"/>
      <c r="C460" s="510"/>
      <c r="D460" s="288"/>
      <c r="E460" s="511"/>
      <c r="F460" s="510"/>
      <c r="G460" s="510"/>
      <c r="H460" s="510"/>
      <c r="I460" s="510"/>
      <c r="J460" s="510"/>
      <c r="K460" s="510"/>
      <c r="L460" s="510"/>
      <c r="M460" s="510"/>
      <c r="N460" s="510"/>
      <c r="O460" s="510"/>
      <c r="P460" s="510"/>
      <c r="Q460" s="510"/>
      <c r="R460" s="510"/>
      <c r="S460" s="510"/>
      <c r="T460" s="510"/>
      <c r="U460" s="510"/>
      <c r="V460" s="510"/>
      <c r="W460" s="510"/>
      <c r="X460" s="510"/>
      <c r="Y460" s="510"/>
      <c r="Z460" s="510"/>
      <c r="AA460" s="510"/>
      <c r="AB460" s="510"/>
      <c r="AC460" s="510"/>
      <c r="AD460" s="510"/>
    </row>
    <row r="461" ht="28.5" customHeight="1">
      <c r="A461" s="288"/>
      <c r="B461" s="510"/>
      <c r="C461" s="510"/>
      <c r="D461" s="288"/>
      <c r="E461" s="511"/>
      <c r="F461" s="510"/>
      <c r="G461" s="510"/>
      <c r="H461" s="510"/>
      <c r="I461" s="510"/>
      <c r="J461" s="510"/>
      <c r="K461" s="510"/>
      <c r="L461" s="510"/>
      <c r="M461" s="510"/>
      <c r="N461" s="510"/>
      <c r="O461" s="510"/>
      <c r="P461" s="510"/>
      <c r="Q461" s="510"/>
      <c r="R461" s="510"/>
      <c r="S461" s="510"/>
      <c r="T461" s="510"/>
      <c r="U461" s="510"/>
      <c r="V461" s="510"/>
      <c r="W461" s="510"/>
      <c r="X461" s="510"/>
      <c r="Y461" s="510"/>
      <c r="Z461" s="510"/>
      <c r="AA461" s="510"/>
      <c r="AB461" s="510"/>
      <c r="AC461" s="510"/>
      <c r="AD461" s="510"/>
    </row>
    <row r="462" ht="28.5" customHeight="1">
      <c r="A462" s="288"/>
      <c r="B462" s="510"/>
      <c r="C462" s="510"/>
      <c r="D462" s="288"/>
      <c r="E462" s="511"/>
      <c r="F462" s="510"/>
      <c r="G462" s="510"/>
      <c r="H462" s="510"/>
      <c r="I462" s="510"/>
      <c r="J462" s="510"/>
      <c r="K462" s="510"/>
      <c r="L462" s="510"/>
      <c r="M462" s="510"/>
      <c r="N462" s="510"/>
      <c r="O462" s="510"/>
      <c r="P462" s="510"/>
      <c r="Q462" s="510"/>
      <c r="R462" s="510"/>
      <c r="S462" s="510"/>
      <c r="T462" s="510"/>
      <c r="U462" s="510"/>
      <c r="V462" s="510"/>
      <c r="W462" s="510"/>
      <c r="X462" s="510"/>
      <c r="Y462" s="510"/>
      <c r="Z462" s="510"/>
      <c r="AA462" s="510"/>
      <c r="AB462" s="510"/>
      <c r="AC462" s="510"/>
      <c r="AD462" s="510"/>
    </row>
    <row r="463" ht="28.5" customHeight="1">
      <c r="A463" s="288"/>
      <c r="B463" s="510"/>
      <c r="C463" s="510"/>
      <c r="D463" s="288"/>
      <c r="E463" s="511"/>
      <c r="F463" s="510"/>
      <c r="G463" s="510"/>
      <c r="H463" s="510"/>
      <c r="I463" s="510"/>
      <c r="J463" s="510"/>
      <c r="K463" s="510"/>
      <c r="L463" s="510"/>
      <c r="M463" s="510"/>
      <c r="N463" s="510"/>
      <c r="O463" s="510"/>
      <c r="P463" s="510"/>
      <c r="Q463" s="510"/>
      <c r="R463" s="510"/>
      <c r="S463" s="510"/>
      <c r="T463" s="510"/>
      <c r="U463" s="510"/>
      <c r="V463" s="510"/>
      <c r="W463" s="510"/>
      <c r="X463" s="510"/>
      <c r="Y463" s="510"/>
      <c r="Z463" s="510"/>
      <c r="AA463" s="510"/>
      <c r="AB463" s="510"/>
      <c r="AC463" s="510"/>
      <c r="AD463" s="510"/>
    </row>
    <row r="464" ht="28.5" customHeight="1">
      <c r="A464" s="288"/>
      <c r="B464" s="510"/>
      <c r="C464" s="510"/>
      <c r="D464" s="288"/>
      <c r="E464" s="511"/>
      <c r="F464" s="510"/>
      <c r="G464" s="510"/>
      <c r="H464" s="510"/>
      <c r="I464" s="510"/>
      <c r="J464" s="510"/>
      <c r="K464" s="510"/>
      <c r="L464" s="510"/>
      <c r="M464" s="510"/>
      <c r="N464" s="510"/>
      <c r="O464" s="510"/>
      <c r="P464" s="510"/>
      <c r="Q464" s="510"/>
      <c r="R464" s="510"/>
      <c r="S464" s="510"/>
      <c r="T464" s="510"/>
      <c r="U464" s="510"/>
      <c r="V464" s="510"/>
      <c r="W464" s="510"/>
      <c r="X464" s="510"/>
      <c r="Y464" s="510"/>
      <c r="Z464" s="510"/>
      <c r="AA464" s="510"/>
      <c r="AB464" s="510"/>
      <c r="AC464" s="510"/>
      <c r="AD464" s="510"/>
    </row>
    <row r="465" ht="28.5" customHeight="1">
      <c r="A465" s="288"/>
      <c r="B465" s="510"/>
      <c r="C465" s="510"/>
      <c r="D465" s="288"/>
      <c r="E465" s="511"/>
      <c r="F465" s="510"/>
      <c r="G465" s="510"/>
      <c r="H465" s="510"/>
      <c r="I465" s="510"/>
      <c r="J465" s="510"/>
      <c r="K465" s="510"/>
      <c r="L465" s="510"/>
      <c r="M465" s="510"/>
      <c r="N465" s="510"/>
      <c r="O465" s="510"/>
      <c r="P465" s="510"/>
      <c r="Q465" s="510"/>
      <c r="R465" s="510"/>
      <c r="S465" s="510"/>
      <c r="T465" s="510"/>
      <c r="U465" s="510"/>
      <c r="V465" s="510"/>
      <c r="W465" s="510"/>
      <c r="X465" s="510"/>
      <c r="Y465" s="510"/>
      <c r="Z465" s="510"/>
      <c r="AA465" s="510"/>
      <c r="AB465" s="510"/>
      <c r="AC465" s="510"/>
      <c r="AD465" s="510"/>
    </row>
    <row r="466" ht="28.5" customHeight="1">
      <c r="A466" s="288"/>
      <c r="B466" s="510"/>
      <c r="C466" s="510"/>
      <c r="D466" s="288"/>
      <c r="E466" s="511"/>
      <c r="F466" s="510"/>
      <c r="G466" s="510"/>
      <c r="H466" s="510"/>
      <c r="I466" s="510"/>
      <c r="J466" s="510"/>
      <c r="K466" s="510"/>
      <c r="L466" s="510"/>
      <c r="M466" s="510"/>
      <c r="N466" s="510"/>
      <c r="O466" s="510"/>
      <c r="P466" s="510"/>
      <c r="Q466" s="510"/>
      <c r="R466" s="510"/>
      <c r="S466" s="510"/>
      <c r="T466" s="510"/>
      <c r="U466" s="510"/>
      <c r="V466" s="510"/>
      <c r="W466" s="510"/>
      <c r="X466" s="510"/>
      <c r="Y466" s="510"/>
      <c r="Z466" s="510"/>
      <c r="AA466" s="510"/>
      <c r="AB466" s="510"/>
      <c r="AC466" s="510"/>
      <c r="AD466" s="510"/>
    </row>
    <row r="467" ht="28.5" customHeight="1">
      <c r="A467" s="288"/>
      <c r="B467" s="510"/>
      <c r="C467" s="510"/>
      <c r="D467" s="288"/>
      <c r="E467" s="511"/>
      <c r="F467" s="510"/>
      <c r="G467" s="510"/>
      <c r="H467" s="510"/>
      <c r="I467" s="510"/>
      <c r="J467" s="510"/>
      <c r="K467" s="510"/>
      <c r="L467" s="510"/>
      <c r="M467" s="510"/>
      <c r="N467" s="510"/>
      <c r="O467" s="510"/>
      <c r="P467" s="510"/>
      <c r="Q467" s="510"/>
      <c r="R467" s="510"/>
      <c r="S467" s="510"/>
      <c r="T467" s="510"/>
      <c r="U467" s="510"/>
      <c r="V467" s="510"/>
      <c r="W467" s="510"/>
      <c r="X467" s="510"/>
      <c r="Y467" s="510"/>
      <c r="Z467" s="510"/>
      <c r="AA467" s="510"/>
      <c r="AB467" s="510"/>
      <c r="AC467" s="510"/>
      <c r="AD467" s="510"/>
    </row>
    <row r="468" ht="28.5" customHeight="1">
      <c r="A468" s="288"/>
      <c r="B468" s="510"/>
      <c r="C468" s="510"/>
      <c r="D468" s="288"/>
      <c r="E468" s="511"/>
      <c r="F468" s="510"/>
      <c r="G468" s="510"/>
      <c r="H468" s="510"/>
      <c r="I468" s="510"/>
      <c r="J468" s="510"/>
      <c r="K468" s="510"/>
      <c r="L468" s="510"/>
      <c r="M468" s="510"/>
      <c r="N468" s="510"/>
      <c r="O468" s="510"/>
      <c r="P468" s="510"/>
      <c r="Q468" s="510"/>
      <c r="R468" s="510"/>
      <c r="S468" s="510"/>
      <c r="T468" s="510"/>
      <c r="U468" s="510"/>
      <c r="V468" s="510"/>
      <c r="W468" s="510"/>
      <c r="X468" s="510"/>
      <c r="Y468" s="510"/>
      <c r="Z468" s="510"/>
      <c r="AA468" s="510"/>
      <c r="AB468" s="510"/>
      <c r="AC468" s="510"/>
      <c r="AD468" s="510"/>
    </row>
    <row r="469" ht="28.5" customHeight="1">
      <c r="A469" s="288"/>
      <c r="B469" s="510"/>
      <c r="C469" s="510"/>
      <c r="D469" s="288"/>
      <c r="E469" s="511"/>
      <c r="F469" s="510"/>
      <c r="G469" s="510"/>
      <c r="H469" s="510"/>
      <c r="I469" s="510"/>
      <c r="J469" s="510"/>
      <c r="K469" s="510"/>
      <c r="L469" s="510"/>
      <c r="M469" s="510"/>
      <c r="N469" s="510"/>
      <c r="O469" s="510"/>
      <c r="P469" s="510"/>
      <c r="Q469" s="510"/>
      <c r="R469" s="510"/>
      <c r="S469" s="510"/>
      <c r="T469" s="510"/>
      <c r="U469" s="510"/>
      <c r="V469" s="510"/>
      <c r="W469" s="510"/>
      <c r="X469" s="510"/>
      <c r="Y469" s="510"/>
      <c r="Z469" s="510"/>
      <c r="AA469" s="510"/>
      <c r="AB469" s="510"/>
      <c r="AC469" s="510"/>
      <c r="AD469" s="510"/>
    </row>
    <row r="470" ht="28.5" customHeight="1">
      <c r="A470" s="288"/>
      <c r="B470" s="510"/>
      <c r="C470" s="510"/>
      <c r="D470" s="288"/>
      <c r="E470" s="511"/>
      <c r="F470" s="510"/>
      <c r="G470" s="510"/>
      <c r="H470" s="510"/>
      <c r="I470" s="510"/>
      <c r="J470" s="510"/>
      <c r="K470" s="510"/>
      <c r="L470" s="510"/>
      <c r="M470" s="510"/>
      <c r="N470" s="510"/>
      <c r="O470" s="510"/>
      <c r="P470" s="510"/>
      <c r="Q470" s="510"/>
      <c r="R470" s="510"/>
      <c r="S470" s="510"/>
      <c r="T470" s="510"/>
      <c r="U470" s="510"/>
      <c r="V470" s="510"/>
      <c r="W470" s="510"/>
      <c r="X470" s="510"/>
      <c r="Y470" s="510"/>
      <c r="Z470" s="510"/>
      <c r="AA470" s="510"/>
      <c r="AB470" s="510"/>
      <c r="AC470" s="510"/>
      <c r="AD470" s="510"/>
    </row>
    <row r="471" ht="28.5" customHeight="1">
      <c r="A471" s="288"/>
      <c r="B471" s="510"/>
      <c r="C471" s="510"/>
      <c r="D471" s="288"/>
      <c r="E471" s="511"/>
      <c r="F471" s="510"/>
      <c r="G471" s="510"/>
      <c r="H471" s="510"/>
      <c r="I471" s="510"/>
      <c r="J471" s="510"/>
      <c r="K471" s="510"/>
      <c r="L471" s="510"/>
      <c r="M471" s="510"/>
      <c r="N471" s="510"/>
      <c r="O471" s="510"/>
      <c r="P471" s="510"/>
      <c r="Q471" s="510"/>
      <c r="R471" s="510"/>
      <c r="S471" s="510"/>
      <c r="T471" s="510"/>
      <c r="U471" s="510"/>
      <c r="V471" s="510"/>
      <c r="W471" s="510"/>
      <c r="X471" s="510"/>
      <c r="Y471" s="510"/>
      <c r="Z471" s="510"/>
      <c r="AA471" s="510"/>
      <c r="AB471" s="510"/>
      <c r="AC471" s="510"/>
      <c r="AD471" s="510"/>
    </row>
    <row r="472" ht="28.5" customHeight="1">
      <c r="A472" s="288"/>
      <c r="B472" s="510"/>
      <c r="C472" s="510"/>
      <c r="D472" s="288"/>
      <c r="E472" s="511"/>
      <c r="F472" s="510"/>
      <c r="G472" s="510"/>
      <c r="H472" s="510"/>
      <c r="I472" s="510"/>
      <c r="J472" s="510"/>
      <c r="K472" s="510"/>
      <c r="L472" s="510"/>
      <c r="M472" s="510"/>
      <c r="N472" s="510"/>
      <c r="O472" s="510"/>
      <c r="P472" s="510"/>
      <c r="Q472" s="510"/>
      <c r="R472" s="510"/>
      <c r="S472" s="510"/>
      <c r="T472" s="510"/>
      <c r="U472" s="510"/>
      <c r="V472" s="510"/>
      <c r="W472" s="510"/>
      <c r="X472" s="510"/>
      <c r="Y472" s="510"/>
      <c r="Z472" s="510"/>
      <c r="AA472" s="510"/>
      <c r="AB472" s="510"/>
      <c r="AC472" s="510"/>
      <c r="AD472" s="510"/>
    </row>
    <row r="473" ht="28.5" customHeight="1">
      <c r="A473" s="288"/>
      <c r="B473" s="510"/>
      <c r="C473" s="510"/>
      <c r="D473" s="288"/>
      <c r="E473" s="511"/>
      <c r="F473" s="510"/>
      <c r="G473" s="510"/>
      <c r="H473" s="510"/>
      <c r="I473" s="510"/>
      <c r="J473" s="510"/>
      <c r="K473" s="510"/>
      <c r="L473" s="510"/>
      <c r="M473" s="510"/>
      <c r="N473" s="510"/>
      <c r="O473" s="510"/>
      <c r="P473" s="510"/>
      <c r="Q473" s="510"/>
      <c r="R473" s="510"/>
      <c r="S473" s="510"/>
      <c r="T473" s="510"/>
      <c r="U473" s="510"/>
      <c r="V473" s="510"/>
      <c r="W473" s="510"/>
      <c r="X473" s="510"/>
      <c r="Y473" s="510"/>
      <c r="Z473" s="510"/>
      <c r="AA473" s="510"/>
      <c r="AB473" s="510"/>
      <c r="AC473" s="510"/>
      <c r="AD473" s="510"/>
    </row>
    <row r="474" ht="28.5" customHeight="1">
      <c r="A474" s="288"/>
      <c r="B474" s="510"/>
      <c r="C474" s="510"/>
      <c r="D474" s="288"/>
      <c r="E474" s="511"/>
      <c r="F474" s="510"/>
      <c r="G474" s="510"/>
      <c r="H474" s="510"/>
      <c r="I474" s="510"/>
      <c r="J474" s="510"/>
      <c r="K474" s="510"/>
      <c r="L474" s="510"/>
      <c r="M474" s="510"/>
      <c r="N474" s="510"/>
      <c r="O474" s="510"/>
      <c r="P474" s="510"/>
      <c r="Q474" s="510"/>
      <c r="R474" s="510"/>
      <c r="S474" s="510"/>
      <c r="T474" s="510"/>
      <c r="U474" s="510"/>
      <c r="V474" s="510"/>
      <c r="W474" s="510"/>
      <c r="X474" s="510"/>
      <c r="Y474" s="510"/>
      <c r="Z474" s="510"/>
      <c r="AA474" s="510"/>
      <c r="AB474" s="510"/>
      <c r="AC474" s="510"/>
      <c r="AD474" s="510"/>
    </row>
    <row r="475" ht="28.5" customHeight="1">
      <c r="A475" s="288"/>
      <c r="B475" s="510"/>
      <c r="C475" s="510"/>
      <c r="D475" s="288"/>
      <c r="E475" s="511"/>
      <c r="F475" s="510"/>
      <c r="G475" s="510"/>
      <c r="H475" s="510"/>
      <c r="I475" s="510"/>
      <c r="J475" s="510"/>
      <c r="K475" s="510"/>
      <c r="L475" s="510"/>
      <c r="M475" s="510"/>
      <c r="N475" s="510"/>
      <c r="O475" s="510"/>
      <c r="P475" s="510"/>
      <c r="Q475" s="510"/>
      <c r="R475" s="510"/>
      <c r="S475" s="510"/>
      <c r="T475" s="510"/>
      <c r="U475" s="510"/>
      <c r="V475" s="510"/>
      <c r="W475" s="510"/>
      <c r="X475" s="510"/>
      <c r="Y475" s="510"/>
      <c r="Z475" s="510"/>
      <c r="AA475" s="510"/>
      <c r="AB475" s="510"/>
      <c r="AC475" s="510"/>
      <c r="AD475" s="510"/>
    </row>
    <row r="476" ht="28.5" customHeight="1">
      <c r="A476" s="288"/>
      <c r="B476" s="510"/>
      <c r="C476" s="510"/>
      <c r="D476" s="288"/>
      <c r="E476" s="511"/>
      <c r="F476" s="510"/>
      <c r="G476" s="510"/>
      <c r="H476" s="510"/>
      <c r="I476" s="510"/>
      <c r="J476" s="510"/>
      <c r="K476" s="510"/>
      <c r="L476" s="510"/>
      <c r="M476" s="510"/>
      <c r="N476" s="510"/>
      <c r="O476" s="510"/>
      <c r="P476" s="510"/>
      <c r="Q476" s="510"/>
      <c r="R476" s="510"/>
      <c r="S476" s="510"/>
      <c r="T476" s="510"/>
      <c r="U476" s="510"/>
      <c r="V476" s="510"/>
      <c r="W476" s="510"/>
      <c r="X476" s="510"/>
      <c r="Y476" s="510"/>
      <c r="Z476" s="510"/>
      <c r="AA476" s="510"/>
      <c r="AB476" s="510"/>
      <c r="AC476" s="510"/>
      <c r="AD476" s="510"/>
    </row>
    <row r="477" ht="28.5" customHeight="1">
      <c r="A477" s="288"/>
      <c r="B477" s="510"/>
      <c r="C477" s="510"/>
      <c r="D477" s="288"/>
      <c r="E477" s="511"/>
      <c r="F477" s="510"/>
      <c r="G477" s="510"/>
      <c r="H477" s="510"/>
      <c r="I477" s="510"/>
      <c r="J477" s="510"/>
      <c r="K477" s="510"/>
      <c r="L477" s="510"/>
      <c r="M477" s="510"/>
      <c r="N477" s="510"/>
      <c r="O477" s="510"/>
      <c r="P477" s="510"/>
      <c r="Q477" s="510"/>
      <c r="R477" s="510"/>
      <c r="S477" s="510"/>
      <c r="T477" s="510"/>
      <c r="U477" s="510"/>
      <c r="V477" s="510"/>
      <c r="W477" s="510"/>
      <c r="X477" s="510"/>
      <c r="Y477" s="510"/>
      <c r="Z477" s="510"/>
      <c r="AA477" s="510"/>
      <c r="AB477" s="510"/>
      <c r="AC477" s="510"/>
      <c r="AD477" s="510"/>
    </row>
    <row r="478" ht="28.5" customHeight="1">
      <c r="A478" s="288"/>
      <c r="B478" s="510"/>
      <c r="C478" s="510"/>
      <c r="D478" s="288"/>
      <c r="E478" s="511"/>
      <c r="F478" s="510"/>
      <c r="G478" s="510"/>
      <c r="H478" s="510"/>
      <c r="I478" s="510"/>
      <c r="J478" s="510"/>
      <c r="K478" s="510"/>
      <c r="L478" s="510"/>
      <c r="M478" s="510"/>
      <c r="N478" s="510"/>
      <c r="O478" s="510"/>
      <c r="P478" s="510"/>
      <c r="Q478" s="510"/>
      <c r="R478" s="510"/>
      <c r="S478" s="510"/>
      <c r="T478" s="510"/>
      <c r="U478" s="510"/>
      <c r="V478" s="510"/>
      <c r="W478" s="510"/>
      <c r="X478" s="510"/>
      <c r="Y478" s="510"/>
      <c r="Z478" s="510"/>
      <c r="AA478" s="510"/>
      <c r="AB478" s="510"/>
      <c r="AC478" s="510"/>
      <c r="AD478" s="510"/>
    </row>
    <row r="479" ht="28.5" customHeight="1">
      <c r="A479" s="288"/>
      <c r="B479" s="510"/>
      <c r="C479" s="510"/>
      <c r="D479" s="288"/>
      <c r="E479" s="511"/>
      <c r="F479" s="510"/>
      <c r="G479" s="510"/>
      <c r="H479" s="510"/>
      <c r="I479" s="510"/>
      <c r="J479" s="510"/>
      <c r="K479" s="510"/>
      <c r="L479" s="510"/>
      <c r="M479" s="510"/>
      <c r="N479" s="510"/>
      <c r="O479" s="510"/>
      <c r="P479" s="510"/>
      <c r="Q479" s="510"/>
      <c r="R479" s="510"/>
      <c r="S479" s="510"/>
      <c r="T479" s="510"/>
      <c r="U479" s="510"/>
      <c r="V479" s="510"/>
      <c r="W479" s="510"/>
      <c r="X479" s="510"/>
      <c r="Y479" s="510"/>
      <c r="Z479" s="510"/>
      <c r="AA479" s="510"/>
      <c r="AB479" s="510"/>
      <c r="AC479" s="510"/>
      <c r="AD479" s="510"/>
    </row>
    <row r="480" ht="28.5" customHeight="1">
      <c r="A480" s="288"/>
      <c r="B480" s="510"/>
      <c r="C480" s="510"/>
      <c r="D480" s="288"/>
      <c r="E480" s="511"/>
      <c r="F480" s="510"/>
      <c r="G480" s="510"/>
      <c r="H480" s="510"/>
      <c r="I480" s="510"/>
      <c r="J480" s="510"/>
      <c r="K480" s="510"/>
      <c r="L480" s="510"/>
      <c r="M480" s="510"/>
      <c r="N480" s="510"/>
      <c r="O480" s="510"/>
      <c r="P480" s="510"/>
      <c r="Q480" s="510"/>
      <c r="R480" s="510"/>
      <c r="S480" s="510"/>
      <c r="T480" s="510"/>
      <c r="U480" s="510"/>
      <c r="V480" s="510"/>
      <c r="W480" s="510"/>
      <c r="X480" s="510"/>
      <c r="Y480" s="510"/>
      <c r="Z480" s="510"/>
      <c r="AA480" s="510"/>
      <c r="AB480" s="510"/>
      <c r="AC480" s="510"/>
      <c r="AD480" s="510"/>
    </row>
    <row r="481" ht="28.5" customHeight="1">
      <c r="A481" s="288"/>
      <c r="B481" s="510"/>
      <c r="C481" s="510"/>
      <c r="D481" s="288"/>
      <c r="E481" s="511"/>
      <c r="F481" s="510"/>
      <c r="G481" s="510"/>
      <c r="H481" s="510"/>
      <c r="I481" s="510"/>
      <c r="J481" s="510"/>
      <c r="K481" s="510"/>
      <c r="L481" s="510"/>
      <c r="M481" s="510"/>
      <c r="N481" s="510"/>
      <c r="O481" s="510"/>
      <c r="P481" s="510"/>
      <c r="Q481" s="510"/>
      <c r="R481" s="510"/>
      <c r="S481" s="510"/>
      <c r="T481" s="510"/>
      <c r="U481" s="510"/>
      <c r="V481" s="510"/>
      <c r="W481" s="510"/>
      <c r="X481" s="510"/>
      <c r="Y481" s="510"/>
      <c r="Z481" s="510"/>
      <c r="AA481" s="510"/>
      <c r="AB481" s="510"/>
      <c r="AC481" s="510"/>
      <c r="AD481" s="510"/>
    </row>
    <row r="482" ht="28.5" customHeight="1">
      <c r="A482" s="288"/>
      <c r="B482" s="510"/>
      <c r="C482" s="510"/>
      <c r="D482" s="288"/>
      <c r="E482" s="511"/>
      <c r="F482" s="510"/>
      <c r="G482" s="510"/>
      <c r="H482" s="510"/>
      <c r="I482" s="510"/>
      <c r="J482" s="510"/>
      <c r="K482" s="510"/>
      <c r="L482" s="510"/>
      <c r="M482" s="510"/>
      <c r="N482" s="510"/>
      <c r="O482" s="510"/>
      <c r="P482" s="510"/>
      <c r="Q482" s="510"/>
      <c r="R482" s="510"/>
      <c r="S482" s="510"/>
      <c r="T482" s="510"/>
      <c r="U482" s="510"/>
      <c r="V482" s="510"/>
      <c r="W482" s="510"/>
      <c r="X482" s="510"/>
      <c r="Y482" s="510"/>
      <c r="Z482" s="510"/>
      <c r="AA482" s="510"/>
      <c r="AB482" s="510"/>
      <c r="AC482" s="510"/>
      <c r="AD482" s="510"/>
    </row>
    <row r="483" ht="28.5" customHeight="1">
      <c r="A483" s="288"/>
      <c r="B483" s="510"/>
      <c r="C483" s="510"/>
      <c r="D483" s="288"/>
      <c r="E483" s="511"/>
      <c r="F483" s="510"/>
      <c r="G483" s="510"/>
      <c r="H483" s="510"/>
      <c r="I483" s="510"/>
      <c r="J483" s="510"/>
      <c r="K483" s="510"/>
      <c r="L483" s="510"/>
      <c r="M483" s="510"/>
      <c r="N483" s="510"/>
      <c r="O483" s="510"/>
      <c r="P483" s="510"/>
      <c r="Q483" s="510"/>
      <c r="R483" s="510"/>
      <c r="S483" s="510"/>
      <c r="T483" s="510"/>
      <c r="U483" s="510"/>
      <c r="V483" s="510"/>
      <c r="W483" s="510"/>
      <c r="X483" s="510"/>
      <c r="Y483" s="510"/>
      <c r="Z483" s="510"/>
      <c r="AA483" s="510"/>
      <c r="AB483" s="510"/>
      <c r="AC483" s="510"/>
      <c r="AD483" s="510"/>
    </row>
    <row r="484" ht="28.5" customHeight="1">
      <c r="A484" s="288"/>
      <c r="B484" s="510"/>
      <c r="C484" s="510"/>
      <c r="D484" s="288"/>
      <c r="E484" s="511"/>
      <c r="F484" s="510"/>
      <c r="G484" s="510"/>
      <c r="H484" s="510"/>
      <c r="I484" s="510"/>
      <c r="J484" s="510"/>
      <c r="K484" s="510"/>
      <c r="L484" s="510"/>
      <c r="M484" s="510"/>
      <c r="N484" s="510"/>
      <c r="O484" s="510"/>
      <c r="P484" s="510"/>
      <c r="Q484" s="510"/>
      <c r="R484" s="510"/>
      <c r="S484" s="510"/>
      <c r="T484" s="510"/>
      <c r="U484" s="510"/>
      <c r="V484" s="510"/>
      <c r="W484" s="510"/>
      <c r="X484" s="510"/>
      <c r="Y484" s="510"/>
      <c r="Z484" s="510"/>
      <c r="AA484" s="510"/>
      <c r="AB484" s="510"/>
      <c r="AC484" s="510"/>
      <c r="AD484" s="510"/>
    </row>
    <row r="485" ht="28.5" customHeight="1">
      <c r="A485" s="288"/>
      <c r="B485" s="510"/>
      <c r="C485" s="510"/>
      <c r="D485" s="288"/>
      <c r="E485" s="511"/>
      <c r="F485" s="510"/>
      <c r="G485" s="510"/>
      <c r="H485" s="510"/>
      <c r="I485" s="510"/>
      <c r="J485" s="510"/>
      <c r="K485" s="510"/>
      <c r="L485" s="510"/>
      <c r="M485" s="510"/>
      <c r="N485" s="510"/>
      <c r="O485" s="510"/>
      <c r="P485" s="510"/>
      <c r="Q485" s="510"/>
      <c r="R485" s="510"/>
      <c r="S485" s="510"/>
      <c r="T485" s="510"/>
      <c r="U485" s="510"/>
      <c r="V485" s="510"/>
      <c r="W485" s="510"/>
      <c r="X485" s="510"/>
      <c r="Y485" s="510"/>
      <c r="Z485" s="510"/>
      <c r="AA485" s="510"/>
      <c r="AB485" s="510"/>
      <c r="AC485" s="510"/>
      <c r="AD485" s="510"/>
    </row>
    <row r="486" ht="28.5" customHeight="1">
      <c r="A486" s="288"/>
      <c r="B486" s="510"/>
      <c r="C486" s="510"/>
      <c r="D486" s="288"/>
      <c r="E486" s="511"/>
      <c r="F486" s="510"/>
      <c r="G486" s="510"/>
      <c r="H486" s="510"/>
      <c r="I486" s="510"/>
      <c r="J486" s="510"/>
      <c r="K486" s="510"/>
      <c r="L486" s="510"/>
      <c r="M486" s="510"/>
      <c r="N486" s="510"/>
      <c r="O486" s="510"/>
      <c r="P486" s="510"/>
      <c r="Q486" s="510"/>
      <c r="R486" s="510"/>
      <c r="S486" s="510"/>
      <c r="T486" s="510"/>
      <c r="U486" s="510"/>
      <c r="V486" s="510"/>
      <c r="W486" s="510"/>
      <c r="X486" s="510"/>
      <c r="Y486" s="510"/>
      <c r="Z486" s="510"/>
      <c r="AA486" s="510"/>
      <c r="AB486" s="510"/>
      <c r="AC486" s="510"/>
      <c r="AD486" s="510"/>
    </row>
    <row r="487" ht="28.5" customHeight="1">
      <c r="A487" s="288"/>
      <c r="B487" s="510"/>
      <c r="C487" s="510"/>
      <c r="D487" s="288"/>
      <c r="E487" s="511"/>
      <c r="F487" s="510"/>
      <c r="G487" s="510"/>
      <c r="H487" s="510"/>
      <c r="I487" s="510"/>
      <c r="J487" s="510"/>
      <c r="K487" s="510"/>
      <c r="L487" s="510"/>
      <c r="M487" s="510"/>
      <c r="N487" s="510"/>
      <c r="O487" s="510"/>
      <c r="P487" s="510"/>
      <c r="Q487" s="510"/>
      <c r="R487" s="510"/>
      <c r="S487" s="510"/>
      <c r="T487" s="510"/>
      <c r="U487" s="510"/>
      <c r="V487" s="510"/>
      <c r="W487" s="510"/>
      <c r="X487" s="510"/>
      <c r="Y487" s="510"/>
      <c r="Z487" s="510"/>
      <c r="AA487" s="510"/>
      <c r="AB487" s="510"/>
      <c r="AC487" s="510"/>
      <c r="AD487" s="510"/>
    </row>
    <row r="488" ht="28.5" customHeight="1">
      <c r="A488" s="288"/>
      <c r="B488" s="510"/>
      <c r="C488" s="510"/>
      <c r="D488" s="288"/>
      <c r="E488" s="511"/>
      <c r="F488" s="510"/>
      <c r="G488" s="510"/>
      <c r="H488" s="510"/>
      <c r="I488" s="510"/>
      <c r="J488" s="510"/>
      <c r="K488" s="510"/>
      <c r="L488" s="510"/>
      <c r="M488" s="510"/>
      <c r="N488" s="510"/>
      <c r="O488" s="510"/>
      <c r="P488" s="510"/>
      <c r="Q488" s="510"/>
      <c r="R488" s="510"/>
      <c r="S488" s="510"/>
      <c r="T488" s="510"/>
      <c r="U488" s="510"/>
      <c r="V488" s="510"/>
      <c r="W488" s="510"/>
      <c r="X488" s="510"/>
      <c r="Y488" s="510"/>
      <c r="Z488" s="510"/>
      <c r="AA488" s="510"/>
      <c r="AB488" s="510"/>
      <c r="AC488" s="510"/>
      <c r="AD488" s="510"/>
    </row>
    <row r="489" ht="28.5" customHeight="1">
      <c r="A489" s="288"/>
      <c r="B489" s="510"/>
      <c r="C489" s="510"/>
      <c r="D489" s="288"/>
      <c r="E489" s="511"/>
      <c r="F489" s="510"/>
      <c r="G489" s="510"/>
      <c r="H489" s="510"/>
      <c r="I489" s="510"/>
      <c r="J489" s="510"/>
      <c r="K489" s="510"/>
      <c r="L489" s="510"/>
      <c r="M489" s="510"/>
      <c r="N489" s="510"/>
      <c r="O489" s="510"/>
      <c r="P489" s="510"/>
      <c r="Q489" s="510"/>
      <c r="R489" s="510"/>
      <c r="S489" s="510"/>
      <c r="T489" s="510"/>
      <c r="U489" s="510"/>
      <c r="V489" s="510"/>
      <c r="W489" s="510"/>
      <c r="X489" s="510"/>
      <c r="Y489" s="510"/>
      <c r="Z489" s="510"/>
      <c r="AA489" s="510"/>
      <c r="AB489" s="510"/>
      <c r="AC489" s="510"/>
      <c r="AD489" s="510"/>
    </row>
    <row r="490" ht="28.5" customHeight="1">
      <c r="A490" s="288"/>
      <c r="B490" s="510"/>
      <c r="C490" s="510"/>
      <c r="D490" s="288"/>
      <c r="E490" s="511"/>
      <c r="F490" s="510"/>
      <c r="G490" s="510"/>
      <c r="H490" s="510"/>
      <c r="I490" s="510"/>
      <c r="J490" s="510"/>
      <c r="K490" s="510"/>
      <c r="L490" s="510"/>
      <c r="M490" s="510"/>
      <c r="N490" s="510"/>
      <c r="O490" s="510"/>
      <c r="P490" s="510"/>
      <c r="Q490" s="510"/>
      <c r="R490" s="510"/>
      <c r="S490" s="510"/>
      <c r="T490" s="510"/>
      <c r="U490" s="510"/>
      <c r="V490" s="510"/>
      <c r="W490" s="510"/>
      <c r="X490" s="510"/>
      <c r="Y490" s="510"/>
      <c r="Z490" s="510"/>
      <c r="AA490" s="510"/>
      <c r="AB490" s="510"/>
      <c r="AC490" s="510"/>
      <c r="AD490" s="510"/>
    </row>
    <row r="491" ht="28.5" customHeight="1">
      <c r="A491" s="288"/>
      <c r="B491" s="510"/>
      <c r="C491" s="510"/>
      <c r="D491" s="288"/>
      <c r="E491" s="511"/>
      <c r="F491" s="510"/>
      <c r="G491" s="510"/>
      <c r="H491" s="510"/>
      <c r="I491" s="510"/>
      <c r="J491" s="510"/>
      <c r="K491" s="510"/>
      <c r="L491" s="510"/>
      <c r="M491" s="510"/>
      <c r="N491" s="510"/>
      <c r="O491" s="510"/>
      <c r="P491" s="510"/>
      <c r="Q491" s="510"/>
      <c r="R491" s="510"/>
      <c r="S491" s="510"/>
      <c r="T491" s="510"/>
      <c r="U491" s="510"/>
      <c r="V491" s="510"/>
      <c r="W491" s="510"/>
      <c r="X491" s="510"/>
      <c r="Y491" s="510"/>
      <c r="Z491" s="510"/>
      <c r="AA491" s="510"/>
      <c r="AB491" s="510"/>
      <c r="AC491" s="510"/>
      <c r="AD491" s="510"/>
    </row>
    <row r="492" ht="28.5" customHeight="1">
      <c r="A492" s="288"/>
      <c r="B492" s="510"/>
      <c r="C492" s="510"/>
      <c r="D492" s="288"/>
      <c r="E492" s="511"/>
      <c r="F492" s="510"/>
      <c r="G492" s="510"/>
      <c r="H492" s="510"/>
      <c r="I492" s="510"/>
      <c r="J492" s="510"/>
      <c r="K492" s="510"/>
      <c r="L492" s="510"/>
      <c r="M492" s="510"/>
      <c r="N492" s="510"/>
      <c r="O492" s="510"/>
      <c r="P492" s="510"/>
      <c r="Q492" s="510"/>
      <c r="R492" s="510"/>
      <c r="S492" s="510"/>
      <c r="T492" s="510"/>
      <c r="U492" s="510"/>
      <c r="V492" s="510"/>
      <c r="W492" s="510"/>
      <c r="X492" s="510"/>
      <c r="Y492" s="510"/>
      <c r="Z492" s="510"/>
      <c r="AA492" s="510"/>
      <c r="AB492" s="510"/>
      <c r="AC492" s="510"/>
      <c r="AD492" s="510"/>
    </row>
    <row r="493" ht="28.5" customHeight="1">
      <c r="A493" s="288"/>
      <c r="B493" s="510"/>
      <c r="C493" s="510"/>
      <c r="D493" s="288"/>
      <c r="E493" s="511"/>
      <c r="F493" s="510"/>
      <c r="G493" s="510"/>
      <c r="H493" s="510"/>
      <c r="I493" s="510"/>
      <c r="J493" s="510"/>
      <c r="K493" s="510"/>
      <c r="L493" s="510"/>
      <c r="M493" s="510"/>
      <c r="N493" s="510"/>
      <c r="O493" s="510"/>
      <c r="P493" s="510"/>
      <c r="Q493" s="510"/>
      <c r="R493" s="510"/>
      <c r="S493" s="510"/>
      <c r="T493" s="510"/>
      <c r="U493" s="510"/>
      <c r="V493" s="510"/>
      <c r="W493" s="510"/>
      <c r="X493" s="510"/>
      <c r="Y493" s="510"/>
      <c r="Z493" s="510"/>
      <c r="AA493" s="510"/>
      <c r="AB493" s="510"/>
      <c r="AC493" s="510"/>
      <c r="AD493" s="510"/>
    </row>
    <row r="494" ht="28.5" customHeight="1">
      <c r="A494" s="288"/>
      <c r="B494" s="510"/>
      <c r="C494" s="510"/>
      <c r="D494" s="288"/>
      <c r="E494" s="511"/>
      <c r="F494" s="510"/>
      <c r="G494" s="510"/>
      <c r="H494" s="510"/>
      <c r="I494" s="510"/>
      <c r="J494" s="510"/>
      <c r="K494" s="510"/>
      <c r="L494" s="510"/>
      <c r="M494" s="510"/>
      <c r="N494" s="510"/>
      <c r="O494" s="510"/>
      <c r="P494" s="510"/>
      <c r="Q494" s="510"/>
      <c r="R494" s="510"/>
      <c r="S494" s="510"/>
      <c r="T494" s="510"/>
      <c r="U494" s="510"/>
      <c r="V494" s="510"/>
      <c r="W494" s="510"/>
      <c r="X494" s="510"/>
      <c r="Y494" s="510"/>
      <c r="Z494" s="510"/>
      <c r="AA494" s="510"/>
      <c r="AB494" s="510"/>
      <c r="AC494" s="510"/>
      <c r="AD494" s="510"/>
    </row>
    <row r="495" ht="28.5" customHeight="1">
      <c r="A495" s="288"/>
      <c r="B495" s="510"/>
      <c r="C495" s="510"/>
      <c r="D495" s="288"/>
      <c r="E495" s="511"/>
      <c r="F495" s="510"/>
      <c r="G495" s="510"/>
      <c r="H495" s="510"/>
      <c r="I495" s="510"/>
      <c r="J495" s="510"/>
      <c r="K495" s="510"/>
      <c r="L495" s="510"/>
      <c r="M495" s="510"/>
      <c r="N495" s="510"/>
      <c r="O495" s="510"/>
      <c r="P495" s="510"/>
      <c r="Q495" s="510"/>
      <c r="R495" s="510"/>
      <c r="S495" s="510"/>
      <c r="T495" s="510"/>
      <c r="U495" s="510"/>
      <c r="V495" s="510"/>
      <c r="W495" s="510"/>
      <c r="X495" s="510"/>
      <c r="Y495" s="510"/>
      <c r="Z495" s="510"/>
      <c r="AA495" s="510"/>
      <c r="AB495" s="510"/>
      <c r="AC495" s="510"/>
      <c r="AD495" s="510"/>
    </row>
    <row r="496" ht="28.5" customHeight="1">
      <c r="A496" s="288"/>
      <c r="B496" s="510"/>
      <c r="C496" s="510"/>
      <c r="D496" s="288"/>
      <c r="E496" s="511"/>
      <c r="F496" s="510"/>
      <c r="G496" s="510"/>
      <c r="H496" s="510"/>
      <c r="I496" s="510"/>
      <c r="J496" s="510"/>
      <c r="K496" s="510"/>
      <c r="L496" s="510"/>
      <c r="M496" s="510"/>
      <c r="N496" s="510"/>
      <c r="O496" s="510"/>
      <c r="P496" s="510"/>
      <c r="Q496" s="510"/>
      <c r="R496" s="510"/>
      <c r="S496" s="510"/>
      <c r="T496" s="510"/>
      <c r="U496" s="510"/>
      <c r="V496" s="510"/>
      <c r="W496" s="510"/>
      <c r="X496" s="510"/>
      <c r="Y496" s="510"/>
      <c r="Z496" s="510"/>
      <c r="AA496" s="510"/>
      <c r="AB496" s="510"/>
      <c r="AC496" s="510"/>
      <c r="AD496" s="510"/>
    </row>
    <row r="497" ht="28.5" customHeight="1">
      <c r="A497" s="288"/>
      <c r="B497" s="510"/>
      <c r="C497" s="510"/>
      <c r="D497" s="288"/>
      <c r="E497" s="511"/>
      <c r="F497" s="510"/>
      <c r="G497" s="510"/>
      <c r="H497" s="510"/>
      <c r="I497" s="510"/>
      <c r="J497" s="510"/>
      <c r="K497" s="510"/>
      <c r="L497" s="510"/>
      <c r="M497" s="510"/>
      <c r="N497" s="510"/>
      <c r="O497" s="510"/>
      <c r="P497" s="510"/>
      <c r="Q497" s="510"/>
      <c r="R497" s="510"/>
      <c r="S497" s="510"/>
      <c r="T497" s="510"/>
      <c r="U497" s="510"/>
      <c r="V497" s="510"/>
      <c r="W497" s="510"/>
      <c r="X497" s="510"/>
      <c r="Y497" s="510"/>
      <c r="Z497" s="510"/>
      <c r="AA497" s="510"/>
      <c r="AB497" s="510"/>
      <c r="AC497" s="510"/>
      <c r="AD497" s="510"/>
    </row>
    <row r="498" ht="28.5" customHeight="1">
      <c r="A498" s="288"/>
      <c r="B498" s="510"/>
      <c r="C498" s="510"/>
      <c r="D498" s="288"/>
      <c r="E498" s="511"/>
      <c r="F498" s="510"/>
      <c r="G498" s="510"/>
      <c r="H498" s="510"/>
      <c r="I498" s="510"/>
      <c r="J498" s="510"/>
      <c r="K498" s="510"/>
      <c r="L498" s="510"/>
      <c r="M498" s="510"/>
      <c r="N498" s="510"/>
      <c r="O498" s="510"/>
      <c r="P498" s="510"/>
      <c r="Q498" s="510"/>
      <c r="R498" s="510"/>
      <c r="S498" s="510"/>
      <c r="T498" s="510"/>
      <c r="U498" s="510"/>
      <c r="V498" s="510"/>
      <c r="W498" s="510"/>
      <c r="X498" s="510"/>
      <c r="Y498" s="510"/>
      <c r="Z498" s="510"/>
      <c r="AA498" s="510"/>
      <c r="AB498" s="510"/>
      <c r="AC498" s="510"/>
      <c r="AD498" s="510"/>
    </row>
    <row r="499" ht="28.5" customHeight="1">
      <c r="A499" s="288"/>
      <c r="B499" s="510"/>
      <c r="C499" s="510"/>
      <c r="D499" s="288"/>
      <c r="E499" s="511"/>
      <c r="F499" s="510"/>
      <c r="G499" s="510"/>
      <c r="H499" s="510"/>
      <c r="I499" s="510"/>
      <c r="J499" s="510"/>
      <c r="K499" s="510"/>
      <c r="L499" s="510"/>
      <c r="M499" s="510"/>
      <c r="N499" s="510"/>
      <c r="O499" s="510"/>
      <c r="P499" s="510"/>
      <c r="Q499" s="510"/>
      <c r="R499" s="510"/>
      <c r="S499" s="510"/>
      <c r="T499" s="510"/>
      <c r="U499" s="510"/>
      <c r="V499" s="510"/>
      <c r="W499" s="510"/>
      <c r="X499" s="510"/>
      <c r="Y499" s="510"/>
      <c r="Z499" s="510"/>
      <c r="AA499" s="510"/>
      <c r="AB499" s="510"/>
      <c r="AC499" s="510"/>
      <c r="AD499" s="510"/>
    </row>
    <row r="500" ht="28.5" customHeight="1">
      <c r="A500" s="288"/>
      <c r="B500" s="510"/>
      <c r="C500" s="510"/>
      <c r="D500" s="288"/>
      <c r="E500" s="511"/>
      <c r="F500" s="510"/>
      <c r="G500" s="510"/>
      <c r="H500" s="510"/>
      <c r="I500" s="510"/>
      <c r="J500" s="510"/>
      <c r="K500" s="510"/>
      <c r="L500" s="510"/>
      <c r="M500" s="510"/>
      <c r="N500" s="510"/>
      <c r="O500" s="510"/>
      <c r="P500" s="510"/>
      <c r="Q500" s="510"/>
      <c r="R500" s="510"/>
      <c r="S500" s="510"/>
      <c r="T500" s="510"/>
      <c r="U500" s="510"/>
      <c r="V500" s="510"/>
      <c r="W500" s="510"/>
      <c r="X500" s="510"/>
      <c r="Y500" s="510"/>
      <c r="Z500" s="510"/>
      <c r="AA500" s="510"/>
      <c r="AB500" s="510"/>
      <c r="AC500" s="510"/>
      <c r="AD500" s="510"/>
    </row>
    <row r="501" ht="28.5" customHeight="1">
      <c r="A501" s="288"/>
      <c r="B501" s="510"/>
      <c r="C501" s="510"/>
      <c r="D501" s="288"/>
      <c r="E501" s="511"/>
      <c r="F501" s="510"/>
      <c r="G501" s="510"/>
      <c r="H501" s="510"/>
      <c r="I501" s="510"/>
      <c r="J501" s="510"/>
      <c r="K501" s="510"/>
      <c r="L501" s="510"/>
      <c r="M501" s="510"/>
      <c r="N501" s="510"/>
      <c r="O501" s="510"/>
      <c r="P501" s="510"/>
      <c r="Q501" s="510"/>
      <c r="R501" s="510"/>
      <c r="S501" s="510"/>
      <c r="T501" s="510"/>
      <c r="U501" s="510"/>
      <c r="V501" s="510"/>
      <c r="W501" s="510"/>
      <c r="X501" s="510"/>
      <c r="Y501" s="510"/>
      <c r="Z501" s="510"/>
      <c r="AA501" s="510"/>
      <c r="AB501" s="510"/>
      <c r="AC501" s="510"/>
      <c r="AD501" s="510"/>
    </row>
    <row r="502" ht="28.5" customHeight="1">
      <c r="A502" s="288"/>
      <c r="B502" s="510"/>
      <c r="C502" s="510"/>
      <c r="D502" s="288"/>
      <c r="E502" s="511"/>
      <c r="F502" s="510"/>
      <c r="G502" s="510"/>
      <c r="H502" s="510"/>
      <c r="I502" s="510"/>
      <c r="J502" s="510"/>
      <c r="K502" s="510"/>
      <c r="L502" s="510"/>
      <c r="M502" s="510"/>
      <c r="N502" s="510"/>
      <c r="O502" s="510"/>
      <c r="P502" s="510"/>
      <c r="Q502" s="510"/>
      <c r="R502" s="510"/>
      <c r="S502" s="510"/>
      <c r="T502" s="510"/>
      <c r="U502" s="510"/>
      <c r="V502" s="510"/>
      <c r="W502" s="510"/>
      <c r="X502" s="510"/>
      <c r="Y502" s="510"/>
      <c r="Z502" s="510"/>
      <c r="AA502" s="510"/>
      <c r="AB502" s="510"/>
      <c r="AC502" s="510"/>
      <c r="AD502" s="510"/>
    </row>
    <row r="503" ht="28.5" customHeight="1">
      <c r="A503" s="288"/>
      <c r="B503" s="510"/>
      <c r="C503" s="510"/>
      <c r="D503" s="288"/>
      <c r="E503" s="511"/>
      <c r="F503" s="510"/>
      <c r="G503" s="510"/>
      <c r="H503" s="510"/>
      <c r="I503" s="510"/>
      <c r="J503" s="510"/>
      <c r="K503" s="510"/>
      <c r="L503" s="510"/>
      <c r="M503" s="510"/>
      <c r="N503" s="510"/>
      <c r="O503" s="510"/>
      <c r="P503" s="510"/>
      <c r="Q503" s="510"/>
      <c r="R503" s="510"/>
      <c r="S503" s="510"/>
      <c r="T503" s="510"/>
      <c r="U503" s="510"/>
      <c r="V503" s="510"/>
      <c r="W503" s="510"/>
      <c r="X503" s="510"/>
      <c r="Y503" s="510"/>
      <c r="Z503" s="510"/>
      <c r="AA503" s="510"/>
      <c r="AB503" s="510"/>
      <c r="AC503" s="510"/>
      <c r="AD503" s="510"/>
    </row>
    <row r="504" ht="28.5" customHeight="1">
      <c r="A504" s="288"/>
      <c r="B504" s="510"/>
      <c r="C504" s="510"/>
      <c r="D504" s="288"/>
      <c r="E504" s="511"/>
      <c r="F504" s="510"/>
      <c r="G504" s="510"/>
      <c r="H504" s="510"/>
      <c r="I504" s="510"/>
      <c r="J504" s="510"/>
      <c r="K504" s="510"/>
      <c r="L504" s="510"/>
      <c r="M504" s="510"/>
      <c r="N504" s="510"/>
      <c r="O504" s="510"/>
      <c r="P504" s="510"/>
      <c r="Q504" s="510"/>
      <c r="R504" s="510"/>
      <c r="S504" s="510"/>
      <c r="T504" s="510"/>
      <c r="U504" s="510"/>
      <c r="V504" s="510"/>
      <c r="W504" s="510"/>
      <c r="X504" s="510"/>
      <c r="Y504" s="510"/>
      <c r="Z504" s="510"/>
      <c r="AA504" s="510"/>
      <c r="AB504" s="510"/>
      <c r="AC504" s="510"/>
      <c r="AD504" s="510"/>
    </row>
    <row r="505" ht="28.5" customHeight="1">
      <c r="A505" s="288"/>
      <c r="B505" s="510"/>
      <c r="C505" s="510"/>
      <c r="D505" s="288"/>
      <c r="E505" s="511"/>
      <c r="F505" s="510"/>
      <c r="G505" s="510"/>
      <c r="H505" s="510"/>
      <c r="I505" s="510"/>
      <c r="J505" s="510"/>
      <c r="K505" s="510"/>
      <c r="L505" s="510"/>
      <c r="M505" s="510"/>
      <c r="N505" s="510"/>
      <c r="O505" s="510"/>
      <c r="P505" s="510"/>
      <c r="Q505" s="510"/>
      <c r="R505" s="510"/>
      <c r="S505" s="510"/>
      <c r="T505" s="510"/>
      <c r="U505" s="510"/>
      <c r="V505" s="510"/>
      <c r="W505" s="510"/>
      <c r="X505" s="510"/>
      <c r="Y505" s="510"/>
      <c r="Z505" s="510"/>
      <c r="AA505" s="510"/>
      <c r="AB505" s="510"/>
      <c r="AC505" s="510"/>
      <c r="AD505" s="510"/>
    </row>
    <row r="506" ht="28.5" customHeight="1">
      <c r="A506" s="288"/>
      <c r="B506" s="510"/>
      <c r="C506" s="510"/>
      <c r="D506" s="288"/>
      <c r="E506" s="511"/>
      <c r="F506" s="510"/>
      <c r="G506" s="510"/>
      <c r="H506" s="510"/>
      <c r="I506" s="510"/>
      <c r="J506" s="510"/>
      <c r="K506" s="510"/>
      <c r="L506" s="510"/>
      <c r="M506" s="510"/>
      <c r="N506" s="510"/>
      <c r="O506" s="510"/>
      <c r="P506" s="510"/>
      <c r="Q506" s="510"/>
      <c r="R506" s="510"/>
      <c r="S506" s="510"/>
      <c r="T506" s="510"/>
      <c r="U506" s="510"/>
      <c r="V506" s="510"/>
      <c r="W506" s="510"/>
      <c r="X506" s="510"/>
      <c r="Y506" s="510"/>
      <c r="Z506" s="510"/>
      <c r="AA506" s="510"/>
      <c r="AB506" s="510"/>
      <c r="AC506" s="510"/>
      <c r="AD506" s="510"/>
    </row>
    <row r="507" ht="28.5" customHeight="1">
      <c r="A507" s="288"/>
      <c r="B507" s="510"/>
      <c r="C507" s="510"/>
      <c r="D507" s="288"/>
      <c r="E507" s="511"/>
      <c r="F507" s="510"/>
      <c r="G507" s="510"/>
      <c r="H507" s="510"/>
      <c r="I507" s="510"/>
      <c r="J507" s="510"/>
      <c r="K507" s="510"/>
      <c r="L507" s="510"/>
      <c r="M507" s="510"/>
      <c r="N507" s="510"/>
      <c r="O507" s="510"/>
      <c r="P507" s="510"/>
      <c r="Q507" s="510"/>
      <c r="R507" s="510"/>
      <c r="S507" s="510"/>
      <c r="T507" s="510"/>
      <c r="U507" s="510"/>
      <c r="V507" s="510"/>
      <c r="W507" s="510"/>
      <c r="X507" s="510"/>
      <c r="Y507" s="510"/>
      <c r="Z507" s="510"/>
      <c r="AA507" s="510"/>
      <c r="AB507" s="510"/>
      <c r="AC507" s="510"/>
      <c r="AD507" s="510"/>
    </row>
    <row r="508" ht="28.5" customHeight="1">
      <c r="A508" s="288"/>
      <c r="B508" s="510"/>
      <c r="C508" s="510"/>
      <c r="D508" s="288"/>
      <c r="E508" s="511"/>
      <c r="F508" s="510"/>
      <c r="G508" s="510"/>
      <c r="H508" s="510"/>
      <c r="I508" s="510"/>
      <c r="J508" s="510"/>
      <c r="K508" s="510"/>
      <c r="L508" s="510"/>
      <c r="M508" s="510"/>
      <c r="N508" s="510"/>
      <c r="O508" s="510"/>
      <c r="P508" s="510"/>
      <c r="Q508" s="510"/>
      <c r="R508" s="510"/>
      <c r="S508" s="510"/>
      <c r="T508" s="510"/>
      <c r="U508" s="510"/>
      <c r="V508" s="510"/>
      <c r="W508" s="510"/>
      <c r="X508" s="510"/>
      <c r="Y508" s="510"/>
      <c r="Z508" s="510"/>
      <c r="AA508" s="510"/>
      <c r="AB508" s="510"/>
      <c r="AC508" s="510"/>
      <c r="AD508" s="510"/>
    </row>
    <row r="509" ht="28.5" customHeight="1">
      <c r="A509" s="288"/>
      <c r="B509" s="510"/>
      <c r="C509" s="510"/>
      <c r="D509" s="288"/>
      <c r="E509" s="511"/>
      <c r="F509" s="510"/>
      <c r="G509" s="510"/>
      <c r="H509" s="510"/>
      <c r="I509" s="510"/>
      <c r="J509" s="510"/>
      <c r="K509" s="510"/>
      <c r="L509" s="510"/>
      <c r="M509" s="510"/>
      <c r="N509" s="510"/>
      <c r="O509" s="510"/>
      <c r="P509" s="510"/>
      <c r="Q509" s="510"/>
      <c r="R509" s="510"/>
      <c r="S509" s="510"/>
      <c r="T509" s="510"/>
      <c r="U509" s="510"/>
      <c r="V509" s="510"/>
      <c r="W509" s="510"/>
      <c r="X509" s="510"/>
      <c r="Y509" s="510"/>
      <c r="Z509" s="510"/>
      <c r="AA509" s="510"/>
      <c r="AB509" s="510"/>
      <c r="AC509" s="510"/>
      <c r="AD509" s="510"/>
    </row>
    <row r="510" ht="28.5" customHeight="1">
      <c r="A510" s="288"/>
      <c r="B510" s="510"/>
      <c r="C510" s="510"/>
      <c r="D510" s="288"/>
      <c r="E510" s="511"/>
      <c r="F510" s="510"/>
      <c r="G510" s="510"/>
      <c r="H510" s="510"/>
      <c r="I510" s="510"/>
      <c r="J510" s="510"/>
      <c r="K510" s="510"/>
      <c r="L510" s="510"/>
      <c r="M510" s="510"/>
      <c r="N510" s="510"/>
      <c r="O510" s="510"/>
      <c r="P510" s="510"/>
      <c r="Q510" s="510"/>
      <c r="R510" s="510"/>
      <c r="S510" s="510"/>
      <c r="T510" s="510"/>
      <c r="U510" s="510"/>
      <c r="V510" s="510"/>
      <c r="W510" s="510"/>
      <c r="X510" s="510"/>
      <c r="Y510" s="510"/>
      <c r="Z510" s="510"/>
      <c r="AA510" s="510"/>
      <c r="AB510" s="510"/>
      <c r="AC510" s="510"/>
      <c r="AD510" s="510"/>
    </row>
    <row r="511" ht="28.5" customHeight="1">
      <c r="A511" s="288"/>
      <c r="B511" s="510"/>
      <c r="C511" s="510"/>
      <c r="D511" s="288"/>
      <c r="E511" s="511"/>
      <c r="F511" s="510"/>
      <c r="G511" s="510"/>
      <c r="H511" s="510"/>
      <c r="I511" s="510"/>
      <c r="J511" s="510"/>
      <c r="K511" s="510"/>
      <c r="L511" s="510"/>
      <c r="M511" s="510"/>
      <c r="N511" s="510"/>
      <c r="O511" s="510"/>
      <c r="P511" s="510"/>
      <c r="Q511" s="510"/>
      <c r="R511" s="510"/>
      <c r="S511" s="510"/>
      <c r="T511" s="510"/>
      <c r="U511" s="510"/>
      <c r="V511" s="510"/>
      <c r="W511" s="510"/>
      <c r="X511" s="510"/>
      <c r="Y511" s="510"/>
      <c r="Z511" s="510"/>
      <c r="AA511" s="510"/>
      <c r="AB511" s="510"/>
      <c r="AC511" s="510"/>
      <c r="AD511" s="510"/>
    </row>
    <row r="512" ht="28.5" customHeight="1">
      <c r="A512" s="288"/>
      <c r="B512" s="510"/>
      <c r="C512" s="510"/>
      <c r="D512" s="288"/>
      <c r="E512" s="511"/>
      <c r="F512" s="510"/>
      <c r="G512" s="510"/>
      <c r="H512" s="510"/>
      <c r="I512" s="510"/>
      <c r="J512" s="510"/>
      <c r="K512" s="510"/>
      <c r="L512" s="510"/>
      <c r="M512" s="510"/>
      <c r="N512" s="510"/>
      <c r="O512" s="510"/>
      <c r="P512" s="510"/>
      <c r="Q512" s="510"/>
      <c r="R512" s="510"/>
      <c r="S512" s="510"/>
      <c r="T512" s="510"/>
      <c r="U512" s="510"/>
      <c r="V512" s="510"/>
      <c r="W512" s="510"/>
      <c r="X512" s="510"/>
      <c r="Y512" s="510"/>
      <c r="Z512" s="510"/>
      <c r="AA512" s="510"/>
      <c r="AB512" s="510"/>
      <c r="AC512" s="510"/>
      <c r="AD512" s="510"/>
    </row>
    <row r="513" ht="28.5" customHeight="1">
      <c r="A513" s="288"/>
      <c r="B513" s="510"/>
      <c r="C513" s="510"/>
      <c r="D513" s="288"/>
      <c r="E513" s="511"/>
      <c r="F513" s="510"/>
      <c r="G513" s="510"/>
      <c r="H513" s="510"/>
      <c r="I513" s="510"/>
      <c r="J513" s="510"/>
      <c r="K513" s="510"/>
      <c r="L513" s="510"/>
      <c r="M513" s="510"/>
      <c r="N513" s="510"/>
      <c r="O513" s="510"/>
      <c r="P513" s="510"/>
      <c r="Q513" s="510"/>
      <c r="R513" s="510"/>
      <c r="S513" s="510"/>
      <c r="T513" s="510"/>
      <c r="U513" s="510"/>
      <c r="V513" s="510"/>
      <c r="W513" s="510"/>
      <c r="X513" s="510"/>
      <c r="Y513" s="510"/>
      <c r="Z513" s="510"/>
      <c r="AA513" s="510"/>
      <c r="AB513" s="510"/>
      <c r="AC513" s="510"/>
      <c r="AD513" s="510"/>
    </row>
    <row r="514" ht="28.5" customHeight="1">
      <c r="A514" s="288"/>
      <c r="B514" s="510"/>
      <c r="C514" s="510"/>
      <c r="D514" s="288"/>
      <c r="E514" s="511"/>
      <c r="F514" s="510"/>
      <c r="G514" s="510"/>
      <c r="H514" s="510"/>
      <c r="I514" s="510"/>
      <c r="J514" s="510"/>
      <c r="K514" s="510"/>
      <c r="L514" s="510"/>
      <c r="M514" s="510"/>
      <c r="N514" s="510"/>
      <c r="O514" s="510"/>
      <c r="P514" s="510"/>
      <c r="Q514" s="510"/>
      <c r="R514" s="510"/>
      <c r="S514" s="510"/>
      <c r="T514" s="510"/>
      <c r="U514" s="510"/>
      <c r="V514" s="510"/>
      <c r="W514" s="510"/>
      <c r="X514" s="510"/>
      <c r="Y514" s="510"/>
      <c r="Z514" s="510"/>
      <c r="AA514" s="510"/>
      <c r="AB514" s="510"/>
      <c r="AC514" s="510"/>
      <c r="AD514" s="510"/>
    </row>
    <row r="515" ht="28.5" customHeight="1">
      <c r="A515" s="288"/>
      <c r="B515" s="510"/>
      <c r="C515" s="510"/>
      <c r="D515" s="288"/>
      <c r="E515" s="511"/>
      <c r="F515" s="510"/>
      <c r="G515" s="510"/>
      <c r="H515" s="510"/>
      <c r="I515" s="510"/>
      <c r="J515" s="510"/>
      <c r="K515" s="510"/>
      <c r="L515" s="510"/>
      <c r="M515" s="510"/>
      <c r="N515" s="510"/>
      <c r="O515" s="510"/>
      <c r="P515" s="510"/>
      <c r="Q515" s="510"/>
      <c r="R515" s="510"/>
      <c r="S515" s="510"/>
      <c r="T515" s="510"/>
      <c r="U515" s="510"/>
      <c r="V515" s="510"/>
      <c r="W515" s="510"/>
      <c r="X515" s="510"/>
      <c r="Y515" s="510"/>
      <c r="Z515" s="510"/>
      <c r="AA515" s="510"/>
      <c r="AB515" s="510"/>
      <c r="AC515" s="510"/>
      <c r="AD515" s="510"/>
    </row>
    <row r="516" ht="28.5" customHeight="1">
      <c r="A516" s="288"/>
      <c r="B516" s="510"/>
      <c r="C516" s="510"/>
      <c r="D516" s="288"/>
      <c r="E516" s="511"/>
      <c r="F516" s="510"/>
      <c r="G516" s="510"/>
      <c r="H516" s="510"/>
      <c r="I516" s="510"/>
      <c r="J516" s="510"/>
      <c r="K516" s="510"/>
      <c r="L516" s="510"/>
      <c r="M516" s="510"/>
      <c r="N516" s="510"/>
      <c r="O516" s="510"/>
      <c r="P516" s="510"/>
      <c r="Q516" s="510"/>
      <c r="R516" s="510"/>
      <c r="S516" s="510"/>
      <c r="T516" s="510"/>
      <c r="U516" s="510"/>
      <c r="V516" s="510"/>
      <c r="W516" s="510"/>
      <c r="X516" s="510"/>
      <c r="Y516" s="510"/>
      <c r="Z516" s="510"/>
      <c r="AA516" s="510"/>
      <c r="AB516" s="510"/>
      <c r="AC516" s="510"/>
      <c r="AD516" s="510"/>
    </row>
    <row r="517" ht="28.5" customHeight="1">
      <c r="A517" s="288"/>
      <c r="B517" s="510"/>
      <c r="C517" s="510"/>
      <c r="D517" s="288"/>
      <c r="E517" s="511"/>
      <c r="F517" s="510"/>
      <c r="G517" s="510"/>
      <c r="H517" s="510"/>
      <c r="I517" s="510"/>
      <c r="J517" s="510"/>
      <c r="K517" s="510"/>
      <c r="L517" s="510"/>
      <c r="M517" s="510"/>
      <c r="N517" s="510"/>
      <c r="O517" s="510"/>
      <c r="P517" s="510"/>
      <c r="Q517" s="510"/>
      <c r="R517" s="510"/>
      <c r="S517" s="510"/>
      <c r="T517" s="510"/>
      <c r="U517" s="510"/>
      <c r="V517" s="510"/>
      <c r="W517" s="510"/>
      <c r="X517" s="510"/>
      <c r="Y517" s="510"/>
      <c r="Z517" s="510"/>
      <c r="AA517" s="510"/>
      <c r="AB517" s="510"/>
      <c r="AC517" s="510"/>
      <c r="AD517" s="510"/>
    </row>
    <row r="518" ht="28.5" customHeight="1">
      <c r="A518" s="288"/>
      <c r="B518" s="510"/>
      <c r="C518" s="510"/>
      <c r="D518" s="288"/>
      <c r="E518" s="511"/>
      <c r="F518" s="510"/>
      <c r="G518" s="510"/>
      <c r="H518" s="510"/>
      <c r="I518" s="510"/>
      <c r="J518" s="510"/>
      <c r="K518" s="510"/>
      <c r="L518" s="510"/>
      <c r="M518" s="510"/>
      <c r="N518" s="510"/>
      <c r="O518" s="510"/>
      <c r="P518" s="510"/>
      <c r="Q518" s="510"/>
      <c r="R518" s="510"/>
      <c r="S518" s="510"/>
      <c r="T518" s="510"/>
      <c r="U518" s="510"/>
      <c r="V518" s="510"/>
      <c r="W518" s="510"/>
      <c r="X518" s="510"/>
      <c r="Y518" s="510"/>
      <c r="Z518" s="510"/>
      <c r="AA518" s="510"/>
      <c r="AB518" s="510"/>
      <c r="AC518" s="510"/>
      <c r="AD518" s="510"/>
    </row>
    <row r="519" ht="28.5" customHeight="1">
      <c r="A519" s="288"/>
      <c r="B519" s="510"/>
      <c r="C519" s="510"/>
      <c r="D519" s="288"/>
      <c r="E519" s="511"/>
      <c r="F519" s="510"/>
      <c r="G519" s="510"/>
      <c r="H519" s="510"/>
      <c r="I519" s="510"/>
      <c r="J519" s="510"/>
      <c r="K519" s="510"/>
      <c r="L519" s="510"/>
      <c r="M519" s="510"/>
      <c r="N519" s="510"/>
      <c r="O519" s="510"/>
      <c r="P519" s="510"/>
      <c r="Q519" s="510"/>
      <c r="R519" s="510"/>
      <c r="S519" s="510"/>
      <c r="T519" s="510"/>
      <c r="U519" s="510"/>
      <c r="V519" s="510"/>
      <c r="W519" s="510"/>
      <c r="X519" s="510"/>
      <c r="Y519" s="510"/>
      <c r="Z519" s="510"/>
      <c r="AA519" s="510"/>
      <c r="AB519" s="510"/>
      <c r="AC519" s="510"/>
      <c r="AD519" s="510"/>
    </row>
    <row r="520" ht="28.5" customHeight="1">
      <c r="A520" s="288"/>
      <c r="B520" s="510"/>
      <c r="C520" s="510"/>
      <c r="D520" s="288"/>
      <c r="E520" s="511"/>
      <c r="F520" s="510"/>
      <c r="G520" s="510"/>
      <c r="H520" s="510"/>
      <c r="I520" s="510"/>
      <c r="J520" s="510"/>
      <c r="K520" s="510"/>
      <c r="L520" s="510"/>
      <c r="M520" s="510"/>
      <c r="N520" s="510"/>
      <c r="O520" s="510"/>
      <c r="P520" s="510"/>
      <c r="Q520" s="510"/>
      <c r="R520" s="510"/>
      <c r="S520" s="510"/>
      <c r="T520" s="510"/>
      <c r="U520" s="510"/>
      <c r="V520" s="510"/>
      <c r="W520" s="510"/>
      <c r="X520" s="510"/>
      <c r="Y520" s="510"/>
      <c r="Z520" s="510"/>
      <c r="AA520" s="510"/>
      <c r="AB520" s="510"/>
      <c r="AC520" s="510"/>
      <c r="AD520" s="510"/>
    </row>
    <row r="521" ht="28.5" customHeight="1">
      <c r="A521" s="288"/>
      <c r="B521" s="510"/>
      <c r="C521" s="510"/>
      <c r="D521" s="288"/>
      <c r="E521" s="511"/>
      <c r="F521" s="510"/>
      <c r="G521" s="510"/>
      <c r="H521" s="510"/>
      <c r="I521" s="510"/>
      <c r="J521" s="510"/>
      <c r="K521" s="510"/>
      <c r="L521" s="510"/>
      <c r="M521" s="510"/>
      <c r="N521" s="510"/>
      <c r="O521" s="510"/>
      <c r="P521" s="510"/>
      <c r="Q521" s="510"/>
      <c r="R521" s="510"/>
      <c r="S521" s="510"/>
      <c r="T521" s="510"/>
      <c r="U521" s="510"/>
      <c r="V521" s="510"/>
      <c r="W521" s="510"/>
      <c r="X521" s="510"/>
      <c r="Y521" s="510"/>
      <c r="Z521" s="510"/>
      <c r="AA521" s="510"/>
      <c r="AB521" s="510"/>
      <c r="AC521" s="510"/>
      <c r="AD521" s="510"/>
    </row>
    <row r="522" ht="28.5" customHeight="1">
      <c r="A522" s="288"/>
      <c r="B522" s="510"/>
      <c r="C522" s="510"/>
      <c r="D522" s="288"/>
      <c r="E522" s="511"/>
      <c r="F522" s="510"/>
      <c r="G522" s="510"/>
      <c r="H522" s="510"/>
      <c r="I522" s="510"/>
      <c r="J522" s="510"/>
      <c r="K522" s="510"/>
      <c r="L522" s="510"/>
      <c r="M522" s="510"/>
      <c r="N522" s="510"/>
      <c r="O522" s="510"/>
      <c r="P522" s="510"/>
      <c r="Q522" s="510"/>
      <c r="R522" s="510"/>
      <c r="S522" s="510"/>
      <c r="T522" s="510"/>
      <c r="U522" s="510"/>
      <c r="V522" s="510"/>
      <c r="W522" s="510"/>
      <c r="X522" s="510"/>
      <c r="Y522" s="510"/>
      <c r="Z522" s="510"/>
      <c r="AA522" s="510"/>
      <c r="AB522" s="510"/>
      <c r="AC522" s="510"/>
      <c r="AD522" s="510"/>
    </row>
    <row r="523" ht="28.5" customHeight="1">
      <c r="A523" s="288"/>
      <c r="B523" s="510"/>
      <c r="C523" s="510"/>
      <c r="D523" s="288"/>
      <c r="E523" s="511"/>
      <c r="F523" s="510"/>
      <c r="G523" s="510"/>
      <c r="H523" s="510"/>
      <c r="I523" s="510"/>
      <c r="J523" s="510"/>
      <c r="K523" s="510"/>
      <c r="L523" s="510"/>
      <c r="M523" s="510"/>
      <c r="N523" s="510"/>
      <c r="O523" s="510"/>
      <c r="P523" s="510"/>
      <c r="Q523" s="510"/>
      <c r="R523" s="510"/>
      <c r="S523" s="510"/>
      <c r="T523" s="510"/>
      <c r="U523" s="510"/>
      <c r="V523" s="510"/>
      <c r="W523" s="510"/>
      <c r="X523" s="510"/>
      <c r="Y523" s="510"/>
      <c r="Z523" s="510"/>
      <c r="AA523" s="510"/>
      <c r="AB523" s="510"/>
      <c r="AC523" s="510"/>
      <c r="AD523" s="510"/>
    </row>
    <row r="524" ht="28.5" customHeight="1">
      <c r="A524" s="288"/>
      <c r="B524" s="510"/>
      <c r="C524" s="510"/>
      <c r="D524" s="288"/>
      <c r="E524" s="511"/>
      <c r="F524" s="510"/>
      <c r="G524" s="510"/>
      <c r="H524" s="510"/>
      <c r="I524" s="510"/>
      <c r="J524" s="510"/>
      <c r="K524" s="510"/>
      <c r="L524" s="510"/>
      <c r="M524" s="510"/>
      <c r="N524" s="510"/>
      <c r="O524" s="510"/>
      <c r="P524" s="510"/>
      <c r="Q524" s="510"/>
      <c r="R524" s="510"/>
      <c r="S524" s="510"/>
      <c r="T524" s="510"/>
      <c r="U524" s="510"/>
      <c r="V524" s="510"/>
      <c r="W524" s="510"/>
      <c r="X524" s="510"/>
      <c r="Y524" s="510"/>
      <c r="Z524" s="510"/>
      <c r="AA524" s="510"/>
      <c r="AB524" s="510"/>
      <c r="AC524" s="510"/>
      <c r="AD524" s="510"/>
    </row>
    <row r="525" ht="28.5" customHeight="1">
      <c r="A525" s="288"/>
      <c r="B525" s="510"/>
      <c r="C525" s="510"/>
      <c r="D525" s="288"/>
      <c r="E525" s="511"/>
      <c r="F525" s="510"/>
      <c r="G525" s="510"/>
      <c r="H525" s="510"/>
      <c r="I525" s="510"/>
      <c r="J525" s="510"/>
      <c r="K525" s="510"/>
      <c r="L525" s="510"/>
      <c r="M525" s="510"/>
      <c r="N525" s="510"/>
      <c r="O525" s="510"/>
      <c r="P525" s="510"/>
      <c r="Q525" s="510"/>
      <c r="R525" s="510"/>
      <c r="S525" s="510"/>
      <c r="T525" s="510"/>
      <c r="U525" s="510"/>
      <c r="V525" s="510"/>
      <c r="W525" s="510"/>
      <c r="X525" s="510"/>
      <c r="Y525" s="510"/>
      <c r="Z525" s="510"/>
      <c r="AA525" s="510"/>
      <c r="AB525" s="510"/>
      <c r="AC525" s="510"/>
      <c r="AD525" s="510"/>
    </row>
    <row r="526" ht="28.5" customHeight="1">
      <c r="A526" s="288"/>
      <c r="B526" s="510"/>
      <c r="C526" s="510"/>
      <c r="D526" s="288"/>
      <c r="E526" s="511"/>
      <c r="F526" s="510"/>
      <c r="G526" s="510"/>
      <c r="H526" s="510"/>
      <c r="I526" s="510"/>
      <c r="J526" s="510"/>
      <c r="K526" s="510"/>
      <c r="L526" s="510"/>
      <c r="M526" s="510"/>
      <c r="N526" s="510"/>
      <c r="O526" s="510"/>
      <c r="P526" s="510"/>
      <c r="Q526" s="510"/>
      <c r="R526" s="510"/>
      <c r="S526" s="510"/>
      <c r="T526" s="510"/>
      <c r="U526" s="510"/>
      <c r="V526" s="510"/>
      <c r="W526" s="510"/>
      <c r="X526" s="510"/>
      <c r="Y526" s="510"/>
      <c r="Z526" s="510"/>
      <c r="AA526" s="510"/>
      <c r="AB526" s="510"/>
      <c r="AC526" s="510"/>
      <c r="AD526" s="510"/>
    </row>
    <row r="527" ht="28.5" customHeight="1">
      <c r="A527" s="288"/>
      <c r="B527" s="510"/>
      <c r="C527" s="510"/>
      <c r="D527" s="288"/>
      <c r="E527" s="511"/>
      <c r="F527" s="510"/>
      <c r="G527" s="510"/>
      <c r="H527" s="510"/>
      <c r="I527" s="510"/>
      <c r="J527" s="510"/>
      <c r="K527" s="510"/>
      <c r="L527" s="510"/>
      <c r="M527" s="510"/>
      <c r="N527" s="510"/>
      <c r="O527" s="510"/>
      <c r="P527" s="510"/>
      <c r="Q527" s="510"/>
      <c r="R527" s="510"/>
      <c r="S527" s="510"/>
      <c r="T527" s="510"/>
      <c r="U527" s="510"/>
      <c r="V527" s="510"/>
      <c r="W527" s="510"/>
      <c r="X527" s="510"/>
      <c r="Y527" s="510"/>
      <c r="Z527" s="510"/>
      <c r="AA527" s="510"/>
      <c r="AB527" s="510"/>
      <c r="AC527" s="510"/>
      <c r="AD527" s="510"/>
    </row>
    <row r="528" ht="28.5" customHeight="1">
      <c r="A528" s="288"/>
      <c r="B528" s="510"/>
      <c r="C528" s="510"/>
      <c r="D528" s="288"/>
      <c r="E528" s="511"/>
      <c r="F528" s="510"/>
      <c r="G528" s="510"/>
      <c r="H528" s="510"/>
      <c r="I528" s="510"/>
      <c r="J528" s="510"/>
      <c r="K528" s="510"/>
      <c r="L528" s="510"/>
      <c r="M528" s="510"/>
      <c r="N528" s="510"/>
      <c r="O528" s="510"/>
      <c r="P528" s="510"/>
      <c r="Q528" s="510"/>
      <c r="R528" s="510"/>
      <c r="S528" s="510"/>
      <c r="T528" s="510"/>
      <c r="U528" s="510"/>
      <c r="V528" s="510"/>
      <c r="W528" s="510"/>
      <c r="X528" s="510"/>
      <c r="Y528" s="510"/>
      <c r="Z528" s="510"/>
      <c r="AA528" s="510"/>
      <c r="AB528" s="510"/>
      <c r="AC528" s="510"/>
      <c r="AD528" s="510"/>
    </row>
    <row r="529" ht="28.5" customHeight="1">
      <c r="A529" s="288"/>
      <c r="B529" s="510"/>
      <c r="C529" s="510"/>
      <c r="D529" s="288"/>
      <c r="E529" s="511"/>
      <c r="F529" s="510"/>
      <c r="G529" s="510"/>
      <c r="H529" s="510"/>
      <c r="I529" s="510"/>
      <c r="J529" s="510"/>
      <c r="K529" s="510"/>
      <c r="L529" s="510"/>
      <c r="M529" s="510"/>
      <c r="N529" s="510"/>
      <c r="O529" s="510"/>
      <c r="P529" s="510"/>
      <c r="Q529" s="510"/>
      <c r="R529" s="510"/>
      <c r="S529" s="510"/>
      <c r="T529" s="510"/>
      <c r="U529" s="510"/>
      <c r="V529" s="510"/>
      <c r="W529" s="510"/>
      <c r="X529" s="510"/>
      <c r="Y529" s="510"/>
      <c r="Z529" s="510"/>
      <c r="AA529" s="510"/>
      <c r="AB529" s="510"/>
      <c r="AC529" s="510"/>
      <c r="AD529" s="510"/>
    </row>
    <row r="530" ht="28.5" customHeight="1">
      <c r="A530" s="288"/>
      <c r="B530" s="510"/>
      <c r="C530" s="510"/>
      <c r="D530" s="288"/>
      <c r="E530" s="511"/>
      <c r="F530" s="510"/>
      <c r="G530" s="510"/>
      <c r="H530" s="510"/>
      <c r="I530" s="510"/>
      <c r="J530" s="510"/>
      <c r="K530" s="510"/>
      <c r="L530" s="510"/>
      <c r="M530" s="510"/>
      <c r="N530" s="510"/>
      <c r="O530" s="510"/>
      <c r="P530" s="510"/>
      <c r="Q530" s="510"/>
      <c r="R530" s="510"/>
      <c r="S530" s="510"/>
      <c r="T530" s="510"/>
      <c r="U530" s="510"/>
      <c r="V530" s="510"/>
      <c r="W530" s="510"/>
      <c r="X530" s="510"/>
      <c r="Y530" s="510"/>
      <c r="Z530" s="510"/>
      <c r="AA530" s="510"/>
      <c r="AB530" s="510"/>
      <c r="AC530" s="510"/>
      <c r="AD530" s="510"/>
    </row>
    <row r="531" ht="28.5" customHeight="1">
      <c r="A531" s="288"/>
      <c r="B531" s="510"/>
      <c r="C531" s="510"/>
      <c r="D531" s="288"/>
      <c r="E531" s="511"/>
      <c r="F531" s="510"/>
      <c r="G531" s="510"/>
      <c r="H531" s="510"/>
      <c r="I531" s="510"/>
      <c r="J531" s="510"/>
      <c r="K531" s="510"/>
      <c r="L531" s="510"/>
      <c r="M531" s="510"/>
      <c r="N531" s="510"/>
      <c r="O531" s="510"/>
      <c r="P531" s="510"/>
      <c r="Q531" s="510"/>
      <c r="R531" s="510"/>
      <c r="S531" s="510"/>
      <c r="T531" s="510"/>
      <c r="U531" s="510"/>
      <c r="V531" s="510"/>
      <c r="W531" s="510"/>
      <c r="X531" s="510"/>
      <c r="Y531" s="510"/>
      <c r="Z531" s="510"/>
      <c r="AA531" s="510"/>
      <c r="AB531" s="510"/>
      <c r="AC531" s="510"/>
      <c r="AD531" s="510"/>
    </row>
    <row r="532" ht="28.5" customHeight="1">
      <c r="A532" s="288"/>
      <c r="B532" s="510"/>
      <c r="C532" s="510"/>
      <c r="D532" s="288"/>
      <c r="E532" s="511"/>
      <c r="F532" s="510"/>
      <c r="G532" s="510"/>
      <c r="H532" s="510"/>
      <c r="I532" s="510"/>
      <c r="J532" s="510"/>
      <c r="K532" s="510"/>
      <c r="L532" s="510"/>
      <c r="M532" s="510"/>
      <c r="N532" s="510"/>
      <c r="O532" s="510"/>
      <c r="P532" s="510"/>
      <c r="Q532" s="510"/>
      <c r="R532" s="510"/>
      <c r="S532" s="510"/>
      <c r="T532" s="510"/>
      <c r="U532" s="510"/>
      <c r="V532" s="510"/>
      <c r="W532" s="510"/>
      <c r="X532" s="510"/>
      <c r="Y532" s="510"/>
      <c r="Z532" s="510"/>
      <c r="AA532" s="510"/>
      <c r="AB532" s="510"/>
      <c r="AC532" s="510"/>
      <c r="AD532" s="510"/>
    </row>
    <row r="533" ht="28.5" customHeight="1">
      <c r="A533" s="288"/>
      <c r="B533" s="510"/>
      <c r="C533" s="510"/>
      <c r="D533" s="288"/>
      <c r="E533" s="511"/>
      <c r="F533" s="510"/>
      <c r="G533" s="510"/>
      <c r="H533" s="510"/>
      <c r="I533" s="510"/>
      <c r="J533" s="510"/>
      <c r="K533" s="510"/>
      <c r="L533" s="510"/>
      <c r="M533" s="510"/>
      <c r="N533" s="510"/>
      <c r="O533" s="510"/>
      <c r="P533" s="510"/>
      <c r="Q533" s="510"/>
      <c r="R533" s="510"/>
      <c r="S533" s="510"/>
      <c r="T533" s="510"/>
      <c r="U533" s="510"/>
      <c r="V533" s="510"/>
      <c r="W533" s="510"/>
      <c r="X533" s="510"/>
      <c r="Y533" s="510"/>
      <c r="Z533" s="510"/>
      <c r="AA533" s="510"/>
      <c r="AB533" s="510"/>
      <c r="AC533" s="510"/>
      <c r="AD533" s="510"/>
    </row>
    <row r="534" ht="28.5" customHeight="1">
      <c r="A534" s="288"/>
      <c r="B534" s="510"/>
      <c r="C534" s="510"/>
      <c r="D534" s="288"/>
      <c r="E534" s="511"/>
      <c r="F534" s="510"/>
      <c r="G534" s="510"/>
      <c r="H534" s="510"/>
      <c r="I534" s="510"/>
      <c r="J534" s="510"/>
      <c r="K534" s="510"/>
      <c r="L534" s="510"/>
      <c r="M534" s="510"/>
      <c r="N534" s="510"/>
      <c r="O534" s="510"/>
      <c r="P534" s="510"/>
      <c r="Q534" s="510"/>
      <c r="R534" s="510"/>
      <c r="S534" s="510"/>
      <c r="T534" s="510"/>
      <c r="U534" s="510"/>
      <c r="V534" s="510"/>
      <c r="W534" s="510"/>
      <c r="X534" s="510"/>
      <c r="Y534" s="510"/>
      <c r="Z534" s="510"/>
      <c r="AA534" s="510"/>
      <c r="AB534" s="510"/>
      <c r="AC534" s="510"/>
      <c r="AD534" s="510"/>
    </row>
    <row r="535" ht="28.5" customHeight="1">
      <c r="A535" s="288"/>
      <c r="B535" s="510"/>
      <c r="C535" s="510"/>
      <c r="D535" s="288"/>
      <c r="E535" s="511"/>
      <c r="F535" s="510"/>
      <c r="G535" s="510"/>
      <c r="H535" s="510"/>
      <c r="I535" s="510"/>
      <c r="J535" s="510"/>
      <c r="K535" s="510"/>
      <c r="L535" s="510"/>
      <c r="M535" s="510"/>
      <c r="N535" s="510"/>
      <c r="O535" s="510"/>
      <c r="P535" s="510"/>
      <c r="Q535" s="510"/>
      <c r="R535" s="510"/>
      <c r="S535" s="510"/>
      <c r="T535" s="510"/>
      <c r="U535" s="510"/>
      <c r="V535" s="510"/>
      <c r="W535" s="510"/>
      <c r="X535" s="510"/>
      <c r="Y535" s="510"/>
      <c r="Z535" s="510"/>
      <c r="AA535" s="510"/>
      <c r="AB535" s="510"/>
      <c r="AC535" s="510"/>
      <c r="AD535" s="510"/>
    </row>
    <row r="536" ht="28.5" customHeight="1">
      <c r="A536" s="288"/>
      <c r="B536" s="510"/>
      <c r="C536" s="510"/>
      <c r="D536" s="288"/>
      <c r="E536" s="511"/>
      <c r="F536" s="510"/>
      <c r="G536" s="510"/>
      <c r="H536" s="510"/>
      <c r="I536" s="510"/>
      <c r="J536" s="510"/>
      <c r="K536" s="510"/>
      <c r="L536" s="510"/>
      <c r="M536" s="510"/>
      <c r="N536" s="510"/>
      <c r="O536" s="510"/>
      <c r="P536" s="510"/>
      <c r="Q536" s="510"/>
      <c r="R536" s="510"/>
      <c r="S536" s="510"/>
      <c r="T536" s="510"/>
      <c r="U536" s="510"/>
      <c r="V536" s="510"/>
      <c r="W536" s="510"/>
      <c r="X536" s="510"/>
      <c r="Y536" s="510"/>
      <c r="Z536" s="510"/>
      <c r="AA536" s="510"/>
      <c r="AB536" s="510"/>
      <c r="AC536" s="510"/>
      <c r="AD536" s="510"/>
    </row>
    <row r="537" ht="28.5" customHeight="1">
      <c r="A537" s="288"/>
      <c r="B537" s="510"/>
      <c r="C537" s="510"/>
      <c r="D537" s="288"/>
      <c r="E537" s="511"/>
      <c r="F537" s="510"/>
      <c r="G537" s="510"/>
      <c r="H537" s="510"/>
      <c r="I537" s="510"/>
      <c r="J537" s="510"/>
      <c r="K537" s="510"/>
      <c r="L537" s="510"/>
      <c r="M537" s="510"/>
      <c r="N537" s="510"/>
      <c r="O537" s="510"/>
      <c r="P537" s="510"/>
      <c r="Q537" s="510"/>
      <c r="R537" s="510"/>
      <c r="S537" s="510"/>
      <c r="T537" s="510"/>
      <c r="U537" s="510"/>
      <c r="V537" s="510"/>
      <c r="W537" s="510"/>
      <c r="X537" s="510"/>
      <c r="Y537" s="510"/>
      <c r="Z537" s="510"/>
      <c r="AA537" s="510"/>
      <c r="AB537" s="510"/>
      <c r="AC537" s="510"/>
      <c r="AD537" s="510"/>
    </row>
    <row r="538" ht="28.5" customHeight="1">
      <c r="A538" s="288"/>
      <c r="B538" s="510"/>
      <c r="C538" s="510"/>
      <c r="D538" s="288"/>
      <c r="E538" s="511"/>
      <c r="F538" s="510"/>
      <c r="G538" s="510"/>
      <c r="H538" s="510"/>
      <c r="I538" s="510"/>
      <c r="J538" s="510"/>
      <c r="K538" s="510"/>
      <c r="L538" s="510"/>
      <c r="M538" s="510"/>
      <c r="N538" s="510"/>
      <c r="O538" s="510"/>
      <c r="P538" s="510"/>
      <c r="Q538" s="510"/>
      <c r="R538" s="510"/>
      <c r="S538" s="510"/>
      <c r="T538" s="510"/>
      <c r="U538" s="510"/>
      <c r="V538" s="510"/>
      <c r="W538" s="510"/>
      <c r="X538" s="510"/>
      <c r="Y538" s="510"/>
      <c r="Z538" s="510"/>
      <c r="AA538" s="510"/>
      <c r="AB538" s="510"/>
      <c r="AC538" s="510"/>
      <c r="AD538" s="510"/>
    </row>
    <row r="539" ht="28.5" customHeight="1">
      <c r="A539" s="288"/>
      <c r="B539" s="510"/>
      <c r="C539" s="510"/>
      <c r="D539" s="288"/>
      <c r="E539" s="511"/>
      <c r="F539" s="510"/>
      <c r="G539" s="510"/>
      <c r="H539" s="510"/>
      <c r="I539" s="510"/>
      <c r="J539" s="510"/>
      <c r="K539" s="510"/>
      <c r="L539" s="510"/>
      <c r="M539" s="510"/>
      <c r="N539" s="510"/>
      <c r="O539" s="510"/>
      <c r="P539" s="510"/>
      <c r="Q539" s="510"/>
      <c r="R539" s="510"/>
      <c r="S539" s="510"/>
      <c r="T539" s="510"/>
      <c r="U539" s="510"/>
      <c r="V539" s="510"/>
      <c r="W539" s="510"/>
      <c r="X539" s="510"/>
      <c r="Y539" s="510"/>
      <c r="Z539" s="510"/>
      <c r="AA539" s="510"/>
      <c r="AB539" s="510"/>
      <c r="AC539" s="510"/>
      <c r="AD539" s="510"/>
    </row>
    <row r="540" ht="28.5" customHeight="1">
      <c r="A540" s="288"/>
      <c r="B540" s="510"/>
      <c r="C540" s="510"/>
      <c r="D540" s="288"/>
      <c r="E540" s="511"/>
      <c r="F540" s="510"/>
      <c r="G540" s="510"/>
      <c r="H540" s="510"/>
      <c r="I540" s="510"/>
      <c r="J540" s="510"/>
      <c r="K540" s="510"/>
      <c r="L540" s="510"/>
      <c r="M540" s="510"/>
      <c r="N540" s="510"/>
      <c r="O540" s="510"/>
      <c r="P540" s="510"/>
      <c r="Q540" s="510"/>
      <c r="R540" s="510"/>
      <c r="S540" s="510"/>
      <c r="T540" s="510"/>
      <c r="U540" s="510"/>
      <c r="V540" s="510"/>
      <c r="W540" s="510"/>
      <c r="X540" s="510"/>
      <c r="Y540" s="510"/>
      <c r="Z540" s="510"/>
      <c r="AA540" s="510"/>
      <c r="AB540" s="510"/>
      <c r="AC540" s="510"/>
      <c r="AD540" s="510"/>
    </row>
    <row r="541" ht="28.5" customHeight="1">
      <c r="A541" s="288"/>
      <c r="B541" s="510"/>
      <c r="C541" s="510"/>
      <c r="D541" s="288"/>
      <c r="E541" s="511"/>
      <c r="F541" s="510"/>
      <c r="G541" s="510"/>
      <c r="H541" s="510"/>
      <c r="I541" s="510"/>
      <c r="J541" s="510"/>
      <c r="K541" s="510"/>
      <c r="L541" s="510"/>
      <c r="M541" s="510"/>
      <c r="N541" s="510"/>
      <c r="O541" s="510"/>
      <c r="P541" s="510"/>
      <c r="Q541" s="510"/>
      <c r="R541" s="510"/>
      <c r="S541" s="510"/>
      <c r="T541" s="510"/>
      <c r="U541" s="510"/>
      <c r="V541" s="510"/>
      <c r="W541" s="510"/>
      <c r="X541" s="510"/>
      <c r="Y541" s="510"/>
      <c r="Z541" s="510"/>
      <c r="AA541" s="510"/>
      <c r="AB541" s="510"/>
      <c r="AC541" s="510"/>
      <c r="AD541" s="510"/>
    </row>
    <row r="542" ht="28.5" customHeight="1">
      <c r="A542" s="288"/>
      <c r="B542" s="510"/>
      <c r="C542" s="510"/>
      <c r="D542" s="288"/>
      <c r="E542" s="511"/>
      <c r="F542" s="510"/>
      <c r="G542" s="510"/>
      <c r="H542" s="510"/>
      <c r="I542" s="510"/>
      <c r="J542" s="510"/>
      <c r="K542" s="510"/>
      <c r="L542" s="510"/>
      <c r="M542" s="510"/>
      <c r="N542" s="510"/>
      <c r="O542" s="510"/>
      <c r="P542" s="510"/>
      <c r="Q542" s="510"/>
      <c r="R542" s="510"/>
      <c r="S542" s="510"/>
      <c r="T542" s="510"/>
      <c r="U542" s="510"/>
      <c r="V542" s="510"/>
      <c r="W542" s="510"/>
      <c r="X542" s="510"/>
      <c r="Y542" s="510"/>
      <c r="Z542" s="510"/>
      <c r="AA542" s="510"/>
      <c r="AB542" s="510"/>
      <c r="AC542" s="510"/>
      <c r="AD542" s="510"/>
    </row>
    <row r="543" ht="28.5" customHeight="1">
      <c r="A543" s="288"/>
      <c r="B543" s="510"/>
      <c r="C543" s="510"/>
      <c r="D543" s="288"/>
      <c r="E543" s="511"/>
      <c r="F543" s="510"/>
      <c r="G543" s="510"/>
      <c r="H543" s="510"/>
      <c r="I543" s="510"/>
      <c r="J543" s="510"/>
      <c r="K543" s="510"/>
      <c r="L543" s="510"/>
      <c r="M543" s="510"/>
      <c r="N543" s="510"/>
      <c r="O543" s="510"/>
      <c r="P543" s="510"/>
      <c r="Q543" s="510"/>
      <c r="R543" s="510"/>
      <c r="S543" s="510"/>
      <c r="T543" s="510"/>
      <c r="U543" s="510"/>
      <c r="V543" s="510"/>
      <c r="W543" s="510"/>
      <c r="X543" s="510"/>
      <c r="Y543" s="510"/>
      <c r="Z543" s="510"/>
      <c r="AA543" s="510"/>
      <c r="AB543" s="510"/>
      <c r="AC543" s="510"/>
      <c r="AD543" s="510"/>
    </row>
    <row r="544" ht="28.5" customHeight="1">
      <c r="A544" s="288"/>
      <c r="B544" s="510"/>
      <c r="C544" s="510"/>
      <c r="D544" s="288"/>
      <c r="E544" s="511"/>
      <c r="F544" s="510"/>
      <c r="G544" s="510"/>
      <c r="H544" s="510"/>
      <c r="I544" s="510"/>
      <c r="J544" s="510"/>
      <c r="K544" s="510"/>
      <c r="L544" s="510"/>
      <c r="M544" s="510"/>
      <c r="N544" s="510"/>
      <c r="O544" s="510"/>
      <c r="P544" s="510"/>
      <c r="Q544" s="510"/>
      <c r="R544" s="510"/>
      <c r="S544" s="510"/>
      <c r="T544" s="510"/>
      <c r="U544" s="510"/>
      <c r="V544" s="510"/>
      <c r="W544" s="510"/>
      <c r="X544" s="510"/>
      <c r="Y544" s="510"/>
      <c r="Z544" s="510"/>
      <c r="AA544" s="510"/>
      <c r="AB544" s="510"/>
      <c r="AC544" s="510"/>
      <c r="AD544" s="510"/>
    </row>
    <row r="545" ht="28.5" customHeight="1">
      <c r="A545" s="288"/>
      <c r="B545" s="510"/>
      <c r="C545" s="510"/>
      <c r="D545" s="288"/>
      <c r="E545" s="511"/>
      <c r="F545" s="510"/>
      <c r="G545" s="510"/>
      <c r="H545" s="510"/>
      <c r="I545" s="510"/>
      <c r="J545" s="510"/>
      <c r="K545" s="510"/>
      <c r="L545" s="510"/>
      <c r="M545" s="510"/>
      <c r="N545" s="510"/>
      <c r="O545" s="510"/>
      <c r="P545" s="510"/>
      <c r="Q545" s="510"/>
      <c r="R545" s="510"/>
      <c r="S545" s="510"/>
      <c r="T545" s="510"/>
      <c r="U545" s="510"/>
      <c r="V545" s="510"/>
      <c r="W545" s="510"/>
      <c r="X545" s="510"/>
      <c r="Y545" s="510"/>
      <c r="Z545" s="510"/>
      <c r="AA545" s="510"/>
      <c r="AB545" s="510"/>
      <c r="AC545" s="510"/>
      <c r="AD545" s="510"/>
    </row>
    <row r="546" ht="28.5" customHeight="1">
      <c r="A546" s="288"/>
      <c r="B546" s="510"/>
      <c r="C546" s="510"/>
      <c r="D546" s="288"/>
      <c r="E546" s="511"/>
      <c r="F546" s="510"/>
      <c r="G546" s="510"/>
      <c r="H546" s="510"/>
      <c r="I546" s="510"/>
      <c r="J546" s="510"/>
      <c r="K546" s="510"/>
      <c r="L546" s="510"/>
      <c r="M546" s="510"/>
      <c r="N546" s="510"/>
      <c r="O546" s="510"/>
      <c r="P546" s="510"/>
      <c r="Q546" s="510"/>
      <c r="R546" s="510"/>
      <c r="S546" s="510"/>
      <c r="T546" s="510"/>
      <c r="U546" s="510"/>
      <c r="V546" s="510"/>
      <c r="W546" s="510"/>
      <c r="X546" s="510"/>
      <c r="Y546" s="510"/>
      <c r="Z546" s="510"/>
      <c r="AA546" s="510"/>
      <c r="AB546" s="510"/>
      <c r="AC546" s="510"/>
      <c r="AD546" s="510"/>
    </row>
    <row r="547" ht="28.5" customHeight="1">
      <c r="A547" s="288"/>
      <c r="B547" s="510"/>
      <c r="C547" s="510"/>
      <c r="D547" s="288"/>
      <c r="E547" s="511"/>
      <c r="F547" s="510"/>
      <c r="G547" s="510"/>
      <c r="H547" s="510"/>
      <c r="I547" s="510"/>
      <c r="J547" s="510"/>
      <c r="K547" s="510"/>
      <c r="L547" s="510"/>
      <c r="M547" s="510"/>
      <c r="N547" s="510"/>
      <c r="O547" s="510"/>
      <c r="P547" s="510"/>
      <c r="Q547" s="510"/>
      <c r="R547" s="510"/>
      <c r="S547" s="510"/>
      <c r="T547" s="510"/>
      <c r="U547" s="510"/>
      <c r="V547" s="510"/>
      <c r="W547" s="510"/>
      <c r="X547" s="510"/>
      <c r="Y547" s="510"/>
      <c r="Z547" s="510"/>
      <c r="AA547" s="510"/>
      <c r="AB547" s="510"/>
      <c r="AC547" s="510"/>
      <c r="AD547" s="510"/>
    </row>
    <row r="548" ht="28.5" customHeight="1">
      <c r="A548" s="288"/>
      <c r="B548" s="510"/>
      <c r="C548" s="510"/>
      <c r="D548" s="288"/>
      <c r="E548" s="511"/>
      <c r="F548" s="510"/>
      <c r="G548" s="510"/>
      <c r="H548" s="510"/>
      <c r="I548" s="510"/>
      <c r="J548" s="510"/>
      <c r="K548" s="510"/>
      <c r="L548" s="510"/>
      <c r="M548" s="510"/>
      <c r="N548" s="510"/>
      <c r="O548" s="510"/>
      <c r="P548" s="510"/>
      <c r="Q548" s="510"/>
      <c r="R548" s="510"/>
      <c r="S548" s="510"/>
      <c r="T548" s="510"/>
      <c r="U548" s="510"/>
      <c r="V548" s="510"/>
      <c r="W548" s="510"/>
      <c r="X548" s="510"/>
      <c r="Y548" s="510"/>
      <c r="Z548" s="510"/>
      <c r="AA548" s="510"/>
      <c r="AB548" s="510"/>
      <c r="AC548" s="510"/>
      <c r="AD548" s="510"/>
    </row>
    <row r="549" ht="28.5" customHeight="1">
      <c r="A549" s="288"/>
      <c r="B549" s="510"/>
      <c r="C549" s="510"/>
      <c r="D549" s="288"/>
      <c r="E549" s="511"/>
      <c r="F549" s="510"/>
      <c r="G549" s="510"/>
      <c r="H549" s="510"/>
      <c r="I549" s="510"/>
      <c r="J549" s="510"/>
      <c r="K549" s="510"/>
      <c r="L549" s="510"/>
      <c r="M549" s="510"/>
      <c r="N549" s="510"/>
      <c r="O549" s="510"/>
      <c r="P549" s="510"/>
      <c r="Q549" s="510"/>
      <c r="R549" s="510"/>
      <c r="S549" s="510"/>
      <c r="T549" s="510"/>
      <c r="U549" s="510"/>
      <c r="V549" s="510"/>
      <c r="W549" s="510"/>
      <c r="X549" s="510"/>
      <c r="Y549" s="510"/>
      <c r="Z549" s="510"/>
      <c r="AA549" s="510"/>
      <c r="AB549" s="510"/>
      <c r="AC549" s="510"/>
      <c r="AD549" s="510"/>
    </row>
    <row r="550" ht="28.5" customHeight="1">
      <c r="A550" s="288"/>
      <c r="B550" s="510"/>
      <c r="C550" s="510"/>
      <c r="D550" s="288"/>
      <c r="E550" s="511"/>
      <c r="F550" s="510"/>
      <c r="G550" s="510"/>
      <c r="H550" s="510"/>
      <c r="I550" s="510"/>
      <c r="J550" s="510"/>
      <c r="K550" s="510"/>
      <c r="L550" s="510"/>
      <c r="M550" s="510"/>
      <c r="N550" s="510"/>
      <c r="O550" s="510"/>
      <c r="P550" s="510"/>
      <c r="Q550" s="510"/>
      <c r="R550" s="510"/>
      <c r="S550" s="510"/>
      <c r="T550" s="510"/>
      <c r="U550" s="510"/>
      <c r="V550" s="510"/>
      <c r="W550" s="510"/>
      <c r="X550" s="510"/>
      <c r="Y550" s="510"/>
      <c r="Z550" s="510"/>
      <c r="AA550" s="510"/>
      <c r="AB550" s="510"/>
      <c r="AC550" s="510"/>
      <c r="AD550" s="510"/>
    </row>
    <row r="551" ht="28.5" customHeight="1">
      <c r="A551" s="288"/>
      <c r="B551" s="510"/>
      <c r="C551" s="510"/>
      <c r="D551" s="288"/>
      <c r="E551" s="511"/>
      <c r="F551" s="510"/>
      <c r="G551" s="510"/>
      <c r="H551" s="510"/>
      <c r="I551" s="510"/>
      <c r="J551" s="510"/>
      <c r="K551" s="510"/>
      <c r="L551" s="510"/>
      <c r="M551" s="510"/>
      <c r="N551" s="510"/>
      <c r="O551" s="510"/>
      <c r="P551" s="510"/>
      <c r="Q551" s="510"/>
      <c r="R551" s="510"/>
      <c r="S551" s="510"/>
      <c r="T551" s="510"/>
      <c r="U551" s="510"/>
      <c r="V551" s="510"/>
      <c r="W551" s="510"/>
      <c r="X551" s="510"/>
      <c r="Y551" s="510"/>
      <c r="Z551" s="510"/>
      <c r="AA551" s="510"/>
      <c r="AB551" s="510"/>
      <c r="AC551" s="510"/>
      <c r="AD551" s="510"/>
    </row>
    <row r="552" ht="28.5" customHeight="1">
      <c r="A552" s="288"/>
      <c r="B552" s="510"/>
      <c r="C552" s="510"/>
      <c r="D552" s="288"/>
      <c r="E552" s="511"/>
      <c r="F552" s="510"/>
      <c r="G552" s="510"/>
      <c r="H552" s="510"/>
      <c r="I552" s="510"/>
      <c r="J552" s="510"/>
      <c r="K552" s="510"/>
      <c r="L552" s="510"/>
      <c r="M552" s="510"/>
      <c r="N552" s="510"/>
      <c r="O552" s="510"/>
      <c r="P552" s="510"/>
      <c r="Q552" s="510"/>
      <c r="R552" s="510"/>
      <c r="S552" s="510"/>
      <c r="T552" s="510"/>
      <c r="U552" s="510"/>
      <c r="V552" s="510"/>
      <c r="W552" s="510"/>
      <c r="X552" s="510"/>
      <c r="Y552" s="510"/>
      <c r="Z552" s="510"/>
      <c r="AA552" s="510"/>
      <c r="AB552" s="510"/>
      <c r="AC552" s="510"/>
      <c r="AD552" s="510"/>
    </row>
    <row r="553" ht="28.5" customHeight="1">
      <c r="A553" s="288"/>
      <c r="B553" s="510"/>
      <c r="C553" s="510"/>
      <c r="D553" s="288"/>
      <c r="E553" s="511"/>
      <c r="F553" s="510"/>
      <c r="G553" s="510"/>
      <c r="H553" s="510"/>
      <c r="I553" s="510"/>
      <c r="J553" s="510"/>
      <c r="K553" s="510"/>
      <c r="L553" s="510"/>
      <c r="M553" s="510"/>
      <c r="N553" s="510"/>
      <c r="O553" s="510"/>
      <c r="P553" s="510"/>
      <c r="Q553" s="510"/>
      <c r="R553" s="510"/>
      <c r="S553" s="510"/>
      <c r="T553" s="510"/>
      <c r="U553" s="510"/>
      <c r="V553" s="510"/>
      <c r="W553" s="510"/>
      <c r="X553" s="510"/>
      <c r="Y553" s="510"/>
      <c r="Z553" s="510"/>
      <c r="AA553" s="510"/>
      <c r="AB553" s="510"/>
      <c r="AC553" s="510"/>
      <c r="AD553" s="510"/>
    </row>
    <row r="554" ht="28.5" customHeight="1">
      <c r="A554" s="288"/>
      <c r="B554" s="510"/>
      <c r="C554" s="510"/>
      <c r="D554" s="288"/>
      <c r="E554" s="511"/>
      <c r="F554" s="510"/>
      <c r="G554" s="510"/>
      <c r="H554" s="510"/>
      <c r="I554" s="510"/>
      <c r="J554" s="510"/>
      <c r="K554" s="510"/>
      <c r="L554" s="510"/>
      <c r="M554" s="510"/>
      <c r="N554" s="510"/>
      <c r="O554" s="510"/>
      <c r="P554" s="510"/>
      <c r="Q554" s="510"/>
      <c r="R554" s="510"/>
      <c r="S554" s="510"/>
      <c r="T554" s="510"/>
      <c r="U554" s="510"/>
      <c r="V554" s="510"/>
      <c r="W554" s="510"/>
      <c r="X554" s="510"/>
      <c r="Y554" s="510"/>
      <c r="Z554" s="510"/>
      <c r="AA554" s="510"/>
      <c r="AB554" s="510"/>
      <c r="AC554" s="510"/>
      <c r="AD554" s="510"/>
    </row>
    <row r="555" ht="28.5" customHeight="1">
      <c r="A555" s="288"/>
      <c r="B555" s="510"/>
      <c r="C555" s="510"/>
      <c r="D555" s="288"/>
      <c r="E555" s="511"/>
      <c r="F555" s="510"/>
      <c r="G555" s="510"/>
      <c r="H555" s="510"/>
      <c r="I555" s="510"/>
      <c r="J555" s="510"/>
      <c r="K555" s="510"/>
      <c r="L555" s="510"/>
      <c r="M555" s="510"/>
      <c r="N555" s="510"/>
      <c r="O555" s="510"/>
      <c r="P555" s="510"/>
      <c r="Q555" s="510"/>
      <c r="R555" s="510"/>
      <c r="S555" s="510"/>
      <c r="T555" s="510"/>
      <c r="U555" s="510"/>
      <c r="V555" s="510"/>
      <c r="W555" s="510"/>
      <c r="X555" s="510"/>
      <c r="Y555" s="510"/>
      <c r="Z555" s="510"/>
      <c r="AA555" s="510"/>
      <c r="AB555" s="510"/>
      <c r="AC555" s="510"/>
      <c r="AD555" s="510"/>
    </row>
    <row r="556" ht="28.5" customHeight="1">
      <c r="A556" s="288"/>
      <c r="B556" s="510"/>
      <c r="C556" s="510"/>
      <c r="D556" s="288"/>
      <c r="E556" s="511"/>
      <c r="F556" s="510"/>
      <c r="G556" s="510"/>
      <c r="H556" s="510"/>
      <c r="I556" s="510"/>
      <c r="J556" s="510"/>
      <c r="K556" s="510"/>
      <c r="L556" s="510"/>
      <c r="M556" s="510"/>
      <c r="N556" s="510"/>
      <c r="O556" s="510"/>
      <c r="P556" s="510"/>
      <c r="Q556" s="510"/>
      <c r="R556" s="510"/>
      <c r="S556" s="510"/>
      <c r="T556" s="510"/>
      <c r="U556" s="510"/>
      <c r="V556" s="510"/>
      <c r="W556" s="510"/>
      <c r="X556" s="510"/>
      <c r="Y556" s="510"/>
      <c r="Z556" s="510"/>
      <c r="AA556" s="510"/>
      <c r="AB556" s="510"/>
      <c r="AC556" s="510"/>
      <c r="AD556" s="510"/>
    </row>
    <row r="557" ht="28.5" customHeight="1">
      <c r="A557" s="288"/>
      <c r="B557" s="510"/>
      <c r="C557" s="510"/>
      <c r="D557" s="288"/>
      <c r="E557" s="511"/>
      <c r="F557" s="510"/>
      <c r="G557" s="510"/>
      <c r="H557" s="510"/>
      <c r="I557" s="510"/>
      <c r="J557" s="510"/>
      <c r="K557" s="510"/>
      <c r="L557" s="510"/>
      <c r="M557" s="510"/>
      <c r="N557" s="510"/>
      <c r="O557" s="510"/>
      <c r="P557" s="510"/>
      <c r="Q557" s="510"/>
      <c r="R557" s="510"/>
      <c r="S557" s="510"/>
      <c r="T557" s="510"/>
      <c r="U557" s="510"/>
      <c r="V557" s="510"/>
      <c r="W557" s="510"/>
      <c r="X557" s="510"/>
      <c r="Y557" s="510"/>
      <c r="Z557" s="510"/>
      <c r="AA557" s="510"/>
      <c r="AB557" s="510"/>
      <c r="AC557" s="510"/>
      <c r="AD557" s="510"/>
    </row>
    <row r="558" ht="28.5" customHeight="1">
      <c r="A558" s="288"/>
      <c r="B558" s="510"/>
      <c r="C558" s="510"/>
      <c r="D558" s="288"/>
      <c r="E558" s="511"/>
      <c r="F558" s="510"/>
      <c r="G558" s="510"/>
      <c r="H558" s="510"/>
      <c r="I558" s="510"/>
      <c r="J558" s="510"/>
      <c r="K558" s="510"/>
      <c r="L558" s="510"/>
      <c r="M558" s="510"/>
      <c r="N558" s="510"/>
      <c r="O558" s="510"/>
      <c r="P558" s="510"/>
      <c r="Q558" s="510"/>
      <c r="R558" s="510"/>
      <c r="S558" s="510"/>
      <c r="T558" s="510"/>
      <c r="U558" s="510"/>
      <c r="V558" s="510"/>
      <c r="W558" s="510"/>
      <c r="X558" s="510"/>
      <c r="Y558" s="510"/>
      <c r="Z558" s="510"/>
      <c r="AA558" s="510"/>
      <c r="AB558" s="510"/>
      <c r="AC558" s="510"/>
      <c r="AD558" s="510"/>
    </row>
    <row r="559" ht="28.5" customHeight="1">
      <c r="A559" s="288"/>
      <c r="B559" s="510"/>
      <c r="C559" s="510"/>
      <c r="D559" s="288"/>
      <c r="E559" s="511"/>
      <c r="F559" s="510"/>
      <c r="G559" s="510"/>
      <c r="H559" s="510"/>
      <c r="I559" s="510"/>
      <c r="J559" s="510"/>
      <c r="K559" s="510"/>
      <c r="L559" s="510"/>
      <c r="M559" s="510"/>
      <c r="N559" s="510"/>
      <c r="O559" s="510"/>
      <c r="P559" s="510"/>
      <c r="Q559" s="510"/>
      <c r="R559" s="510"/>
      <c r="S559" s="510"/>
      <c r="T559" s="510"/>
      <c r="U559" s="510"/>
      <c r="V559" s="510"/>
      <c r="W559" s="510"/>
      <c r="X559" s="510"/>
      <c r="Y559" s="510"/>
      <c r="Z559" s="510"/>
      <c r="AA559" s="510"/>
      <c r="AB559" s="510"/>
      <c r="AC559" s="510"/>
      <c r="AD559" s="510"/>
    </row>
    <row r="560" ht="28.5" customHeight="1">
      <c r="A560" s="288"/>
      <c r="B560" s="510"/>
      <c r="C560" s="510"/>
      <c r="D560" s="288"/>
      <c r="E560" s="511"/>
      <c r="F560" s="510"/>
      <c r="G560" s="510"/>
      <c r="H560" s="510"/>
      <c r="I560" s="510"/>
      <c r="J560" s="510"/>
      <c r="K560" s="510"/>
      <c r="L560" s="510"/>
      <c r="M560" s="510"/>
      <c r="N560" s="510"/>
      <c r="O560" s="510"/>
      <c r="P560" s="510"/>
      <c r="Q560" s="510"/>
      <c r="R560" s="510"/>
      <c r="S560" s="510"/>
      <c r="T560" s="510"/>
      <c r="U560" s="510"/>
      <c r="V560" s="510"/>
      <c r="W560" s="510"/>
      <c r="X560" s="510"/>
      <c r="Y560" s="510"/>
      <c r="Z560" s="510"/>
      <c r="AA560" s="510"/>
      <c r="AB560" s="510"/>
      <c r="AC560" s="510"/>
      <c r="AD560" s="510"/>
    </row>
    <row r="561" ht="28.5" customHeight="1">
      <c r="A561" s="288"/>
      <c r="B561" s="510"/>
      <c r="C561" s="510"/>
      <c r="D561" s="288"/>
      <c r="E561" s="511"/>
      <c r="F561" s="510"/>
      <c r="G561" s="510"/>
      <c r="H561" s="510"/>
      <c r="I561" s="510"/>
      <c r="J561" s="510"/>
      <c r="K561" s="510"/>
      <c r="L561" s="510"/>
      <c r="M561" s="510"/>
      <c r="N561" s="510"/>
      <c r="O561" s="510"/>
      <c r="P561" s="510"/>
      <c r="Q561" s="510"/>
      <c r="R561" s="510"/>
      <c r="S561" s="510"/>
      <c r="T561" s="510"/>
      <c r="U561" s="510"/>
      <c r="V561" s="510"/>
      <c r="W561" s="510"/>
      <c r="X561" s="510"/>
      <c r="Y561" s="510"/>
      <c r="Z561" s="510"/>
      <c r="AA561" s="510"/>
      <c r="AB561" s="510"/>
      <c r="AC561" s="510"/>
      <c r="AD561" s="510"/>
    </row>
    <row r="562" ht="28.5" customHeight="1">
      <c r="A562" s="288"/>
      <c r="B562" s="510"/>
      <c r="C562" s="510"/>
      <c r="D562" s="288"/>
      <c r="E562" s="511"/>
      <c r="F562" s="510"/>
      <c r="G562" s="510"/>
      <c r="H562" s="510"/>
      <c r="I562" s="510"/>
      <c r="J562" s="510"/>
      <c r="K562" s="510"/>
      <c r="L562" s="510"/>
      <c r="M562" s="510"/>
      <c r="N562" s="510"/>
      <c r="O562" s="510"/>
      <c r="P562" s="510"/>
      <c r="Q562" s="510"/>
      <c r="R562" s="510"/>
      <c r="S562" s="510"/>
      <c r="T562" s="510"/>
      <c r="U562" s="510"/>
      <c r="V562" s="510"/>
      <c r="W562" s="510"/>
      <c r="X562" s="510"/>
      <c r="Y562" s="510"/>
      <c r="Z562" s="510"/>
      <c r="AA562" s="510"/>
      <c r="AB562" s="510"/>
      <c r="AC562" s="510"/>
      <c r="AD562" s="510"/>
    </row>
    <row r="563" ht="28.5" customHeight="1">
      <c r="A563" s="288"/>
      <c r="B563" s="510"/>
      <c r="C563" s="510"/>
      <c r="D563" s="288"/>
      <c r="E563" s="511"/>
      <c r="F563" s="510"/>
      <c r="G563" s="510"/>
      <c r="H563" s="510"/>
      <c r="I563" s="510"/>
      <c r="J563" s="510"/>
      <c r="K563" s="510"/>
      <c r="L563" s="510"/>
      <c r="M563" s="510"/>
      <c r="N563" s="510"/>
      <c r="O563" s="510"/>
      <c r="P563" s="510"/>
      <c r="Q563" s="510"/>
      <c r="R563" s="510"/>
      <c r="S563" s="510"/>
      <c r="T563" s="510"/>
      <c r="U563" s="510"/>
      <c r="V563" s="510"/>
      <c r="W563" s="510"/>
      <c r="X563" s="510"/>
      <c r="Y563" s="510"/>
      <c r="Z563" s="510"/>
      <c r="AA563" s="510"/>
      <c r="AB563" s="510"/>
      <c r="AC563" s="510"/>
      <c r="AD563" s="510"/>
    </row>
    <row r="564" ht="28.5" customHeight="1">
      <c r="A564" s="288"/>
      <c r="B564" s="510"/>
      <c r="C564" s="510"/>
      <c r="D564" s="288"/>
      <c r="E564" s="511"/>
      <c r="F564" s="510"/>
      <c r="G564" s="510"/>
      <c r="H564" s="510"/>
      <c r="I564" s="510"/>
      <c r="J564" s="510"/>
      <c r="K564" s="510"/>
      <c r="L564" s="510"/>
      <c r="M564" s="510"/>
      <c r="N564" s="510"/>
      <c r="O564" s="510"/>
      <c r="P564" s="510"/>
      <c r="Q564" s="510"/>
      <c r="R564" s="510"/>
      <c r="S564" s="510"/>
      <c r="T564" s="510"/>
      <c r="U564" s="510"/>
      <c r="V564" s="510"/>
      <c r="W564" s="510"/>
      <c r="X564" s="510"/>
      <c r="Y564" s="510"/>
      <c r="Z564" s="510"/>
      <c r="AA564" s="510"/>
      <c r="AB564" s="510"/>
      <c r="AC564" s="510"/>
      <c r="AD564" s="510"/>
    </row>
    <row r="565" ht="28.5" customHeight="1">
      <c r="A565" s="288"/>
      <c r="B565" s="510"/>
      <c r="C565" s="510"/>
      <c r="D565" s="288"/>
      <c r="E565" s="511"/>
      <c r="F565" s="510"/>
      <c r="G565" s="510"/>
      <c r="H565" s="510"/>
      <c r="I565" s="510"/>
      <c r="J565" s="510"/>
      <c r="K565" s="510"/>
      <c r="L565" s="510"/>
      <c r="M565" s="510"/>
      <c r="N565" s="510"/>
      <c r="O565" s="510"/>
      <c r="P565" s="510"/>
      <c r="Q565" s="510"/>
      <c r="R565" s="510"/>
      <c r="S565" s="510"/>
      <c r="T565" s="510"/>
      <c r="U565" s="510"/>
      <c r="V565" s="510"/>
      <c r="W565" s="510"/>
      <c r="X565" s="510"/>
      <c r="Y565" s="510"/>
      <c r="Z565" s="510"/>
      <c r="AA565" s="510"/>
      <c r="AB565" s="510"/>
      <c r="AC565" s="510"/>
      <c r="AD565" s="510"/>
    </row>
    <row r="566" ht="28.5" customHeight="1">
      <c r="A566" s="288"/>
      <c r="B566" s="510"/>
      <c r="C566" s="510"/>
      <c r="D566" s="288"/>
      <c r="E566" s="511"/>
      <c r="F566" s="510"/>
      <c r="G566" s="510"/>
      <c r="H566" s="510"/>
      <c r="I566" s="510"/>
      <c r="J566" s="510"/>
      <c r="K566" s="510"/>
      <c r="L566" s="510"/>
      <c r="M566" s="510"/>
      <c r="N566" s="510"/>
      <c r="O566" s="510"/>
      <c r="P566" s="510"/>
      <c r="Q566" s="510"/>
      <c r="R566" s="510"/>
      <c r="S566" s="510"/>
      <c r="T566" s="510"/>
      <c r="U566" s="510"/>
      <c r="V566" s="510"/>
      <c r="W566" s="510"/>
      <c r="X566" s="510"/>
      <c r="Y566" s="510"/>
      <c r="Z566" s="510"/>
      <c r="AA566" s="510"/>
      <c r="AB566" s="510"/>
      <c r="AC566" s="510"/>
      <c r="AD566" s="510"/>
    </row>
    <row r="567" ht="28.5" customHeight="1">
      <c r="A567" s="288"/>
      <c r="B567" s="510"/>
      <c r="C567" s="510"/>
      <c r="D567" s="288"/>
      <c r="E567" s="511"/>
      <c r="F567" s="510"/>
      <c r="G567" s="510"/>
      <c r="H567" s="510"/>
      <c r="I567" s="510"/>
      <c r="J567" s="510"/>
      <c r="K567" s="510"/>
      <c r="L567" s="510"/>
      <c r="M567" s="510"/>
      <c r="N567" s="510"/>
      <c r="O567" s="510"/>
      <c r="P567" s="510"/>
      <c r="Q567" s="510"/>
      <c r="R567" s="510"/>
      <c r="S567" s="510"/>
      <c r="T567" s="510"/>
      <c r="U567" s="510"/>
      <c r="V567" s="510"/>
      <c r="W567" s="510"/>
      <c r="X567" s="510"/>
      <c r="Y567" s="510"/>
      <c r="Z567" s="510"/>
      <c r="AA567" s="510"/>
      <c r="AB567" s="510"/>
      <c r="AC567" s="510"/>
      <c r="AD567" s="510"/>
    </row>
    <row r="568" ht="28.5" customHeight="1">
      <c r="A568" s="288"/>
      <c r="B568" s="510"/>
      <c r="C568" s="510"/>
      <c r="D568" s="288"/>
      <c r="E568" s="511"/>
      <c r="F568" s="510"/>
      <c r="G568" s="510"/>
      <c r="H568" s="510"/>
      <c r="I568" s="510"/>
      <c r="J568" s="510"/>
      <c r="K568" s="510"/>
      <c r="L568" s="510"/>
      <c r="M568" s="510"/>
      <c r="N568" s="510"/>
      <c r="O568" s="510"/>
      <c r="P568" s="510"/>
      <c r="Q568" s="510"/>
      <c r="R568" s="510"/>
      <c r="S568" s="510"/>
      <c r="T568" s="510"/>
      <c r="U568" s="510"/>
      <c r="V568" s="510"/>
      <c r="W568" s="510"/>
      <c r="X568" s="510"/>
      <c r="Y568" s="510"/>
      <c r="Z568" s="510"/>
      <c r="AA568" s="510"/>
      <c r="AB568" s="510"/>
      <c r="AC568" s="510"/>
      <c r="AD568" s="510"/>
    </row>
    <row r="569" ht="28.5" customHeight="1">
      <c r="A569" s="288"/>
      <c r="B569" s="510"/>
      <c r="C569" s="510"/>
      <c r="D569" s="288"/>
      <c r="E569" s="511"/>
      <c r="F569" s="510"/>
      <c r="G569" s="510"/>
      <c r="H569" s="510"/>
      <c r="I569" s="510"/>
      <c r="J569" s="510"/>
      <c r="K569" s="510"/>
      <c r="L569" s="510"/>
      <c r="M569" s="510"/>
      <c r="N569" s="510"/>
      <c r="O569" s="510"/>
      <c r="P569" s="510"/>
      <c r="Q569" s="510"/>
      <c r="R569" s="510"/>
      <c r="S569" s="510"/>
      <c r="T569" s="510"/>
      <c r="U569" s="510"/>
      <c r="V569" s="510"/>
      <c r="W569" s="510"/>
      <c r="X569" s="510"/>
      <c r="Y569" s="510"/>
      <c r="Z569" s="510"/>
      <c r="AA569" s="510"/>
      <c r="AB569" s="510"/>
      <c r="AC569" s="510"/>
      <c r="AD569" s="510"/>
    </row>
    <row r="570" ht="28.5" customHeight="1">
      <c r="A570" s="288"/>
      <c r="B570" s="510"/>
      <c r="C570" s="510"/>
      <c r="D570" s="288"/>
      <c r="E570" s="511"/>
      <c r="F570" s="510"/>
      <c r="G570" s="510"/>
      <c r="H570" s="510"/>
      <c r="I570" s="510"/>
      <c r="J570" s="510"/>
      <c r="K570" s="510"/>
      <c r="L570" s="510"/>
      <c r="M570" s="510"/>
      <c r="N570" s="510"/>
      <c r="O570" s="510"/>
      <c r="P570" s="510"/>
      <c r="Q570" s="510"/>
      <c r="R570" s="510"/>
      <c r="S570" s="510"/>
      <c r="T570" s="510"/>
      <c r="U570" s="510"/>
      <c r="V570" s="510"/>
      <c r="W570" s="510"/>
      <c r="X570" s="510"/>
      <c r="Y570" s="510"/>
      <c r="Z570" s="510"/>
      <c r="AA570" s="510"/>
      <c r="AB570" s="510"/>
      <c r="AC570" s="510"/>
      <c r="AD570" s="510"/>
    </row>
    <row r="571" ht="28.5" customHeight="1">
      <c r="A571" s="288"/>
      <c r="B571" s="510"/>
      <c r="C571" s="510"/>
      <c r="D571" s="288"/>
      <c r="E571" s="511"/>
      <c r="F571" s="510"/>
      <c r="G571" s="510"/>
      <c r="H571" s="510"/>
      <c r="I571" s="510"/>
      <c r="J571" s="510"/>
      <c r="K571" s="510"/>
      <c r="L571" s="510"/>
      <c r="M571" s="510"/>
      <c r="N571" s="510"/>
      <c r="O571" s="510"/>
      <c r="P571" s="510"/>
      <c r="Q571" s="510"/>
      <c r="R571" s="510"/>
      <c r="S571" s="510"/>
      <c r="T571" s="510"/>
      <c r="U571" s="510"/>
      <c r="V571" s="510"/>
      <c r="W571" s="510"/>
      <c r="X571" s="510"/>
      <c r="Y571" s="510"/>
      <c r="Z571" s="510"/>
      <c r="AA571" s="510"/>
      <c r="AB571" s="510"/>
      <c r="AC571" s="510"/>
      <c r="AD571" s="510"/>
    </row>
    <row r="572" ht="28.5" customHeight="1">
      <c r="A572" s="288"/>
      <c r="B572" s="510"/>
      <c r="C572" s="510"/>
      <c r="D572" s="288"/>
      <c r="E572" s="511"/>
      <c r="F572" s="510"/>
      <c r="G572" s="510"/>
      <c r="H572" s="510"/>
      <c r="I572" s="510"/>
      <c r="J572" s="510"/>
      <c r="K572" s="510"/>
      <c r="L572" s="510"/>
      <c r="M572" s="510"/>
      <c r="N572" s="510"/>
      <c r="O572" s="510"/>
      <c r="P572" s="510"/>
      <c r="Q572" s="510"/>
      <c r="R572" s="510"/>
      <c r="S572" s="510"/>
      <c r="T572" s="510"/>
      <c r="U572" s="510"/>
      <c r="V572" s="510"/>
      <c r="W572" s="510"/>
      <c r="X572" s="510"/>
      <c r="Y572" s="510"/>
      <c r="Z572" s="510"/>
      <c r="AA572" s="510"/>
      <c r="AB572" s="510"/>
      <c r="AC572" s="510"/>
      <c r="AD572" s="510"/>
    </row>
    <row r="573" ht="28.5" customHeight="1">
      <c r="A573" s="288"/>
      <c r="B573" s="510"/>
      <c r="C573" s="510"/>
      <c r="D573" s="288"/>
      <c r="E573" s="511"/>
      <c r="F573" s="510"/>
      <c r="G573" s="510"/>
      <c r="H573" s="510"/>
      <c r="I573" s="510"/>
      <c r="J573" s="510"/>
      <c r="K573" s="510"/>
      <c r="L573" s="510"/>
      <c r="M573" s="510"/>
      <c r="N573" s="510"/>
      <c r="O573" s="510"/>
      <c r="P573" s="510"/>
      <c r="Q573" s="510"/>
      <c r="R573" s="510"/>
      <c r="S573" s="510"/>
      <c r="T573" s="510"/>
      <c r="U573" s="510"/>
      <c r="V573" s="510"/>
      <c r="W573" s="510"/>
      <c r="X573" s="510"/>
      <c r="Y573" s="510"/>
      <c r="Z573" s="510"/>
      <c r="AA573" s="510"/>
      <c r="AB573" s="510"/>
      <c r="AC573" s="510"/>
      <c r="AD573" s="510"/>
    </row>
    <row r="574" ht="28.5" customHeight="1">
      <c r="A574" s="288"/>
      <c r="B574" s="510"/>
      <c r="C574" s="510"/>
      <c r="D574" s="288"/>
      <c r="E574" s="511"/>
      <c r="F574" s="510"/>
      <c r="G574" s="510"/>
      <c r="H574" s="510"/>
      <c r="I574" s="510"/>
      <c r="J574" s="510"/>
      <c r="K574" s="510"/>
      <c r="L574" s="510"/>
      <c r="M574" s="510"/>
      <c r="N574" s="510"/>
      <c r="O574" s="510"/>
      <c r="P574" s="510"/>
      <c r="Q574" s="510"/>
      <c r="R574" s="510"/>
      <c r="S574" s="510"/>
      <c r="T574" s="510"/>
      <c r="U574" s="510"/>
      <c r="V574" s="510"/>
      <c r="W574" s="510"/>
      <c r="X574" s="510"/>
      <c r="Y574" s="510"/>
      <c r="Z574" s="510"/>
      <c r="AA574" s="510"/>
      <c r="AB574" s="510"/>
      <c r="AC574" s="510"/>
      <c r="AD574" s="510"/>
    </row>
    <row r="575" ht="28.5" customHeight="1">
      <c r="A575" s="288"/>
      <c r="B575" s="510"/>
      <c r="C575" s="510"/>
      <c r="D575" s="288"/>
      <c r="E575" s="511"/>
      <c r="F575" s="510"/>
      <c r="G575" s="510"/>
      <c r="H575" s="510"/>
      <c r="I575" s="510"/>
      <c r="J575" s="510"/>
      <c r="K575" s="510"/>
      <c r="L575" s="510"/>
      <c r="M575" s="510"/>
      <c r="N575" s="510"/>
      <c r="O575" s="510"/>
      <c r="P575" s="510"/>
      <c r="Q575" s="510"/>
      <c r="R575" s="510"/>
      <c r="S575" s="510"/>
      <c r="T575" s="510"/>
      <c r="U575" s="510"/>
      <c r="V575" s="510"/>
      <c r="W575" s="510"/>
      <c r="X575" s="510"/>
      <c r="Y575" s="510"/>
      <c r="Z575" s="510"/>
      <c r="AA575" s="510"/>
      <c r="AB575" s="510"/>
      <c r="AC575" s="510"/>
      <c r="AD575" s="510"/>
    </row>
    <row r="576" ht="28.5" customHeight="1">
      <c r="A576" s="288"/>
      <c r="B576" s="510"/>
      <c r="C576" s="510"/>
      <c r="D576" s="288"/>
      <c r="E576" s="511"/>
      <c r="F576" s="510"/>
      <c r="G576" s="510"/>
      <c r="H576" s="510"/>
      <c r="I576" s="510"/>
      <c r="J576" s="510"/>
      <c r="K576" s="510"/>
      <c r="L576" s="510"/>
      <c r="M576" s="510"/>
      <c r="N576" s="510"/>
      <c r="O576" s="510"/>
      <c r="P576" s="510"/>
      <c r="Q576" s="510"/>
      <c r="R576" s="510"/>
      <c r="S576" s="510"/>
      <c r="T576" s="510"/>
      <c r="U576" s="510"/>
      <c r="V576" s="510"/>
      <c r="W576" s="510"/>
      <c r="X576" s="510"/>
      <c r="Y576" s="510"/>
      <c r="Z576" s="510"/>
      <c r="AA576" s="510"/>
      <c r="AB576" s="510"/>
      <c r="AC576" s="510"/>
      <c r="AD576" s="510"/>
    </row>
    <row r="577" ht="28.5" customHeight="1">
      <c r="A577" s="288"/>
      <c r="B577" s="510"/>
      <c r="C577" s="510"/>
      <c r="D577" s="288"/>
      <c r="E577" s="511"/>
      <c r="F577" s="510"/>
      <c r="G577" s="510"/>
      <c r="H577" s="510"/>
      <c r="I577" s="510"/>
      <c r="J577" s="510"/>
      <c r="K577" s="510"/>
      <c r="L577" s="510"/>
      <c r="M577" s="510"/>
      <c r="N577" s="510"/>
      <c r="O577" s="510"/>
      <c r="P577" s="510"/>
      <c r="Q577" s="510"/>
      <c r="R577" s="510"/>
      <c r="S577" s="510"/>
      <c r="T577" s="510"/>
      <c r="U577" s="510"/>
      <c r="V577" s="510"/>
      <c r="W577" s="510"/>
      <c r="X577" s="510"/>
      <c r="Y577" s="510"/>
      <c r="Z577" s="510"/>
      <c r="AA577" s="510"/>
      <c r="AB577" s="510"/>
      <c r="AC577" s="510"/>
      <c r="AD577" s="510"/>
    </row>
    <row r="578" ht="28.5" customHeight="1">
      <c r="A578" s="288"/>
      <c r="B578" s="510"/>
      <c r="C578" s="510"/>
      <c r="D578" s="288"/>
      <c r="E578" s="511"/>
      <c r="F578" s="510"/>
      <c r="G578" s="510"/>
      <c r="H578" s="510"/>
      <c r="I578" s="510"/>
      <c r="J578" s="510"/>
      <c r="K578" s="510"/>
      <c r="L578" s="510"/>
      <c r="M578" s="510"/>
      <c r="N578" s="510"/>
      <c r="O578" s="510"/>
      <c r="P578" s="510"/>
      <c r="Q578" s="510"/>
      <c r="R578" s="510"/>
      <c r="S578" s="510"/>
      <c r="T578" s="510"/>
      <c r="U578" s="510"/>
      <c r="V578" s="510"/>
      <c r="W578" s="510"/>
      <c r="X578" s="510"/>
      <c r="Y578" s="510"/>
      <c r="Z578" s="510"/>
      <c r="AA578" s="510"/>
      <c r="AB578" s="510"/>
      <c r="AC578" s="510"/>
      <c r="AD578" s="510"/>
    </row>
    <row r="579" ht="28.5" customHeight="1">
      <c r="A579" s="288"/>
      <c r="B579" s="510"/>
      <c r="C579" s="510"/>
      <c r="D579" s="288"/>
      <c r="E579" s="511"/>
      <c r="F579" s="510"/>
      <c r="G579" s="510"/>
      <c r="H579" s="510"/>
      <c r="I579" s="510"/>
      <c r="J579" s="510"/>
      <c r="K579" s="510"/>
      <c r="L579" s="510"/>
      <c r="M579" s="510"/>
      <c r="N579" s="510"/>
      <c r="O579" s="510"/>
      <c r="P579" s="510"/>
      <c r="Q579" s="510"/>
      <c r="R579" s="510"/>
      <c r="S579" s="510"/>
      <c r="T579" s="510"/>
      <c r="U579" s="510"/>
      <c r="V579" s="510"/>
      <c r="W579" s="510"/>
      <c r="X579" s="510"/>
      <c r="Y579" s="510"/>
      <c r="Z579" s="510"/>
      <c r="AA579" s="510"/>
      <c r="AB579" s="510"/>
      <c r="AC579" s="510"/>
      <c r="AD579" s="510"/>
    </row>
    <row r="580" ht="28.5" customHeight="1">
      <c r="A580" s="288"/>
      <c r="B580" s="510"/>
      <c r="C580" s="510"/>
      <c r="D580" s="288"/>
      <c r="E580" s="511"/>
      <c r="F580" s="510"/>
      <c r="G580" s="510"/>
      <c r="H580" s="510"/>
      <c r="I580" s="510"/>
      <c r="J580" s="510"/>
      <c r="K580" s="510"/>
      <c r="L580" s="510"/>
      <c r="M580" s="510"/>
      <c r="N580" s="510"/>
      <c r="O580" s="510"/>
      <c r="P580" s="510"/>
      <c r="Q580" s="510"/>
      <c r="R580" s="510"/>
      <c r="S580" s="510"/>
      <c r="T580" s="510"/>
      <c r="U580" s="510"/>
      <c r="V580" s="510"/>
      <c r="W580" s="510"/>
      <c r="X580" s="510"/>
      <c r="Y580" s="510"/>
      <c r="Z580" s="510"/>
      <c r="AA580" s="510"/>
      <c r="AB580" s="510"/>
      <c r="AC580" s="510"/>
      <c r="AD580" s="510"/>
    </row>
    <row r="581" ht="28.5" customHeight="1">
      <c r="A581" s="288"/>
      <c r="B581" s="510"/>
      <c r="C581" s="510"/>
      <c r="D581" s="288"/>
      <c r="E581" s="511"/>
      <c r="F581" s="510"/>
      <c r="G581" s="510"/>
      <c r="H581" s="510"/>
      <c r="I581" s="510"/>
      <c r="J581" s="510"/>
      <c r="K581" s="510"/>
      <c r="L581" s="510"/>
      <c r="M581" s="510"/>
      <c r="N581" s="510"/>
      <c r="O581" s="510"/>
      <c r="P581" s="510"/>
      <c r="Q581" s="510"/>
      <c r="R581" s="510"/>
      <c r="S581" s="510"/>
      <c r="T581" s="510"/>
      <c r="U581" s="510"/>
      <c r="V581" s="510"/>
      <c r="W581" s="510"/>
      <c r="X581" s="510"/>
      <c r="Y581" s="510"/>
      <c r="Z581" s="510"/>
      <c r="AA581" s="510"/>
      <c r="AB581" s="510"/>
      <c r="AC581" s="510"/>
      <c r="AD581" s="510"/>
    </row>
    <row r="582" ht="28.5" customHeight="1">
      <c r="A582" s="288"/>
      <c r="B582" s="510"/>
      <c r="C582" s="510"/>
      <c r="D582" s="288"/>
      <c r="E582" s="511"/>
      <c r="F582" s="510"/>
      <c r="G582" s="510"/>
      <c r="H582" s="510"/>
      <c r="I582" s="510"/>
      <c r="J582" s="510"/>
      <c r="K582" s="510"/>
      <c r="L582" s="510"/>
      <c r="M582" s="510"/>
      <c r="N582" s="510"/>
      <c r="O582" s="510"/>
      <c r="P582" s="510"/>
      <c r="Q582" s="510"/>
      <c r="R582" s="510"/>
      <c r="S582" s="510"/>
      <c r="T582" s="510"/>
      <c r="U582" s="510"/>
      <c r="V582" s="510"/>
      <c r="W582" s="510"/>
      <c r="X582" s="510"/>
      <c r="Y582" s="510"/>
      <c r="Z582" s="510"/>
      <c r="AA582" s="510"/>
      <c r="AB582" s="510"/>
      <c r="AC582" s="510"/>
      <c r="AD582" s="510"/>
    </row>
    <row r="583" ht="28.5" customHeight="1">
      <c r="A583" s="288"/>
      <c r="B583" s="510"/>
      <c r="C583" s="510"/>
      <c r="D583" s="288"/>
      <c r="E583" s="511"/>
      <c r="F583" s="510"/>
      <c r="G583" s="510"/>
      <c r="H583" s="510"/>
      <c r="I583" s="510"/>
      <c r="J583" s="510"/>
      <c r="K583" s="510"/>
      <c r="L583" s="510"/>
      <c r="M583" s="510"/>
      <c r="N583" s="510"/>
      <c r="O583" s="510"/>
      <c r="P583" s="510"/>
      <c r="Q583" s="510"/>
      <c r="R583" s="510"/>
      <c r="S583" s="510"/>
      <c r="T583" s="510"/>
      <c r="U583" s="510"/>
      <c r="V583" s="510"/>
      <c r="W583" s="510"/>
      <c r="X583" s="510"/>
      <c r="Y583" s="510"/>
      <c r="Z583" s="510"/>
      <c r="AA583" s="510"/>
      <c r="AB583" s="510"/>
      <c r="AC583" s="510"/>
      <c r="AD583" s="510"/>
    </row>
    <row r="584" ht="28.5" customHeight="1">
      <c r="A584" s="288"/>
      <c r="B584" s="510"/>
      <c r="C584" s="510"/>
      <c r="D584" s="288"/>
      <c r="E584" s="511"/>
      <c r="F584" s="510"/>
      <c r="G584" s="510"/>
      <c r="H584" s="510"/>
      <c r="I584" s="510"/>
      <c r="J584" s="510"/>
      <c r="K584" s="510"/>
      <c r="L584" s="510"/>
      <c r="M584" s="510"/>
      <c r="N584" s="510"/>
      <c r="O584" s="510"/>
      <c r="P584" s="510"/>
      <c r="Q584" s="510"/>
      <c r="R584" s="510"/>
      <c r="S584" s="510"/>
      <c r="T584" s="510"/>
      <c r="U584" s="510"/>
      <c r="V584" s="510"/>
      <c r="W584" s="510"/>
      <c r="X584" s="510"/>
      <c r="Y584" s="510"/>
      <c r="Z584" s="510"/>
      <c r="AA584" s="510"/>
      <c r="AB584" s="510"/>
      <c r="AC584" s="510"/>
      <c r="AD584" s="510"/>
    </row>
    <row r="585" ht="28.5" customHeight="1">
      <c r="A585" s="288"/>
      <c r="B585" s="510"/>
      <c r="C585" s="510"/>
      <c r="D585" s="288"/>
      <c r="E585" s="511"/>
      <c r="F585" s="510"/>
      <c r="G585" s="510"/>
      <c r="H585" s="510"/>
      <c r="I585" s="510"/>
      <c r="J585" s="510"/>
      <c r="K585" s="510"/>
      <c r="L585" s="510"/>
      <c r="M585" s="510"/>
      <c r="N585" s="510"/>
      <c r="O585" s="510"/>
      <c r="P585" s="510"/>
      <c r="Q585" s="510"/>
      <c r="R585" s="510"/>
      <c r="S585" s="510"/>
      <c r="T585" s="510"/>
      <c r="U585" s="510"/>
      <c r="V585" s="510"/>
      <c r="W585" s="510"/>
      <c r="X585" s="510"/>
      <c r="Y585" s="510"/>
      <c r="Z585" s="510"/>
      <c r="AA585" s="510"/>
      <c r="AB585" s="510"/>
      <c r="AC585" s="510"/>
      <c r="AD585" s="510"/>
    </row>
    <row r="586" ht="28.5" customHeight="1">
      <c r="A586" s="288"/>
      <c r="B586" s="510"/>
      <c r="C586" s="510"/>
      <c r="D586" s="288"/>
      <c r="E586" s="511"/>
      <c r="F586" s="510"/>
      <c r="G586" s="510"/>
      <c r="H586" s="510"/>
      <c r="I586" s="510"/>
      <c r="J586" s="510"/>
      <c r="K586" s="510"/>
      <c r="L586" s="510"/>
      <c r="M586" s="510"/>
      <c r="N586" s="510"/>
      <c r="O586" s="510"/>
      <c r="P586" s="510"/>
      <c r="Q586" s="510"/>
      <c r="R586" s="510"/>
      <c r="S586" s="510"/>
      <c r="T586" s="510"/>
      <c r="U586" s="510"/>
      <c r="V586" s="510"/>
      <c r="W586" s="510"/>
      <c r="X586" s="510"/>
      <c r="Y586" s="510"/>
      <c r="Z586" s="510"/>
      <c r="AA586" s="510"/>
      <c r="AB586" s="510"/>
      <c r="AC586" s="510"/>
      <c r="AD586" s="510"/>
    </row>
    <row r="587" ht="28.5" customHeight="1">
      <c r="A587" s="288"/>
      <c r="B587" s="510"/>
      <c r="C587" s="510"/>
      <c r="D587" s="288"/>
      <c r="E587" s="511"/>
      <c r="F587" s="510"/>
      <c r="G587" s="510"/>
      <c r="H587" s="510"/>
      <c r="I587" s="510"/>
      <c r="J587" s="510"/>
      <c r="K587" s="510"/>
      <c r="L587" s="510"/>
      <c r="M587" s="510"/>
      <c r="N587" s="510"/>
      <c r="O587" s="510"/>
      <c r="P587" s="510"/>
      <c r="Q587" s="510"/>
      <c r="R587" s="510"/>
      <c r="S587" s="510"/>
      <c r="T587" s="510"/>
      <c r="U587" s="510"/>
      <c r="V587" s="510"/>
      <c r="W587" s="510"/>
      <c r="X587" s="510"/>
      <c r="Y587" s="510"/>
      <c r="Z587" s="510"/>
      <c r="AA587" s="510"/>
      <c r="AB587" s="510"/>
      <c r="AC587" s="510"/>
      <c r="AD587" s="510"/>
    </row>
    <row r="588" ht="28.5" customHeight="1">
      <c r="A588" s="288"/>
      <c r="B588" s="510"/>
      <c r="C588" s="510"/>
      <c r="D588" s="288"/>
      <c r="E588" s="511"/>
      <c r="F588" s="510"/>
      <c r="G588" s="510"/>
      <c r="H588" s="510"/>
      <c r="I588" s="510"/>
      <c r="J588" s="510"/>
      <c r="K588" s="510"/>
      <c r="L588" s="510"/>
      <c r="M588" s="510"/>
      <c r="N588" s="510"/>
      <c r="O588" s="510"/>
      <c r="P588" s="510"/>
      <c r="Q588" s="510"/>
      <c r="R588" s="510"/>
      <c r="S588" s="510"/>
      <c r="T588" s="510"/>
      <c r="U588" s="510"/>
      <c r="V588" s="510"/>
      <c r="W588" s="510"/>
      <c r="X588" s="510"/>
      <c r="Y588" s="510"/>
      <c r="Z588" s="510"/>
      <c r="AA588" s="510"/>
      <c r="AB588" s="510"/>
      <c r="AC588" s="510"/>
      <c r="AD588" s="510"/>
    </row>
    <row r="589" ht="28.5" customHeight="1">
      <c r="A589" s="288"/>
      <c r="B589" s="510"/>
      <c r="C589" s="510"/>
      <c r="D589" s="288"/>
      <c r="E589" s="511"/>
      <c r="F589" s="510"/>
      <c r="G589" s="510"/>
      <c r="H589" s="510"/>
      <c r="I589" s="510"/>
      <c r="J589" s="510"/>
      <c r="K589" s="510"/>
      <c r="L589" s="510"/>
      <c r="M589" s="510"/>
      <c r="N589" s="510"/>
      <c r="O589" s="510"/>
      <c r="P589" s="510"/>
      <c r="Q589" s="510"/>
      <c r="R589" s="510"/>
      <c r="S589" s="510"/>
      <c r="T589" s="510"/>
      <c r="U589" s="510"/>
      <c r="V589" s="510"/>
      <c r="W589" s="510"/>
      <c r="X589" s="510"/>
      <c r="Y589" s="510"/>
      <c r="Z589" s="510"/>
      <c r="AA589" s="510"/>
      <c r="AB589" s="510"/>
      <c r="AC589" s="510"/>
      <c r="AD589" s="510"/>
    </row>
    <row r="590" ht="28.5" customHeight="1">
      <c r="A590" s="288"/>
      <c r="B590" s="510"/>
      <c r="C590" s="510"/>
      <c r="D590" s="288"/>
      <c r="E590" s="511"/>
      <c r="F590" s="510"/>
      <c r="G590" s="510"/>
      <c r="H590" s="510"/>
      <c r="I590" s="510"/>
      <c r="J590" s="510"/>
      <c r="K590" s="510"/>
      <c r="L590" s="510"/>
      <c r="M590" s="510"/>
      <c r="N590" s="510"/>
      <c r="O590" s="510"/>
      <c r="P590" s="510"/>
      <c r="Q590" s="510"/>
      <c r="R590" s="510"/>
      <c r="S590" s="510"/>
      <c r="T590" s="510"/>
      <c r="U590" s="510"/>
      <c r="V590" s="510"/>
      <c r="W590" s="510"/>
      <c r="X590" s="510"/>
      <c r="Y590" s="510"/>
      <c r="Z590" s="510"/>
      <c r="AA590" s="510"/>
      <c r="AB590" s="510"/>
      <c r="AC590" s="510"/>
      <c r="AD590" s="510"/>
    </row>
    <row r="591" ht="28.5" customHeight="1">
      <c r="A591" s="288"/>
      <c r="B591" s="510"/>
      <c r="C591" s="510"/>
      <c r="D591" s="288"/>
      <c r="E591" s="511"/>
      <c r="F591" s="510"/>
      <c r="G591" s="510"/>
      <c r="H591" s="510"/>
      <c r="I591" s="510"/>
      <c r="J591" s="510"/>
      <c r="K591" s="510"/>
      <c r="L591" s="510"/>
      <c r="M591" s="510"/>
      <c r="N591" s="510"/>
      <c r="O591" s="510"/>
      <c r="P591" s="510"/>
      <c r="Q591" s="510"/>
      <c r="R591" s="510"/>
      <c r="S591" s="510"/>
      <c r="T591" s="510"/>
      <c r="U591" s="510"/>
      <c r="V591" s="510"/>
      <c r="W591" s="510"/>
      <c r="X591" s="510"/>
      <c r="Y591" s="510"/>
      <c r="Z591" s="510"/>
      <c r="AA591" s="510"/>
      <c r="AB591" s="510"/>
      <c r="AC591" s="510"/>
      <c r="AD591" s="510"/>
    </row>
    <row r="592" ht="28.5" customHeight="1">
      <c r="A592" s="288"/>
      <c r="B592" s="510"/>
      <c r="C592" s="510"/>
      <c r="D592" s="288"/>
      <c r="E592" s="511"/>
      <c r="F592" s="510"/>
      <c r="G592" s="510"/>
      <c r="H592" s="510"/>
      <c r="I592" s="510"/>
      <c r="J592" s="510"/>
      <c r="K592" s="510"/>
      <c r="L592" s="510"/>
      <c r="M592" s="510"/>
      <c r="N592" s="510"/>
      <c r="O592" s="510"/>
      <c r="P592" s="510"/>
      <c r="Q592" s="510"/>
      <c r="R592" s="510"/>
      <c r="S592" s="510"/>
      <c r="T592" s="510"/>
      <c r="U592" s="510"/>
      <c r="V592" s="510"/>
      <c r="W592" s="510"/>
      <c r="X592" s="510"/>
      <c r="Y592" s="510"/>
      <c r="Z592" s="510"/>
      <c r="AA592" s="510"/>
      <c r="AB592" s="510"/>
      <c r="AC592" s="510"/>
      <c r="AD592" s="510"/>
    </row>
    <row r="593" ht="28.5" customHeight="1">
      <c r="A593" s="288"/>
      <c r="B593" s="510"/>
      <c r="C593" s="510"/>
      <c r="D593" s="288"/>
      <c r="E593" s="511"/>
      <c r="F593" s="510"/>
      <c r="G593" s="510"/>
      <c r="H593" s="510"/>
      <c r="I593" s="510"/>
      <c r="J593" s="510"/>
      <c r="K593" s="510"/>
      <c r="L593" s="510"/>
      <c r="M593" s="510"/>
      <c r="N593" s="510"/>
      <c r="O593" s="510"/>
      <c r="P593" s="510"/>
      <c r="Q593" s="510"/>
      <c r="R593" s="510"/>
      <c r="S593" s="510"/>
      <c r="T593" s="510"/>
      <c r="U593" s="510"/>
      <c r="V593" s="510"/>
      <c r="W593" s="510"/>
      <c r="X593" s="510"/>
      <c r="Y593" s="510"/>
      <c r="Z593" s="510"/>
      <c r="AA593" s="510"/>
      <c r="AB593" s="510"/>
      <c r="AC593" s="510"/>
      <c r="AD593" s="510"/>
    </row>
    <row r="594" ht="28.5" customHeight="1">
      <c r="A594" s="288"/>
      <c r="B594" s="510"/>
      <c r="C594" s="510"/>
      <c r="D594" s="288"/>
      <c r="E594" s="511"/>
      <c r="F594" s="510"/>
      <c r="G594" s="510"/>
      <c r="H594" s="510"/>
      <c r="I594" s="510"/>
      <c r="J594" s="510"/>
      <c r="K594" s="510"/>
      <c r="L594" s="510"/>
      <c r="M594" s="510"/>
      <c r="N594" s="510"/>
      <c r="O594" s="510"/>
      <c r="P594" s="510"/>
      <c r="Q594" s="510"/>
      <c r="R594" s="510"/>
      <c r="S594" s="510"/>
      <c r="T594" s="510"/>
      <c r="U594" s="510"/>
      <c r="V594" s="510"/>
      <c r="W594" s="510"/>
      <c r="X594" s="510"/>
      <c r="Y594" s="510"/>
      <c r="Z594" s="510"/>
      <c r="AA594" s="510"/>
      <c r="AB594" s="510"/>
      <c r="AC594" s="510"/>
      <c r="AD594" s="510"/>
    </row>
    <row r="595" ht="28.5" customHeight="1">
      <c r="A595" s="288"/>
      <c r="B595" s="510"/>
      <c r="C595" s="510"/>
      <c r="D595" s="288"/>
      <c r="E595" s="511"/>
      <c r="F595" s="510"/>
      <c r="G595" s="510"/>
      <c r="H595" s="510"/>
      <c r="I595" s="510"/>
      <c r="J595" s="510"/>
      <c r="K595" s="510"/>
      <c r="L595" s="510"/>
      <c r="M595" s="510"/>
      <c r="N595" s="510"/>
      <c r="O595" s="510"/>
      <c r="P595" s="510"/>
      <c r="Q595" s="510"/>
      <c r="R595" s="510"/>
      <c r="S595" s="510"/>
      <c r="T595" s="510"/>
      <c r="U595" s="510"/>
      <c r="V595" s="510"/>
      <c r="W595" s="510"/>
      <c r="X595" s="510"/>
      <c r="Y595" s="510"/>
      <c r="Z595" s="510"/>
      <c r="AA595" s="510"/>
      <c r="AB595" s="510"/>
      <c r="AC595" s="510"/>
      <c r="AD595" s="510"/>
    </row>
    <row r="596" ht="28.5" customHeight="1">
      <c r="A596" s="288"/>
      <c r="B596" s="510"/>
      <c r="C596" s="510"/>
      <c r="D596" s="288"/>
      <c r="E596" s="511"/>
      <c r="F596" s="510"/>
      <c r="G596" s="510"/>
      <c r="H596" s="510"/>
      <c r="I596" s="510"/>
      <c r="J596" s="510"/>
      <c r="K596" s="510"/>
      <c r="L596" s="510"/>
      <c r="M596" s="510"/>
      <c r="N596" s="510"/>
      <c r="O596" s="510"/>
      <c r="P596" s="510"/>
      <c r="Q596" s="510"/>
      <c r="R596" s="510"/>
      <c r="S596" s="510"/>
      <c r="T596" s="510"/>
      <c r="U596" s="510"/>
      <c r="V596" s="510"/>
      <c r="W596" s="510"/>
      <c r="X596" s="510"/>
      <c r="Y596" s="510"/>
      <c r="Z596" s="510"/>
      <c r="AA596" s="510"/>
      <c r="AB596" s="510"/>
      <c r="AC596" s="510"/>
      <c r="AD596" s="510"/>
    </row>
    <row r="597" ht="28.5" customHeight="1">
      <c r="A597" s="288"/>
      <c r="B597" s="510"/>
      <c r="C597" s="510"/>
      <c r="D597" s="288"/>
      <c r="E597" s="511"/>
      <c r="F597" s="510"/>
      <c r="G597" s="510"/>
      <c r="H597" s="510"/>
      <c r="I597" s="510"/>
      <c r="J597" s="510"/>
      <c r="K597" s="510"/>
      <c r="L597" s="510"/>
      <c r="M597" s="510"/>
      <c r="N597" s="510"/>
      <c r="O597" s="510"/>
      <c r="P597" s="510"/>
      <c r="Q597" s="510"/>
      <c r="R597" s="510"/>
      <c r="S597" s="510"/>
      <c r="T597" s="510"/>
      <c r="U597" s="510"/>
      <c r="V597" s="510"/>
      <c r="W597" s="510"/>
      <c r="X597" s="510"/>
      <c r="Y597" s="510"/>
      <c r="Z597" s="510"/>
      <c r="AA597" s="510"/>
      <c r="AB597" s="510"/>
      <c r="AC597" s="510"/>
      <c r="AD597" s="510"/>
    </row>
    <row r="598" ht="28.5" customHeight="1">
      <c r="A598" s="288"/>
      <c r="B598" s="510"/>
      <c r="C598" s="510"/>
      <c r="D598" s="288"/>
      <c r="E598" s="511"/>
      <c r="F598" s="510"/>
      <c r="G598" s="510"/>
      <c r="H598" s="510"/>
      <c r="I598" s="510"/>
      <c r="J598" s="510"/>
      <c r="K598" s="510"/>
      <c r="L598" s="510"/>
      <c r="M598" s="510"/>
      <c r="N598" s="510"/>
      <c r="O598" s="510"/>
      <c r="P598" s="510"/>
      <c r="Q598" s="510"/>
      <c r="R598" s="510"/>
      <c r="S598" s="510"/>
      <c r="T598" s="510"/>
      <c r="U598" s="510"/>
      <c r="V598" s="510"/>
      <c r="W598" s="510"/>
      <c r="X598" s="510"/>
      <c r="Y598" s="510"/>
      <c r="Z598" s="510"/>
      <c r="AA598" s="510"/>
      <c r="AB598" s="510"/>
      <c r="AC598" s="510"/>
      <c r="AD598" s="510"/>
    </row>
    <row r="599" ht="28.5" customHeight="1">
      <c r="A599" s="288"/>
      <c r="B599" s="510"/>
      <c r="C599" s="510"/>
      <c r="D599" s="288"/>
      <c r="E599" s="511"/>
      <c r="F599" s="510"/>
      <c r="G599" s="510"/>
      <c r="H599" s="510"/>
      <c r="I599" s="510"/>
      <c r="J599" s="510"/>
      <c r="K599" s="510"/>
      <c r="L599" s="510"/>
      <c r="M599" s="510"/>
      <c r="N599" s="510"/>
      <c r="O599" s="510"/>
      <c r="P599" s="510"/>
      <c r="Q599" s="510"/>
      <c r="R599" s="510"/>
      <c r="S599" s="510"/>
      <c r="T599" s="510"/>
      <c r="U599" s="510"/>
      <c r="V599" s="510"/>
      <c r="W599" s="510"/>
      <c r="X599" s="510"/>
      <c r="Y599" s="510"/>
      <c r="Z599" s="510"/>
      <c r="AA599" s="510"/>
      <c r="AB599" s="510"/>
      <c r="AC599" s="510"/>
      <c r="AD599" s="510"/>
    </row>
    <row r="600" ht="28.5" customHeight="1">
      <c r="A600" s="288"/>
      <c r="B600" s="510"/>
      <c r="C600" s="510"/>
      <c r="D600" s="288"/>
      <c r="E600" s="511"/>
      <c r="F600" s="510"/>
      <c r="G600" s="510"/>
      <c r="H600" s="510"/>
      <c r="I600" s="510"/>
      <c r="J600" s="510"/>
      <c r="K600" s="510"/>
      <c r="L600" s="510"/>
      <c r="M600" s="510"/>
      <c r="N600" s="510"/>
      <c r="O600" s="510"/>
      <c r="P600" s="510"/>
      <c r="Q600" s="510"/>
      <c r="R600" s="510"/>
      <c r="S600" s="510"/>
      <c r="T600" s="510"/>
      <c r="U600" s="510"/>
      <c r="V600" s="510"/>
      <c r="W600" s="510"/>
      <c r="X600" s="510"/>
      <c r="Y600" s="510"/>
      <c r="Z600" s="510"/>
      <c r="AA600" s="510"/>
      <c r="AB600" s="510"/>
      <c r="AC600" s="510"/>
      <c r="AD600" s="510"/>
    </row>
    <row r="601" ht="28.5" customHeight="1">
      <c r="A601" s="288"/>
      <c r="B601" s="510"/>
      <c r="C601" s="510"/>
      <c r="D601" s="288"/>
      <c r="E601" s="511"/>
      <c r="F601" s="510"/>
      <c r="G601" s="510"/>
      <c r="H601" s="510"/>
      <c r="I601" s="510"/>
      <c r="J601" s="510"/>
      <c r="K601" s="510"/>
      <c r="L601" s="510"/>
      <c r="M601" s="510"/>
      <c r="N601" s="510"/>
      <c r="O601" s="510"/>
      <c r="P601" s="510"/>
      <c r="Q601" s="510"/>
      <c r="R601" s="510"/>
      <c r="S601" s="510"/>
      <c r="T601" s="510"/>
      <c r="U601" s="510"/>
      <c r="V601" s="510"/>
      <c r="W601" s="510"/>
      <c r="X601" s="510"/>
      <c r="Y601" s="510"/>
      <c r="Z601" s="510"/>
      <c r="AA601" s="510"/>
      <c r="AB601" s="510"/>
      <c r="AC601" s="510"/>
      <c r="AD601" s="510"/>
    </row>
    <row r="602" ht="28.5" customHeight="1">
      <c r="A602" s="288"/>
      <c r="B602" s="510"/>
      <c r="C602" s="510"/>
      <c r="D602" s="288"/>
      <c r="E602" s="511"/>
      <c r="F602" s="510"/>
      <c r="G602" s="510"/>
      <c r="H602" s="510"/>
      <c r="I602" s="510"/>
      <c r="J602" s="510"/>
      <c r="K602" s="510"/>
      <c r="L602" s="510"/>
      <c r="M602" s="510"/>
      <c r="N602" s="510"/>
      <c r="O602" s="510"/>
      <c r="P602" s="510"/>
      <c r="Q602" s="510"/>
      <c r="R602" s="510"/>
      <c r="S602" s="510"/>
      <c r="T602" s="510"/>
      <c r="U602" s="510"/>
      <c r="V602" s="510"/>
      <c r="W602" s="510"/>
      <c r="X602" s="510"/>
      <c r="Y602" s="510"/>
      <c r="Z602" s="510"/>
      <c r="AA602" s="510"/>
      <c r="AB602" s="510"/>
      <c r="AC602" s="510"/>
      <c r="AD602" s="510"/>
    </row>
    <row r="603" ht="28.5" customHeight="1">
      <c r="A603" s="288"/>
      <c r="B603" s="510"/>
      <c r="C603" s="510"/>
      <c r="D603" s="288"/>
      <c r="E603" s="511"/>
      <c r="F603" s="510"/>
      <c r="G603" s="510"/>
      <c r="H603" s="510"/>
      <c r="I603" s="510"/>
      <c r="J603" s="510"/>
      <c r="K603" s="510"/>
      <c r="L603" s="510"/>
      <c r="M603" s="510"/>
      <c r="N603" s="510"/>
      <c r="O603" s="510"/>
      <c r="P603" s="510"/>
      <c r="Q603" s="510"/>
      <c r="R603" s="510"/>
      <c r="S603" s="510"/>
      <c r="T603" s="510"/>
      <c r="U603" s="510"/>
      <c r="V603" s="510"/>
      <c r="W603" s="510"/>
      <c r="X603" s="510"/>
      <c r="Y603" s="510"/>
      <c r="Z603" s="510"/>
      <c r="AA603" s="510"/>
      <c r="AB603" s="510"/>
      <c r="AC603" s="510"/>
      <c r="AD603" s="510"/>
    </row>
    <row r="604" ht="28.5" customHeight="1">
      <c r="A604" s="288"/>
      <c r="B604" s="510"/>
      <c r="C604" s="510"/>
      <c r="D604" s="288"/>
      <c r="E604" s="511"/>
      <c r="F604" s="510"/>
      <c r="G604" s="510"/>
      <c r="H604" s="510"/>
      <c r="I604" s="510"/>
      <c r="J604" s="510"/>
      <c r="K604" s="510"/>
      <c r="L604" s="510"/>
      <c r="M604" s="510"/>
      <c r="N604" s="510"/>
      <c r="O604" s="510"/>
      <c r="P604" s="510"/>
      <c r="Q604" s="510"/>
      <c r="R604" s="510"/>
      <c r="S604" s="510"/>
      <c r="T604" s="510"/>
      <c r="U604" s="510"/>
      <c r="V604" s="510"/>
      <c r="W604" s="510"/>
      <c r="X604" s="510"/>
      <c r="Y604" s="510"/>
      <c r="Z604" s="510"/>
      <c r="AA604" s="510"/>
      <c r="AB604" s="510"/>
      <c r="AC604" s="510"/>
      <c r="AD604" s="510"/>
    </row>
    <row r="605" ht="28.5" customHeight="1">
      <c r="A605" s="288"/>
      <c r="B605" s="510"/>
      <c r="C605" s="510"/>
      <c r="D605" s="288"/>
      <c r="E605" s="511"/>
      <c r="F605" s="510"/>
      <c r="G605" s="510"/>
      <c r="H605" s="510"/>
      <c r="I605" s="510"/>
      <c r="J605" s="510"/>
      <c r="K605" s="510"/>
      <c r="L605" s="510"/>
      <c r="M605" s="510"/>
      <c r="N605" s="510"/>
      <c r="O605" s="510"/>
      <c r="P605" s="510"/>
      <c r="Q605" s="510"/>
      <c r="R605" s="510"/>
      <c r="S605" s="510"/>
      <c r="T605" s="510"/>
      <c r="U605" s="510"/>
      <c r="V605" s="510"/>
      <c r="W605" s="510"/>
      <c r="X605" s="510"/>
      <c r="Y605" s="510"/>
      <c r="Z605" s="510"/>
      <c r="AA605" s="510"/>
      <c r="AB605" s="510"/>
      <c r="AC605" s="510"/>
      <c r="AD605" s="510"/>
    </row>
    <row r="606" ht="28.5" customHeight="1">
      <c r="A606" s="288"/>
      <c r="B606" s="510"/>
      <c r="C606" s="510"/>
      <c r="D606" s="288"/>
      <c r="E606" s="511"/>
      <c r="F606" s="510"/>
      <c r="G606" s="510"/>
      <c r="H606" s="510"/>
      <c r="I606" s="510"/>
      <c r="J606" s="510"/>
      <c r="K606" s="510"/>
      <c r="L606" s="510"/>
      <c r="M606" s="510"/>
      <c r="N606" s="510"/>
      <c r="O606" s="510"/>
      <c r="P606" s="510"/>
      <c r="Q606" s="510"/>
      <c r="R606" s="510"/>
      <c r="S606" s="510"/>
      <c r="T606" s="510"/>
      <c r="U606" s="510"/>
      <c r="V606" s="510"/>
      <c r="W606" s="510"/>
      <c r="X606" s="510"/>
      <c r="Y606" s="510"/>
      <c r="Z606" s="510"/>
      <c r="AA606" s="510"/>
      <c r="AB606" s="510"/>
      <c r="AC606" s="510"/>
      <c r="AD606" s="510"/>
    </row>
    <row r="607" ht="28.5" customHeight="1">
      <c r="A607" s="288"/>
      <c r="B607" s="510"/>
      <c r="C607" s="510"/>
      <c r="D607" s="288"/>
      <c r="E607" s="511"/>
      <c r="F607" s="510"/>
      <c r="G607" s="510"/>
      <c r="H607" s="510"/>
      <c r="I607" s="510"/>
      <c r="J607" s="510"/>
      <c r="K607" s="510"/>
      <c r="L607" s="510"/>
      <c r="M607" s="510"/>
      <c r="N607" s="510"/>
      <c r="O607" s="510"/>
      <c r="P607" s="510"/>
      <c r="Q607" s="510"/>
      <c r="R607" s="510"/>
      <c r="S607" s="510"/>
      <c r="T607" s="510"/>
      <c r="U607" s="510"/>
      <c r="V607" s="510"/>
      <c r="W607" s="510"/>
      <c r="X607" s="510"/>
      <c r="Y607" s="510"/>
      <c r="Z607" s="510"/>
      <c r="AA607" s="510"/>
      <c r="AB607" s="510"/>
      <c r="AC607" s="510"/>
      <c r="AD607" s="510"/>
    </row>
    <row r="608" ht="28.5" customHeight="1">
      <c r="A608" s="288"/>
      <c r="B608" s="510"/>
      <c r="C608" s="510"/>
      <c r="D608" s="288"/>
      <c r="E608" s="511"/>
      <c r="F608" s="510"/>
      <c r="G608" s="510"/>
      <c r="H608" s="510"/>
      <c r="I608" s="510"/>
      <c r="J608" s="510"/>
      <c r="K608" s="510"/>
      <c r="L608" s="510"/>
      <c r="M608" s="510"/>
      <c r="N608" s="510"/>
      <c r="O608" s="510"/>
      <c r="P608" s="510"/>
      <c r="Q608" s="510"/>
      <c r="R608" s="510"/>
      <c r="S608" s="510"/>
      <c r="T608" s="510"/>
      <c r="U608" s="510"/>
      <c r="V608" s="510"/>
      <c r="W608" s="510"/>
      <c r="X608" s="510"/>
      <c r="Y608" s="510"/>
      <c r="Z608" s="510"/>
      <c r="AA608" s="510"/>
      <c r="AB608" s="510"/>
      <c r="AC608" s="510"/>
      <c r="AD608" s="510"/>
    </row>
    <row r="609" ht="28.5" customHeight="1">
      <c r="A609" s="288"/>
      <c r="B609" s="510"/>
      <c r="C609" s="510"/>
      <c r="D609" s="288"/>
      <c r="E609" s="511"/>
      <c r="F609" s="510"/>
      <c r="G609" s="510"/>
      <c r="H609" s="510"/>
      <c r="I609" s="510"/>
      <c r="J609" s="510"/>
      <c r="K609" s="510"/>
      <c r="L609" s="510"/>
      <c r="M609" s="510"/>
      <c r="N609" s="510"/>
      <c r="O609" s="510"/>
      <c r="P609" s="510"/>
      <c r="Q609" s="510"/>
      <c r="R609" s="510"/>
      <c r="S609" s="510"/>
      <c r="T609" s="510"/>
      <c r="U609" s="510"/>
      <c r="V609" s="510"/>
      <c r="W609" s="510"/>
      <c r="X609" s="510"/>
      <c r="Y609" s="510"/>
      <c r="Z609" s="510"/>
      <c r="AA609" s="510"/>
      <c r="AB609" s="510"/>
      <c r="AC609" s="510"/>
      <c r="AD609" s="510"/>
    </row>
    <row r="610" ht="28.5" customHeight="1">
      <c r="A610" s="288"/>
      <c r="B610" s="510"/>
      <c r="C610" s="510"/>
      <c r="D610" s="288"/>
      <c r="E610" s="511"/>
      <c r="F610" s="510"/>
      <c r="G610" s="510"/>
      <c r="H610" s="510"/>
      <c r="I610" s="510"/>
      <c r="J610" s="510"/>
      <c r="K610" s="510"/>
      <c r="L610" s="510"/>
      <c r="M610" s="510"/>
      <c r="N610" s="510"/>
      <c r="O610" s="510"/>
      <c r="P610" s="510"/>
      <c r="Q610" s="510"/>
      <c r="R610" s="510"/>
      <c r="S610" s="510"/>
      <c r="T610" s="510"/>
      <c r="U610" s="510"/>
      <c r="V610" s="510"/>
      <c r="W610" s="510"/>
      <c r="X610" s="510"/>
      <c r="Y610" s="510"/>
      <c r="Z610" s="510"/>
      <c r="AA610" s="510"/>
      <c r="AB610" s="510"/>
      <c r="AC610" s="510"/>
      <c r="AD610" s="510"/>
    </row>
    <row r="611" ht="28.5" customHeight="1">
      <c r="A611" s="288"/>
      <c r="B611" s="510"/>
      <c r="C611" s="510"/>
      <c r="D611" s="288"/>
      <c r="E611" s="511"/>
      <c r="F611" s="510"/>
      <c r="G611" s="510"/>
      <c r="H611" s="510"/>
      <c r="I611" s="510"/>
      <c r="J611" s="510"/>
      <c r="K611" s="510"/>
      <c r="L611" s="510"/>
      <c r="M611" s="510"/>
      <c r="N611" s="510"/>
      <c r="O611" s="510"/>
      <c r="P611" s="510"/>
      <c r="Q611" s="510"/>
      <c r="R611" s="510"/>
      <c r="S611" s="510"/>
      <c r="T611" s="510"/>
      <c r="U611" s="510"/>
      <c r="V611" s="510"/>
      <c r="W611" s="510"/>
      <c r="X611" s="510"/>
      <c r="Y611" s="510"/>
      <c r="Z611" s="510"/>
      <c r="AA611" s="510"/>
      <c r="AB611" s="510"/>
      <c r="AC611" s="510"/>
      <c r="AD611" s="510"/>
    </row>
    <row r="612" ht="28.5" customHeight="1">
      <c r="A612" s="288"/>
      <c r="B612" s="510"/>
      <c r="C612" s="510"/>
      <c r="D612" s="288"/>
      <c r="E612" s="511"/>
      <c r="F612" s="510"/>
      <c r="G612" s="510"/>
      <c r="H612" s="510"/>
      <c r="I612" s="510"/>
      <c r="J612" s="510"/>
      <c r="K612" s="510"/>
      <c r="L612" s="510"/>
      <c r="M612" s="510"/>
      <c r="N612" s="510"/>
      <c r="O612" s="510"/>
      <c r="P612" s="510"/>
      <c r="Q612" s="510"/>
      <c r="R612" s="510"/>
      <c r="S612" s="510"/>
      <c r="T612" s="510"/>
      <c r="U612" s="510"/>
      <c r="V612" s="510"/>
      <c r="W612" s="510"/>
      <c r="X612" s="510"/>
      <c r="Y612" s="510"/>
      <c r="Z612" s="510"/>
      <c r="AA612" s="510"/>
      <c r="AB612" s="510"/>
      <c r="AC612" s="510"/>
      <c r="AD612" s="510"/>
    </row>
    <row r="613" ht="28.5" customHeight="1">
      <c r="A613" s="288"/>
      <c r="B613" s="510"/>
      <c r="C613" s="510"/>
      <c r="D613" s="288"/>
      <c r="E613" s="511"/>
      <c r="F613" s="510"/>
      <c r="G613" s="510"/>
      <c r="H613" s="510"/>
      <c r="I613" s="510"/>
      <c r="J613" s="510"/>
      <c r="K613" s="510"/>
      <c r="L613" s="510"/>
      <c r="M613" s="510"/>
      <c r="N613" s="510"/>
      <c r="O613" s="510"/>
      <c r="P613" s="510"/>
      <c r="Q613" s="510"/>
      <c r="R613" s="510"/>
      <c r="S613" s="510"/>
      <c r="T613" s="510"/>
      <c r="U613" s="510"/>
      <c r="V613" s="510"/>
      <c r="W613" s="510"/>
      <c r="X613" s="510"/>
      <c r="Y613" s="510"/>
      <c r="Z613" s="510"/>
      <c r="AA613" s="510"/>
      <c r="AB613" s="510"/>
      <c r="AC613" s="510"/>
      <c r="AD613" s="510"/>
    </row>
    <row r="614" ht="28.5" customHeight="1">
      <c r="A614" s="288"/>
      <c r="B614" s="510"/>
      <c r="C614" s="510"/>
      <c r="D614" s="288"/>
      <c r="E614" s="511"/>
      <c r="F614" s="510"/>
      <c r="G614" s="510"/>
      <c r="H614" s="510"/>
      <c r="I614" s="510"/>
      <c r="J614" s="510"/>
      <c r="K614" s="510"/>
      <c r="L614" s="510"/>
      <c r="M614" s="510"/>
      <c r="N614" s="510"/>
      <c r="O614" s="510"/>
      <c r="P614" s="510"/>
      <c r="Q614" s="510"/>
      <c r="R614" s="510"/>
      <c r="S614" s="510"/>
      <c r="T614" s="510"/>
      <c r="U614" s="510"/>
      <c r="V614" s="510"/>
      <c r="W614" s="510"/>
      <c r="X614" s="510"/>
      <c r="Y614" s="510"/>
      <c r="Z614" s="510"/>
      <c r="AA614" s="510"/>
      <c r="AB614" s="510"/>
      <c r="AC614" s="510"/>
      <c r="AD614" s="510"/>
    </row>
    <row r="615" ht="28.5" customHeight="1">
      <c r="A615" s="288"/>
      <c r="B615" s="510"/>
      <c r="C615" s="510"/>
      <c r="D615" s="288"/>
      <c r="E615" s="511"/>
      <c r="F615" s="510"/>
      <c r="G615" s="510"/>
      <c r="H615" s="510"/>
      <c r="I615" s="510"/>
      <c r="J615" s="510"/>
      <c r="K615" s="510"/>
      <c r="L615" s="510"/>
      <c r="M615" s="510"/>
      <c r="N615" s="510"/>
      <c r="O615" s="510"/>
      <c r="P615" s="510"/>
      <c r="Q615" s="510"/>
      <c r="R615" s="510"/>
      <c r="S615" s="510"/>
      <c r="T615" s="510"/>
      <c r="U615" s="510"/>
      <c r="V615" s="510"/>
      <c r="W615" s="510"/>
      <c r="X615" s="510"/>
      <c r="Y615" s="510"/>
      <c r="Z615" s="510"/>
      <c r="AA615" s="510"/>
      <c r="AB615" s="510"/>
      <c r="AC615" s="510"/>
      <c r="AD615" s="510"/>
    </row>
    <row r="616" ht="28.5" customHeight="1">
      <c r="A616" s="288"/>
      <c r="B616" s="510"/>
      <c r="C616" s="510"/>
      <c r="D616" s="288"/>
      <c r="E616" s="511"/>
      <c r="F616" s="510"/>
      <c r="G616" s="510"/>
      <c r="H616" s="510"/>
      <c r="I616" s="510"/>
      <c r="J616" s="510"/>
      <c r="K616" s="510"/>
      <c r="L616" s="510"/>
      <c r="M616" s="510"/>
      <c r="N616" s="510"/>
      <c r="O616" s="510"/>
      <c r="P616" s="510"/>
      <c r="Q616" s="510"/>
      <c r="R616" s="510"/>
      <c r="S616" s="510"/>
      <c r="T616" s="510"/>
      <c r="U616" s="510"/>
      <c r="V616" s="510"/>
      <c r="W616" s="510"/>
      <c r="X616" s="510"/>
      <c r="Y616" s="510"/>
      <c r="Z616" s="510"/>
      <c r="AA616" s="510"/>
      <c r="AB616" s="510"/>
      <c r="AC616" s="510"/>
      <c r="AD616" s="510"/>
    </row>
    <row r="617" ht="28.5" customHeight="1">
      <c r="A617" s="288"/>
      <c r="B617" s="510"/>
      <c r="C617" s="510"/>
      <c r="D617" s="288"/>
      <c r="E617" s="511"/>
      <c r="F617" s="510"/>
      <c r="G617" s="510"/>
      <c r="H617" s="510"/>
      <c r="I617" s="510"/>
      <c r="J617" s="510"/>
      <c r="K617" s="510"/>
      <c r="L617" s="510"/>
      <c r="M617" s="510"/>
      <c r="N617" s="510"/>
      <c r="O617" s="510"/>
      <c r="P617" s="510"/>
      <c r="Q617" s="510"/>
      <c r="R617" s="510"/>
      <c r="S617" s="510"/>
      <c r="T617" s="510"/>
      <c r="U617" s="510"/>
      <c r="V617" s="510"/>
      <c r="W617" s="510"/>
      <c r="X617" s="510"/>
      <c r="Y617" s="510"/>
      <c r="Z617" s="510"/>
      <c r="AA617" s="510"/>
      <c r="AB617" s="510"/>
      <c r="AC617" s="510"/>
      <c r="AD617" s="510"/>
    </row>
    <row r="618" ht="28.5" customHeight="1">
      <c r="A618" s="288"/>
      <c r="B618" s="510"/>
      <c r="C618" s="510"/>
      <c r="D618" s="288"/>
      <c r="E618" s="511"/>
      <c r="F618" s="510"/>
      <c r="G618" s="510"/>
      <c r="H618" s="510"/>
      <c r="I618" s="510"/>
      <c r="J618" s="510"/>
      <c r="K618" s="510"/>
      <c r="L618" s="510"/>
      <c r="M618" s="510"/>
      <c r="N618" s="510"/>
      <c r="O618" s="510"/>
      <c r="P618" s="510"/>
      <c r="Q618" s="510"/>
      <c r="R618" s="510"/>
      <c r="S618" s="510"/>
      <c r="T618" s="510"/>
      <c r="U618" s="510"/>
      <c r="V618" s="510"/>
      <c r="W618" s="510"/>
      <c r="X618" s="510"/>
      <c r="Y618" s="510"/>
      <c r="Z618" s="510"/>
      <c r="AA618" s="510"/>
      <c r="AB618" s="510"/>
      <c r="AC618" s="510"/>
      <c r="AD618" s="510"/>
    </row>
    <row r="619" ht="28.5" customHeight="1">
      <c r="A619" s="288"/>
      <c r="B619" s="510"/>
      <c r="C619" s="510"/>
      <c r="D619" s="288"/>
      <c r="E619" s="511"/>
      <c r="F619" s="510"/>
      <c r="G619" s="510"/>
      <c r="H619" s="510"/>
      <c r="I619" s="510"/>
      <c r="J619" s="510"/>
      <c r="K619" s="510"/>
      <c r="L619" s="510"/>
      <c r="M619" s="510"/>
      <c r="N619" s="510"/>
      <c r="O619" s="510"/>
      <c r="P619" s="510"/>
      <c r="Q619" s="510"/>
      <c r="R619" s="510"/>
      <c r="S619" s="510"/>
      <c r="T619" s="510"/>
      <c r="U619" s="510"/>
      <c r="V619" s="510"/>
      <c r="W619" s="510"/>
      <c r="X619" s="510"/>
      <c r="Y619" s="510"/>
      <c r="Z619" s="510"/>
      <c r="AA619" s="510"/>
      <c r="AB619" s="510"/>
      <c r="AC619" s="510"/>
      <c r="AD619" s="510"/>
    </row>
    <row r="620" ht="28.5" customHeight="1">
      <c r="A620" s="288"/>
      <c r="B620" s="510"/>
      <c r="C620" s="510"/>
      <c r="D620" s="288"/>
      <c r="E620" s="511"/>
      <c r="F620" s="510"/>
      <c r="G620" s="510"/>
      <c r="H620" s="510"/>
      <c r="I620" s="510"/>
      <c r="J620" s="510"/>
      <c r="K620" s="510"/>
      <c r="L620" s="510"/>
      <c r="M620" s="510"/>
      <c r="N620" s="510"/>
      <c r="O620" s="510"/>
      <c r="P620" s="510"/>
      <c r="Q620" s="510"/>
      <c r="R620" s="510"/>
      <c r="S620" s="510"/>
      <c r="T620" s="510"/>
      <c r="U620" s="510"/>
      <c r="V620" s="510"/>
      <c r="W620" s="510"/>
      <c r="X620" s="510"/>
      <c r="Y620" s="510"/>
      <c r="Z620" s="510"/>
      <c r="AA620" s="510"/>
      <c r="AB620" s="510"/>
      <c r="AC620" s="510"/>
      <c r="AD620" s="510"/>
    </row>
    <row r="621" ht="28.5" customHeight="1">
      <c r="A621" s="288"/>
      <c r="B621" s="510"/>
      <c r="C621" s="510"/>
      <c r="D621" s="288"/>
      <c r="E621" s="511"/>
      <c r="F621" s="510"/>
      <c r="G621" s="510"/>
      <c r="H621" s="510"/>
      <c r="I621" s="510"/>
      <c r="J621" s="510"/>
      <c r="K621" s="510"/>
      <c r="L621" s="510"/>
      <c r="M621" s="510"/>
      <c r="N621" s="510"/>
      <c r="O621" s="510"/>
      <c r="P621" s="510"/>
      <c r="Q621" s="510"/>
      <c r="R621" s="510"/>
      <c r="S621" s="510"/>
      <c r="T621" s="510"/>
      <c r="U621" s="510"/>
      <c r="V621" s="510"/>
      <c r="W621" s="510"/>
      <c r="X621" s="510"/>
      <c r="Y621" s="510"/>
      <c r="Z621" s="510"/>
      <c r="AA621" s="510"/>
      <c r="AB621" s="510"/>
      <c r="AC621" s="510"/>
      <c r="AD621" s="510"/>
    </row>
    <row r="622" ht="28.5" customHeight="1">
      <c r="A622" s="288"/>
      <c r="B622" s="510"/>
      <c r="C622" s="510"/>
      <c r="D622" s="288"/>
      <c r="E622" s="511"/>
      <c r="F622" s="510"/>
      <c r="G622" s="510"/>
      <c r="H622" s="510"/>
      <c r="I622" s="510"/>
      <c r="J622" s="510"/>
      <c r="K622" s="510"/>
      <c r="L622" s="510"/>
      <c r="M622" s="510"/>
      <c r="N622" s="510"/>
      <c r="O622" s="510"/>
      <c r="P622" s="510"/>
      <c r="Q622" s="510"/>
      <c r="R622" s="510"/>
      <c r="S622" s="510"/>
      <c r="T622" s="510"/>
      <c r="U622" s="510"/>
      <c r="V622" s="510"/>
      <c r="W622" s="510"/>
      <c r="X622" s="510"/>
      <c r="Y622" s="510"/>
      <c r="Z622" s="510"/>
      <c r="AA622" s="510"/>
      <c r="AB622" s="510"/>
      <c r="AC622" s="510"/>
      <c r="AD622" s="510"/>
    </row>
    <row r="623" ht="28.5" customHeight="1">
      <c r="A623" s="288"/>
      <c r="B623" s="510"/>
      <c r="C623" s="510"/>
      <c r="D623" s="288"/>
      <c r="E623" s="511"/>
      <c r="F623" s="510"/>
      <c r="G623" s="510"/>
      <c r="H623" s="510"/>
      <c r="I623" s="510"/>
      <c r="J623" s="510"/>
      <c r="K623" s="510"/>
      <c r="L623" s="510"/>
      <c r="M623" s="510"/>
      <c r="N623" s="510"/>
      <c r="O623" s="510"/>
      <c r="P623" s="510"/>
      <c r="Q623" s="510"/>
      <c r="R623" s="510"/>
      <c r="S623" s="510"/>
      <c r="T623" s="510"/>
      <c r="U623" s="510"/>
      <c r="V623" s="510"/>
      <c r="W623" s="510"/>
      <c r="X623" s="510"/>
      <c r="Y623" s="510"/>
      <c r="Z623" s="510"/>
      <c r="AA623" s="510"/>
      <c r="AB623" s="510"/>
      <c r="AC623" s="510"/>
      <c r="AD623" s="510"/>
    </row>
    <row r="624" ht="28.5" customHeight="1">
      <c r="A624" s="288"/>
      <c r="B624" s="510"/>
      <c r="C624" s="510"/>
      <c r="D624" s="288"/>
      <c r="E624" s="511"/>
      <c r="F624" s="510"/>
      <c r="G624" s="510"/>
      <c r="H624" s="510"/>
      <c r="I624" s="510"/>
      <c r="J624" s="510"/>
      <c r="K624" s="510"/>
      <c r="L624" s="510"/>
      <c r="M624" s="510"/>
      <c r="N624" s="510"/>
      <c r="O624" s="510"/>
      <c r="P624" s="510"/>
      <c r="Q624" s="510"/>
      <c r="R624" s="510"/>
      <c r="S624" s="510"/>
      <c r="T624" s="510"/>
      <c r="U624" s="510"/>
      <c r="V624" s="510"/>
      <c r="W624" s="510"/>
      <c r="X624" s="510"/>
      <c r="Y624" s="510"/>
      <c r="Z624" s="510"/>
      <c r="AA624" s="510"/>
      <c r="AB624" s="510"/>
      <c r="AC624" s="510"/>
      <c r="AD624" s="510"/>
    </row>
    <row r="625" ht="28.5" customHeight="1">
      <c r="A625" s="288"/>
      <c r="B625" s="510"/>
      <c r="C625" s="510"/>
      <c r="D625" s="288"/>
      <c r="E625" s="511"/>
      <c r="F625" s="510"/>
      <c r="G625" s="510"/>
      <c r="H625" s="510"/>
      <c r="I625" s="510"/>
      <c r="J625" s="510"/>
      <c r="K625" s="510"/>
      <c r="L625" s="510"/>
      <c r="M625" s="510"/>
      <c r="N625" s="510"/>
      <c r="O625" s="510"/>
      <c r="P625" s="510"/>
      <c r="Q625" s="510"/>
      <c r="R625" s="510"/>
      <c r="S625" s="510"/>
      <c r="T625" s="510"/>
      <c r="U625" s="510"/>
      <c r="V625" s="510"/>
      <c r="W625" s="510"/>
      <c r="X625" s="510"/>
      <c r="Y625" s="510"/>
      <c r="Z625" s="510"/>
      <c r="AA625" s="510"/>
      <c r="AB625" s="510"/>
      <c r="AC625" s="510"/>
      <c r="AD625" s="510"/>
    </row>
    <row r="626" ht="28.5" customHeight="1">
      <c r="A626" s="288"/>
      <c r="B626" s="510"/>
      <c r="C626" s="510"/>
      <c r="D626" s="288"/>
      <c r="E626" s="511"/>
      <c r="F626" s="510"/>
      <c r="G626" s="510"/>
      <c r="H626" s="510"/>
      <c r="I626" s="510"/>
      <c r="J626" s="510"/>
      <c r="K626" s="510"/>
      <c r="L626" s="510"/>
      <c r="M626" s="510"/>
      <c r="N626" s="510"/>
      <c r="O626" s="510"/>
      <c r="P626" s="510"/>
      <c r="Q626" s="510"/>
      <c r="R626" s="510"/>
      <c r="S626" s="510"/>
      <c r="T626" s="510"/>
      <c r="U626" s="510"/>
      <c r="V626" s="510"/>
      <c r="W626" s="510"/>
      <c r="X626" s="510"/>
      <c r="Y626" s="510"/>
      <c r="Z626" s="510"/>
      <c r="AA626" s="510"/>
      <c r="AB626" s="510"/>
      <c r="AC626" s="510"/>
      <c r="AD626" s="510"/>
    </row>
    <row r="627" ht="28.5" customHeight="1">
      <c r="A627" s="288"/>
      <c r="B627" s="510"/>
      <c r="C627" s="510"/>
      <c r="D627" s="288"/>
      <c r="E627" s="511"/>
      <c r="F627" s="510"/>
      <c r="G627" s="510"/>
      <c r="H627" s="510"/>
      <c r="I627" s="510"/>
      <c r="J627" s="510"/>
      <c r="K627" s="510"/>
      <c r="L627" s="510"/>
      <c r="M627" s="510"/>
      <c r="N627" s="510"/>
      <c r="O627" s="510"/>
      <c r="P627" s="510"/>
      <c r="Q627" s="510"/>
      <c r="R627" s="510"/>
      <c r="S627" s="510"/>
      <c r="T627" s="510"/>
      <c r="U627" s="510"/>
      <c r="V627" s="510"/>
      <c r="W627" s="510"/>
      <c r="X627" s="510"/>
      <c r="Y627" s="510"/>
      <c r="Z627" s="510"/>
      <c r="AA627" s="510"/>
      <c r="AB627" s="510"/>
      <c r="AC627" s="510"/>
      <c r="AD627" s="510"/>
    </row>
    <row r="628" ht="28.5" customHeight="1">
      <c r="A628" s="288"/>
      <c r="B628" s="510"/>
      <c r="C628" s="510"/>
      <c r="D628" s="288"/>
      <c r="E628" s="511"/>
      <c r="F628" s="510"/>
      <c r="G628" s="510"/>
      <c r="H628" s="510"/>
      <c r="I628" s="510"/>
      <c r="J628" s="510"/>
      <c r="K628" s="510"/>
      <c r="L628" s="510"/>
      <c r="M628" s="510"/>
      <c r="N628" s="510"/>
      <c r="O628" s="510"/>
      <c r="P628" s="510"/>
      <c r="Q628" s="510"/>
      <c r="R628" s="510"/>
      <c r="S628" s="510"/>
      <c r="T628" s="510"/>
      <c r="U628" s="510"/>
      <c r="V628" s="510"/>
      <c r="W628" s="510"/>
      <c r="X628" s="510"/>
      <c r="Y628" s="510"/>
      <c r="Z628" s="510"/>
      <c r="AA628" s="510"/>
      <c r="AB628" s="510"/>
      <c r="AC628" s="510"/>
      <c r="AD628" s="510"/>
    </row>
    <row r="629" ht="28.5" customHeight="1">
      <c r="A629" s="288"/>
      <c r="B629" s="510"/>
      <c r="C629" s="510"/>
      <c r="D629" s="288"/>
      <c r="E629" s="511"/>
      <c r="F629" s="510"/>
      <c r="G629" s="510"/>
      <c r="H629" s="510"/>
      <c r="I629" s="510"/>
      <c r="J629" s="510"/>
      <c r="K629" s="510"/>
      <c r="L629" s="510"/>
      <c r="M629" s="510"/>
      <c r="N629" s="510"/>
      <c r="O629" s="510"/>
      <c r="P629" s="510"/>
      <c r="Q629" s="510"/>
      <c r="R629" s="510"/>
      <c r="S629" s="510"/>
      <c r="T629" s="510"/>
      <c r="U629" s="510"/>
      <c r="V629" s="510"/>
      <c r="W629" s="510"/>
      <c r="X629" s="510"/>
      <c r="Y629" s="510"/>
      <c r="Z629" s="510"/>
      <c r="AA629" s="510"/>
      <c r="AB629" s="510"/>
      <c r="AC629" s="510"/>
      <c r="AD629" s="510"/>
    </row>
    <row r="630" ht="28.5" customHeight="1">
      <c r="A630" s="288"/>
      <c r="B630" s="510"/>
      <c r="C630" s="510"/>
      <c r="D630" s="288"/>
      <c r="E630" s="511"/>
      <c r="F630" s="510"/>
      <c r="G630" s="510"/>
      <c r="H630" s="510"/>
      <c r="I630" s="510"/>
      <c r="J630" s="510"/>
      <c r="K630" s="510"/>
      <c r="L630" s="510"/>
      <c r="M630" s="510"/>
      <c r="N630" s="510"/>
      <c r="O630" s="510"/>
      <c r="P630" s="510"/>
      <c r="Q630" s="510"/>
      <c r="R630" s="510"/>
      <c r="S630" s="510"/>
      <c r="T630" s="510"/>
      <c r="U630" s="510"/>
      <c r="V630" s="510"/>
      <c r="W630" s="510"/>
      <c r="X630" s="510"/>
      <c r="Y630" s="510"/>
      <c r="Z630" s="510"/>
      <c r="AA630" s="510"/>
      <c r="AB630" s="510"/>
      <c r="AC630" s="510"/>
      <c r="AD630" s="510"/>
    </row>
    <row r="631" ht="28.5" customHeight="1">
      <c r="A631" s="288"/>
      <c r="B631" s="510"/>
      <c r="C631" s="510"/>
      <c r="D631" s="288"/>
      <c r="E631" s="511"/>
      <c r="F631" s="510"/>
      <c r="G631" s="510"/>
      <c r="H631" s="510"/>
      <c r="I631" s="510"/>
      <c r="J631" s="510"/>
      <c r="K631" s="510"/>
      <c r="L631" s="510"/>
      <c r="M631" s="510"/>
      <c r="N631" s="510"/>
      <c r="O631" s="510"/>
      <c r="P631" s="510"/>
      <c r="Q631" s="510"/>
      <c r="R631" s="510"/>
      <c r="S631" s="510"/>
      <c r="T631" s="510"/>
      <c r="U631" s="510"/>
      <c r="V631" s="510"/>
      <c r="W631" s="510"/>
      <c r="X631" s="510"/>
      <c r="Y631" s="510"/>
      <c r="Z631" s="510"/>
      <c r="AA631" s="510"/>
      <c r="AB631" s="510"/>
      <c r="AC631" s="510"/>
      <c r="AD631" s="510"/>
    </row>
    <row r="632" ht="28.5" customHeight="1">
      <c r="A632" s="288"/>
      <c r="B632" s="510"/>
      <c r="C632" s="510"/>
      <c r="D632" s="288"/>
      <c r="E632" s="511"/>
      <c r="F632" s="510"/>
      <c r="G632" s="510"/>
      <c r="H632" s="510"/>
      <c r="I632" s="510"/>
      <c r="J632" s="510"/>
      <c r="K632" s="510"/>
      <c r="L632" s="510"/>
      <c r="M632" s="510"/>
      <c r="N632" s="510"/>
      <c r="O632" s="510"/>
      <c r="P632" s="510"/>
      <c r="Q632" s="510"/>
      <c r="R632" s="510"/>
      <c r="S632" s="510"/>
      <c r="T632" s="510"/>
      <c r="U632" s="510"/>
      <c r="V632" s="510"/>
      <c r="W632" s="510"/>
      <c r="X632" s="510"/>
      <c r="Y632" s="510"/>
      <c r="Z632" s="510"/>
      <c r="AA632" s="510"/>
      <c r="AB632" s="510"/>
      <c r="AC632" s="510"/>
      <c r="AD632" s="510"/>
    </row>
    <row r="633" ht="28.5" customHeight="1">
      <c r="A633" s="288"/>
      <c r="B633" s="510"/>
      <c r="C633" s="510"/>
      <c r="D633" s="288"/>
      <c r="E633" s="511"/>
      <c r="F633" s="510"/>
      <c r="G633" s="510"/>
      <c r="H633" s="510"/>
      <c r="I633" s="510"/>
      <c r="J633" s="510"/>
      <c r="K633" s="510"/>
      <c r="L633" s="510"/>
      <c r="M633" s="510"/>
      <c r="N633" s="510"/>
      <c r="O633" s="510"/>
      <c r="P633" s="510"/>
      <c r="Q633" s="510"/>
      <c r="R633" s="510"/>
      <c r="S633" s="510"/>
      <c r="T633" s="510"/>
      <c r="U633" s="510"/>
      <c r="V633" s="510"/>
      <c r="W633" s="510"/>
      <c r="X633" s="510"/>
      <c r="Y633" s="510"/>
      <c r="Z633" s="510"/>
      <c r="AA633" s="510"/>
      <c r="AB633" s="510"/>
      <c r="AC633" s="510"/>
      <c r="AD633" s="510"/>
    </row>
    <row r="634" ht="28.5" customHeight="1">
      <c r="A634" s="288"/>
      <c r="B634" s="510"/>
      <c r="C634" s="510"/>
      <c r="D634" s="288"/>
      <c r="E634" s="511"/>
      <c r="F634" s="510"/>
      <c r="G634" s="510"/>
      <c r="H634" s="510"/>
      <c r="I634" s="510"/>
      <c r="J634" s="510"/>
      <c r="K634" s="510"/>
      <c r="L634" s="510"/>
      <c r="M634" s="510"/>
      <c r="N634" s="510"/>
      <c r="O634" s="510"/>
      <c r="P634" s="510"/>
      <c r="Q634" s="510"/>
      <c r="R634" s="510"/>
      <c r="S634" s="510"/>
      <c r="T634" s="510"/>
      <c r="U634" s="510"/>
      <c r="V634" s="510"/>
      <c r="W634" s="510"/>
      <c r="X634" s="510"/>
      <c r="Y634" s="510"/>
      <c r="Z634" s="510"/>
      <c r="AA634" s="510"/>
      <c r="AB634" s="510"/>
      <c r="AC634" s="510"/>
      <c r="AD634" s="510"/>
    </row>
    <row r="635" ht="28.5" customHeight="1">
      <c r="A635" s="288"/>
      <c r="B635" s="510"/>
      <c r="C635" s="510"/>
      <c r="D635" s="288"/>
      <c r="E635" s="511"/>
      <c r="F635" s="510"/>
      <c r="G635" s="510"/>
      <c r="H635" s="510"/>
      <c r="I635" s="510"/>
      <c r="J635" s="510"/>
      <c r="K635" s="510"/>
      <c r="L635" s="510"/>
      <c r="M635" s="510"/>
      <c r="N635" s="510"/>
      <c r="O635" s="510"/>
      <c r="P635" s="510"/>
      <c r="Q635" s="510"/>
      <c r="R635" s="510"/>
      <c r="S635" s="510"/>
      <c r="T635" s="510"/>
      <c r="U635" s="510"/>
      <c r="V635" s="510"/>
      <c r="W635" s="510"/>
      <c r="X635" s="510"/>
      <c r="Y635" s="510"/>
      <c r="Z635" s="510"/>
      <c r="AA635" s="510"/>
      <c r="AB635" s="510"/>
      <c r="AC635" s="510"/>
      <c r="AD635" s="510"/>
    </row>
    <row r="636" ht="28.5" customHeight="1">
      <c r="A636" s="288"/>
      <c r="B636" s="510"/>
      <c r="C636" s="510"/>
      <c r="D636" s="288"/>
      <c r="E636" s="511"/>
      <c r="F636" s="510"/>
      <c r="G636" s="510"/>
      <c r="H636" s="510"/>
      <c r="I636" s="510"/>
      <c r="J636" s="510"/>
      <c r="K636" s="510"/>
      <c r="L636" s="510"/>
      <c r="M636" s="510"/>
      <c r="N636" s="510"/>
      <c r="O636" s="510"/>
      <c r="P636" s="510"/>
      <c r="Q636" s="510"/>
      <c r="R636" s="510"/>
      <c r="S636" s="510"/>
      <c r="T636" s="510"/>
      <c r="U636" s="510"/>
      <c r="V636" s="510"/>
      <c r="W636" s="510"/>
      <c r="X636" s="510"/>
      <c r="Y636" s="510"/>
      <c r="Z636" s="510"/>
      <c r="AA636" s="510"/>
      <c r="AB636" s="510"/>
      <c r="AC636" s="510"/>
      <c r="AD636" s="510"/>
    </row>
    <row r="637" ht="28.5" customHeight="1">
      <c r="A637" s="288"/>
      <c r="B637" s="510"/>
      <c r="C637" s="510"/>
      <c r="D637" s="288"/>
      <c r="E637" s="511"/>
      <c r="F637" s="510"/>
      <c r="G637" s="510"/>
      <c r="H637" s="510"/>
      <c r="I637" s="510"/>
      <c r="J637" s="510"/>
      <c r="K637" s="510"/>
      <c r="L637" s="510"/>
      <c r="M637" s="510"/>
      <c r="N637" s="510"/>
      <c r="O637" s="510"/>
      <c r="P637" s="510"/>
      <c r="Q637" s="510"/>
      <c r="R637" s="510"/>
      <c r="S637" s="510"/>
      <c r="T637" s="510"/>
      <c r="U637" s="510"/>
      <c r="V637" s="510"/>
      <c r="W637" s="510"/>
      <c r="X637" s="510"/>
      <c r="Y637" s="510"/>
      <c r="Z637" s="510"/>
      <c r="AA637" s="510"/>
      <c r="AB637" s="510"/>
      <c r="AC637" s="510"/>
      <c r="AD637" s="510"/>
    </row>
    <row r="638" ht="28.5" customHeight="1">
      <c r="A638" s="288"/>
      <c r="B638" s="510"/>
      <c r="C638" s="510"/>
      <c r="D638" s="288"/>
      <c r="E638" s="511"/>
      <c r="F638" s="510"/>
      <c r="G638" s="510"/>
      <c r="H638" s="510"/>
      <c r="I638" s="510"/>
      <c r="J638" s="510"/>
      <c r="K638" s="510"/>
      <c r="L638" s="510"/>
      <c r="M638" s="510"/>
      <c r="N638" s="510"/>
      <c r="O638" s="510"/>
      <c r="P638" s="510"/>
      <c r="Q638" s="510"/>
      <c r="R638" s="510"/>
      <c r="S638" s="510"/>
      <c r="T638" s="510"/>
      <c r="U638" s="510"/>
      <c r="V638" s="510"/>
      <c r="W638" s="510"/>
      <c r="X638" s="510"/>
      <c r="Y638" s="510"/>
      <c r="Z638" s="510"/>
      <c r="AA638" s="510"/>
      <c r="AB638" s="510"/>
      <c r="AC638" s="510"/>
      <c r="AD638" s="510"/>
    </row>
    <row r="639" ht="28.5" customHeight="1">
      <c r="A639" s="288"/>
      <c r="B639" s="510"/>
      <c r="C639" s="510"/>
      <c r="D639" s="288"/>
      <c r="E639" s="511"/>
      <c r="F639" s="510"/>
      <c r="G639" s="510"/>
      <c r="H639" s="510"/>
      <c r="I639" s="510"/>
      <c r="J639" s="510"/>
      <c r="K639" s="510"/>
      <c r="L639" s="510"/>
      <c r="M639" s="510"/>
      <c r="N639" s="510"/>
      <c r="O639" s="510"/>
      <c r="P639" s="510"/>
      <c r="Q639" s="510"/>
      <c r="R639" s="510"/>
      <c r="S639" s="510"/>
      <c r="T639" s="510"/>
      <c r="U639" s="510"/>
      <c r="V639" s="510"/>
      <c r="W639" s="510"/>
      <c r="X639" s="510"/>
      <c r="Y639" s="510"/>
      <c r="Z639" s="510"/>
      <c r="AA639" s="510"/>
      <c r="AB639" s="510"/>
      <c r="AC639" s="510"/>
      <c r="AD639" s="510"/>
    </row>
    <row r="640" ht="28.5" customHeight="1">
      <c r="A640" s="288"/>
      <c r="B640" s="510"/>
      <c r="C640" s="510"/>
      <c r="D640" s="288"/>
      <c r="E640" s="511"/>
      <c r="F640" s="510"/>
      <c r="G640" s="510"/>
      <c r="H640" s="510"/>
      <c r="I640" s="510"/>
      <c r="J640" s="510"/>
      <c r="K640" s="510"/>
      <c r="L640" s="510"/>
      <c r="M640" s="510"/>
      <c r="N640" s="510"/>
      <c r="O640" s="510"/>
      <c r="P640" s="510"/>
      <c r="Q640" s="510"/>
      <c r="R640" s="510"/>
      <c r="S640" s="510"/>
      <c r="T640" s="510"/>
      <c r="U640" s="510"/>
      <c r="V640" s="510"/>
      <c r="W640" s="510"/>
      <c r="X640" s="510"/>
      <c r="Y640" s="510"/>
      <c r="Z640" s="510"/>
      <c r="AA640" s="510"/>
      <c r="AB640" s="510"/>
      <c r="AC640" s="510"/>
      <c r="AD640" s="510"/>
    </row>
    <row r="641" ht="28.5" customHeight="1">
      <c r="A641" s="288"/>
      <c r="B641" s="510"/>
      <c r="C641" s="510"/>
      <c r="D641" s="288"/>
      <c r="E641" s="511"/>
      <c r="F641" s="510"/>
      <c r="G641" s="510"/>
      <c r="H641" s="510"/>
      <c r="I641" s="510"/>
      <c r="J641" s="510"/>
      <c r="K641" s="510"/>
      <c r="L641" s="510"/>
      <c r="M641" s="510"/>
      <c r="N641" s="510"/>
      <c r="O641" s="510"/>
      <c r="P641" s="510"/>
      <c r="Q641" s="510"/>
      <c r="R641" s="510"/>
      <c r="S641" s="510"/>
      <c r="T641" s="510"/>
      <c r="U641" s="510"/>
      <c r="V641" s="510"/>
      <c r="W641" s="510"/>
      <c r="X641" s="510"/>
      <c r="Y641" s="510"/>
      <c r="Z641" s="510"/>
      <c r="AA641" s="510"/>
      <c r="AB641" s="510"/>
      <c r="AC641" s="510"/>
      <c r="AD641" s="510"/>
    </row>
    <row r="642" ht="28.5" customHeight="1">
      <c r="A642" s="288"/>
      <c r="B642" s="510"/>
      <c r="C642" s="510"/>
      <c r="D642" s="288"/>
      <c r="E642" s="511"/>
      <c r="F642" s="510"/>
      <c r="G642" s="510"/>
      <c r="H642" s="510"/>
      <c r="I642" s="510"/>
      <c r="J642" s="510"/>
      <c r="K642" s="510"/>
      <c r="L642" s="510"/>
      <c r="M642" s="510"/>
      <c r="N642" s="510"/>
      <c r="O642" s="510"/>
      <c r="P642" s="510"/>
      <c r="Q642" s="510"/>
      <c r="R642" s="510"/>
      <c r="S642" s="510"/>
      <c r="T642" s="510"/>
      <c r="U642" s="510"/>
      <c r="V642" s="510"/>
      <c r="W642" s="510"/>
      <c r="X642" s="510"/>
      <c r="Y642" s="510"/>
      <c r="Z642" s="510"/>
      <c r="AA642" s="510"/>
      <c r="AB642" s="510"/>
      <c r="AC642" s="510"/>
      <c r="AD642" s="510"/>
    </row>
    <row r="643" ht="28.5" customHeight="1">
      <c r="A643" s="288"/>
      <c r="B643" s="510"/>
      <c r="C643" s="510"/>
      <c r="D643" s="288"/>
      <c r="E643" s="511"/>
      <c r="F643" s="510"/>
      <c r="G643" s="510"/>
      <c r="H643" s="510"/>
      <c r="I643" s="510"/>
      <c r="J643" s="510"/>
      <c r="K643" s="510"/>
      <c r="L643" s="510"/>
      <c r="M643" s="510"/>
      <c r="N643" s="510"/>
      <c r="O643" s="510"/>
      <c r="P643" s="510"/>
      <c r="Q643" s="510"/>
      <c r="R643" s="510"/>
      <c r="S643" s="510"/>
      <c r="T643" s="510"/>
      <c r="U643" s="510"/>
      <c r="V643" s="510"/>
      <c r="W643" s="510"/>
      <c r="X643" s="510"/>
      <c r="Y643" s="510"/>
      <c r="Z643" s="510"/>
      <c r="AA643" s="510"/>
      <c r="AB643" s="510"/>
      <c r="AC643" s="510"/>
      <c r="AD643" s="510"/>
    </row>
    <row r="644" ht="28.5" customHeight="1">
      <c r="A644" s="288"/>
      <c r="B644" s="510"/>
      <c r="C644" s="510"/>
      <c r="D644" s="288"/>
      <c r="E644" s="511"/>
      <c r="F644" s="510"/>
      <c r="G644" s="510"/>
      <c r="H644" s="510"/>
      <c r="I644" s="510"/>
      <c r="J644" s="510"/>
      <c r="K644" s="510"/>
      <c r="L644" s="510"/>
      <c r="M644" s="510"/>
      <c r="N644" s="510"/>
      <c r="O644" s="510"/>
      <c r="P644" s="510"/>
      <c r="Q644" s="510"/>
      <c r="R644" s="510"/>
      <c r="S644" s="510"/>
      <c r="T644" s="510"/>
      <c r="U644" s="510"/>
      <c r="V644" s="510"/>
      <c r="W644" s="510"/>
      <c r="X644" s="510"/>
      <c r="Y644" s="510"/>
      <c r="Z644" s="510"/>
      <c r="AA644" s="510"/>
      <c r="AB644" s="510"/>
      <c r="AC644" s="510"/>
      <c r="AD644" s="510"/>
    </row>
    <row r="645" ht="28.5" customHeight="1">
      <c r="A645" s="288"/>
      <c r="B645" s="510"/>
      <c r="C645" s="510"/>
      <c r="D645" s="288"/>
      <c r="E645" s="511"/>
      <c r="F645" s="510"/>
      <c r="G645" s="510"/>
      <c r="H645" s="510"/>
      <c r="I645" s="510"/>
      <c r="J645" s="510"/>
      <c r="K645" s="510"/>
      <c r="L645" s="510"/>
      <c r="M645" s="510"/>
      <c r="N645" s="510"/>
      <c r="O645" s="510"/>
      <c r="P645" s="510"/>
      <c r="Q645" s="510"/>
      <c r="R645" s="510"/>
      <c r="S645" s="510"/>
      <c r="T645" s="510"/>
      <c r="U645" s="510"/>
      <c r="V645" s="510"/>
      <c r="W645" s="510"/>
      <c r="X645" s="510"/>
      <c r="Y645" s="510"/>
      <c r="Z645" s="510"/>
      <c r="AA645" s="510"/>
      <c r="AB645" s="510"/>
      <c r="AC645" s="510"/>
      <c r="AD645" s="510"/>
    </row>
    <row r="646" ht="28.5" customHeight="1">
      <c r="A646" s="288"/>
      <c r="B646" s="510"/>
      <c r="C646" s="510"/>
      <c r="D646" s="288"/>
      <c r="E646" s="511"/>
      <c r="F646" s="510"/>
      <c r="G646" s="510"/>
      <c r="H646" s="510"/>
      <c r="I646" s="510"/>
      <c r="J646" s="510"/>
      <c r="K646" s="510"/>
      <c r="L646" s="510"/>
      <c r="M646" s="510"/>
      <c r="N646" s="510"/>
      <c r="O646" s="510"/>
      <c r="P646" s="510"/>
      <c r="Q646" s="510"/>
      <c r="R646" s="510"/>
      <c r="S646" s="510"/>
      <c r="T646" s="510"/>
      <c r="U646" s="510"/>
      <c r="V646" s="510"/>
      <c r="W646" s="510"/>
      <c r="X646" s="510"/>
      <c r="Y646" s="510"/>
      <c r="Z646" s="510"/>
      <c r="AA646" s="510"/>
      <c r="AB646" s="510"/>
      <c r="AC646" s="510"/>
      <c r="AD646" s="510"/>
    </row>
    <row r="647" ht="28.5" customHeight="1">
      <c r="A647" s="288"/>
      <c r="B647" s="510"/>
      <c r="C647" s="510"/>
      <c r="D647" s="288"/>
      <c r="E647" s="511"/>
      <c r="F647" s="510"/>
      <c r="G647" s="510"/>
      <c r="H647" s="510"/>
      <c r="I647" s="510"/>
      <c r="J647" s="510"/>
      <c r="K647" s="510"/>
      <c r="L647" s="510"/>
      <c r="M647" s="510"/>
      <c r="N647" s="510"/>
      <c r="O647" s="510"/>
      <c r="P647" s="510"/>
      <c r="Q647" s="510"/>
      <c r="R647" s="510"/>
      <c r="S647" s="510"/>
      <c r="T647" s="510"/>
      <c r="U647" s="510"/>
      <c r="V647" s="510"/>
      <c r="W647" s="510"/>
      <c r="X647" s="510"/>
      <c r="Y647" s="510"/>
      <c r="Z647" s="510"/>
      <c r="AA647" s="510"/>
      <c r="AB647" s="510"/>
      <c r="AC647" s="510"/>
      <c r="AD647" s="510"/>
    </row>
    <row r="648" ht="28.5" customHeight="1">
      <c r="A648" s="288"/>
      <c r="B648" s="510"/>
      <c r="C648" s="510"/>
      <c r="D648" s="288"/>
      <c r="E648" s="511"/>
      <c r="F648" s="510"/>
      <c r="G648" s="510"/>
      <c r="H648" s="510"/>
      <c r="I648" s="510"/>
      <c r="J648" s="510"/>
      <c r="K648" s="510"/>
      <c r="L648" s="510"/>
      <c r="M648" s="510"/>
      <c r="N648" s="510"/>
      <c r="O648" s="510"/>
      <c r="P648" s="510"/>
      <c r="Q648" s="510"/>
      <c r="R648" s="510"/>
      <c r="S648" s="510"/>
      <c r="T648" s="510"/>
      <c r="U648" s="510"/>
      <c r="V648" s="510"/>
      <c r="W648" s="510"/>
      <c r="X648" s="510"/>
      <c r="Y648" s="510"/>
      <c r="Z648" s="510"/>
      <c r="AA648" s="510"/>
      <c r="AB648" s="510"/>
      <c r="AC648" s="510"/>
      <c r="AD648" s="510"/>
    </row>
    <row r="649" ht="28.5" customHeight="1">
      <c r="A649" s="288"/>
      <c r="B649" s="510"/>
      <c r="C649" s="510"/>
      <c r="D649" s="288"/>
      <c r="E649" s="511"/>
      <c r="F649" s="510"/>
      <c r="G649" s="510"/>
      <c r="H649" s="510"/>
      <c r="I649" s="510"/>
      <c r="J649" s="510"/>
      <c r="K649" s="510"/>
      <c r="L649" s="510"/>
      <c r="M649" s="510"/>
      <c r="N649" s="510"/>
      <c r="O649" s="510"/>
      <c r="P649" s="510"/>
      <c r="Q649" s="510"/>
      <c r="R649" s="510"/>
      <c r="S649" s="510"/>
      <c r="T649" s="510"/>
      <c r="U649" s="510"/>
      <c r="V649" s="510"/>
      <c r="W649" s="510"/>
      <c r="X649" s="510"/>
      <c r="Y649" s="510"/>
      <c r="Z649" s="510"/>
      <c r="AA649" s="510"/>
      <c r="AB649" s="510"/>
      <c r="AC649" s="510"/>
      <c r="AD649" s="510"/>
    </row>
    <row r="650" ht="28.5" customHeight="1">
      <c r="A650" s="288"/>
      <c r="B650" s="510"/>
      <c r="C650" s="510"/>
      <c r="D650" s="288"/>
      <c r="E650" s="511"/>
      <c r="F650" s="510"/>
      <c r="G650" s="510"/>
      <c r="H650" s="510"/>
      <c r="I650" s="510"/>
      <c r="J650" s="510"/>
      <c r="K650" s="510"/>
      <c r="L650" s="510"/>
      <c r="M650" s="510"/>
      <c r="N650" s="510"/>
      <c r="O650" s="510"/>
      <c r="P650" s="510"/>
      <c r="Q650" s="510"/>
      <c r="R650" s="510"/>
      <c r="S650" s="510"/>
      <c r="T650" s="510"/>
      <c r="U650" s="510"/>
      <c r="V650" s="510"/>
      <c r="W650" s="510"/>
      <c r="X650" s="510"/>
      <c r="Y650" s="510"/>
      <c r="Z650" s="510"/>
      <c r="AA650" s="510"/>
      <c r="AB650" s="510"/>
      <c r="AC650" s="510"/>
      <c r="AD650" s="510"/>
    </row>
    <row r="651" ht="28.5" customHeight="1">
      <c r="A651" s="288"/>
      <c r="B651" s="510"/>
      <c r="C651" s="510"/>
      <c r="D651" s="288"/>
      <c r="E651" s="511"/>
      <c r="F651" s="510"/>
      <c r="G651" s="510"/>
      <c r="H651" s="510"/>
      <c r="I651" s="510"/>
      <c r="J651" s="510"/>
      <c r="K651" s="510"/>
      <c r="L651" s="510"/>
      <c r="M651" s="510"/>
      <c r="N651" s="510"/>
      <c r="O651" s="510"/>
      <c r="P651" s="510"/>
      <c r="Q651" s="510"/>
      <c r="R651" s="510"/>
      <c r="S651" s="510"/>
      <c r="T651" s="510"/>
      <c r="U651" s="510"/>
      <c r="V651" s="510"/>
      <c r="W651" s="510"/>
      <c r="X651" s="510"/>
      <c r="Y651" s="510"/>
      <c r="Z651" s="510"/>
      <c r="AA651" s="510"/>
      <c r="AB651" s="510"/>
      <c r="AC651" s="510"/>
      <c r="AD651" s="510"/>
    </row>
    <row r="652" ht="28.5" customHeight="1">
      <c r="A652" s="288"/>
      <c r="B652" s="510"/>
      <c r="C652" s="510"/>
      <c r="D652" s="288"/>
      <c r="E652" s="511"/>
      <c r="F652" s="510"/>
      <c r="G652" s="510"/>
      <c r="H652" s="510"/>
      <c r="I652" s="510"/>
      <c r="J652" s="510"/>
      <c r="K652" s="510"/>
      <c r="L652" s="510"/>
      <c r="M652" s="510"/>
      <c r="N652" s="510"/>
      <c r="O652" s="510"/>
      <c r="P652" s="510"/>
      <c r="Q652" s="510"/>
      <c r="R652" s="510"/>
      <c r="S652" s="510"/>
      <c r="T652" s="510"/>
      <c r="U652" s="510"/>
      <c r="V652" s="510"/>
      <c r="W652" s="510"/>
      <c r="X652" s="510"/>
      <c r="Y652" s="510"/>
      <c r="Z652" s="510"/>
      <c r="AA652" s="510"/>
      <c r="AB652" s="510"/>
      <c r="AC652" s="510"/>
      <c r="AD652" s="510"/>
    </row>
    <row r="653" ht="28.5" customHeight="1">
      <c r="A653" s="288"/>
      <c r="B653" s="510"/>
      <c r="C653" s="510"/>
      <c r="D653" s="288"/>
      <c r="E653" s="511"/>
      <c r="F653" s="510"/>
      <c r="G653" s="510"/>
      <c r="H653" s="510"/>
      <c r="I653" s="510"/>
      <c r="J653" s="510"/>
      <c r="K653" s="510"/>
      <c r="L653" s="510"/>
      <c r="M653" s="510"/>
      <c r="N653" s="510"/>
      <c r="O653" s="510"/>
      <c r="P653" s="510"/>
      <c r="Q653" s="510"/>
      <c r="R653" s="510"/>
      <c r="S653" s="510"/>
      <c r="T653" s="510"/>
      <c r="U653" s="510"/>
      <c r="V653" s="510"/>
      <c r="W653" s="510"/>
      <c r="X653" s="510"/>
      <c r="Y653" s="510"/>
      <c r="Z653" s="510"/>
      <c r="AA653" s="510"/>
      <c r="AB653" s="510"/>
      <c r="AC653" s="510"/>
      <c r="AD653" s="510"/>
    </row>
    <row r="654" ht="28.5" customHeight="1">
      <c r="A654" s="288"/>
      <c r="B654" s="510"/>
      <c r="C654" s="510"/>
      <c r="D654" s="288"/>
      <c r="E654" s="511"/>
      <c r="F654" s="510"/>
      <c r="G654" s="510"/>
      <c r="H654" s="510"/>
      <c r="I654" s="510"/>
      <c r="J654" s="510"/>
      <c r="K654" s="510"/>
      <c r="L654" s="510"/>
      <c r="M654" s="510"/>
      <c r="N654" s="510"/>
      <c r="O654" s="510"/>
      <c r="P654" s="510"/>
      <c r="Q654" s="510"/>
      <c r="R654" s="510"/>
      <c r="S654" s="510"/>
      <c r="T654" s="510"/>
      <c r="U654" s="510"/>
      <c r="V654" s="510"/>
      <c r="W654" s="510"/>
      <c r="X654" s="510"/>
      <c r="Y654" s="510"/>
      <c r="Z654" s="510"/>
      <c r="AA654" s="510"/>
      <c r="AB654" s="510"/>
      <c r="AC654" s="510"/>
      <c r="AD654" s="510"/>
    </row>
    <row r="655" ht="28.5" customHeight="1">
      <c r="A655" s="288"/>
      <c r="B655" s="510"/>
      <c r="C655" s="510"/>
      <c r="D655" s="288"/>
      <c r="E655" s="511"/>
      <c r="F655" s="510"/>
      <c r="G655" s="510"/>
      <c r="H655" s="510"/>
      <c r="I655" s="510"/>
      <c r="J655" s="510"/>
      <c r="K655" s="510"/>
      <c r="L655" s="510"/>
      <c r="M655" s="510"/>
      <c r="N655" s="510"/>
      <c r="O655" s="510"/>
      <c r="P655" s="510"/>
      <c r="Q655" s="510"/>
      <c r="R655" s="510"/>
      <c r="S655" s="510"/>
      <c r="T655" s="510"/>
      <c r="U655" s="510"/>
      <c r="V655" s="510"/>
      <c r="W655" s="510"/>
      <c r="X655" s="510"/>
      <c r="Y655" s="510"/>
      <c r="Z655" s="510"/>
      <c r="AA655" s="510"/>
      <c r="AB655" s="510"/>
      <c r="AC655" s="510"/>
      <c r="AD655" s="510"/>
    </row>
    <row r="656" ht="28.5" customHeight="1">
      <c r="A656" s="288"/>
      <c r="B656" s="510"/>
      <c r="C656" s="510"/>
      <c r="D656" s="288"/>
      <c r="E656" s="511"/>
      <c r="F656" s="510"/>
      <c r="G656" s="510"/>
      <c r="H656" s="510"/>
      <c r="I656" s="510"/>
      <c r="J656" s="510"/>
      <c r="K656" s="510"/>
      <c r="L656" s="510"/>
      <c r="M656" s="510"/>
      <c r="N656" s="510"/>
      <c r="O656" s="510"/>
      <c r="P656" s="510"/>
      <c r="Q656" s="510"/>
      <c r="R656" s="510"/>
      <c r="S656" s="510"/>
      <c r="T656" s="510"/>
      <c r="U656" s="510"/>
      <c r="V656" s="510"/>
      <c r="W656" s="510"/>
      <c r="X656" s="510"/>
      <c r="Y656" s="510"/>
      <c r="Z656" s="510"/>
      <c r="AA656" s="510"/>
      <c r="AB656" s="510"/>
      <c r="AC656" s="510"/>
      <c r="AD656" s="510"/>
    </row>
    <row r="657" ht="28.5" customHeight="1">
      <c r="A657" s="288"/>
      <c r="B657" s="510"/>
      <c r="C657" s="510"/>
      <c r="D657" s="288"/>
      <c r="E657" s="511"/>
      <c r="F657" s="510"/>
      <c r="G657" s="510"/>
      <c r="H657" s="510"/>
      <c r="I657" s="510"/>
      <c r="J657" s="510"/>
      <c r="K657" s="510"/>
      <c r="L657" s="510"/>
      <c r="M657" s="510"/>
      <c r="N657" s="510"/>
      <c r="O657" s="510"/>
      <c r="P657" s="510"/>
      <c r="Q657" s="510"/>
      <c r="R657" s="510"/>
      <c r="S657" s="510"/>
      <c r="T657" s="510"/>
      <c r="U657" s="510"/>
      <c r="V657" s="510"/>
      <c r="W657" s="510"/>
      <c r="X657" s="510"/>
      <c r="Y657" s="510"/>
      <c r="Z657" s="510"/>
      <c r="AA657" s="510"/>
      <c r="AB657" s="510"/>
      <c r="AC657" s="510"/>
      <c r="AD657" s="510"/>
    </row>
    <row r="658" ht="28.5" customHeight="1">
      <c r="A658" s="288"/>
      <c r="B658" s="510"/>
      <c r="C658" s="510"/>
      <c r="D658" s="288"/>
      <c r="E658" s="511"/>
      <c r="F658" s="510"/>
      <c r="G658" s="510"/>
      <c r="H658" s="510"/>
      <c r="I658" s="510"/>
      <c r="J658" s="510"/>
      <c r="K658" s="510"/>
      <c r="L658" s="510"/>
      <c r="M658" s="510"/>
      <c r="N658" s="510"/>
      <c r="O658" s="510"/>
      <c r="P658" s="510"/>
      <c r="Q658" s="510"/>
      <c r="R658" s="510"/>
      <c r="S658" s="510"/>
      <c r="T658" s="510"/>
      <c r="U658" s="510"/>
      <c r="V658" s="510"/>
      <c r="W658" s="510"/>
      <c r="X658" s="510"/>
      <c r="Y658" s="510"/>
      <c r="Z658" s="510"/>
      <c r="AA658" s="510"/>
      <c r="AB658" s="510"/>
      <c r="AC658" s="510"/>
      <c r="AD658" s="510"/>
    </row>
    <row r="659" ht="28.5" customHeight="1">
      <c r="A659" s="288"/>
      <c r="B659" s="510"/>
      <c r="C659" s="510"/>
      <c r="D659" s="288"/>
      <c r="E659" s="511"/>
      <c r="F659" s="510"/>
      <c r="G659" s="510"/>
      <c r="H659" s="510"/>
      <c r="I659" s="510"/>
      <c r="J659" s="510"/>
      <c r="K659" s="510"/>
      <c r="L659" s="510"/>
      <c r="M659" s="510"/>
      <c r="N659" s="510"/>
      <c r="O659" s="510"/>
      <c r="P659" s="510"/>
      <c r="Q659" s="510"/>
      <c r="R659" s="510"/>
      <c r="S659" s="510"/>
      <c r="T659" s="510"/>
      <c r="U659" s="510"/>
      <c r="V659" s="510"/>
      <c r="W659" s="510"/>
      <c r="X659" s="510"/>
      <c r="Y659" s="510"/>
      <c r="Z659" s="510"/>
      <c r="AA659" s="510"/>
      <c r="AB659" s="510"/>
      <c r="AC659" s="510"/>
      <c r="AD659" s="510"/>
    </row>
    <row r="660" ht="28.5" customHeight="1">
      <c r="A660" s="288"/>
      <c r="B660" s="510"/>
      <c r="C660" s="510"/>
      <c r="D660" s="288"/>
      <c r="E660" s="511"/>
      <c r="F660" s="510"/>
      <c r="G660" s="510"/>
      <c r="H660" s="510"/>
      <c r="I660" s="510"/>
      <c r="J660" s="510"/>
      <c r="K660" s="510"/>
      <c r="L660" s="510"/>
      <c r="M660" s="510"/>
      <c r="N660" s="510"/>
      <c r="O660" s="510"/>
      <c r="P660" s="510"/>
      <c r="Q660" s="510"/>
      <c r="R660" s="510"/>
      <c r="S660" s="510"/>
      <c r="T660" s="510"/>
      <c r="U660" s="510"/>
      <c r="V660" s="510"/>
      <c r="W660" s="510"/>
      <c r="X660" s="510"/>
      <c r="Y660" s="510"/>
      <c r="Z660" s="510"/>
      <c r="AA660" s="510"/>
      <c r="AB660" s="510"/>
      <c r="AC660" s="510"/>
      <c r="AD660" s="510"/>
    </row>
    <row r="661" ht="28.5" customHeight="1">
      <c r="A661" s="288"/>
      <c r="B661" s="510"/>
      <c r="C661" s="510"/>
      <c r="D661" s="288"/>
      <c r="E661" s="511"/>
      <c r="F661" s="510"/>
      <c r="G661" s="510"/>
      <c r="H661" s="510"/>
      <c r="I661" s="510"/>
      <c r="J661" s="510"/>
      <c r="K661" s="510"/>
      <c r="L661" s="510"/>
      <c r="M661" s="510"/>
      <c r="N661" s="510"/>
      <c r="O661" s="510"/>
      <c r="P661" s="510"/>
      <c r="Q661" s="510"/>
      <c r="R661" s="510"/>
      <c r="S661" s="510"/>
      <c r="T661" s="510"/>
      <c r="U661" s="510"/>
      <c r="V661" s="510"/>
      <c r="W661" s="510"/>
      <c r="X661" s="510"/>
      <c r="Y661" s="510"/>
      <c r="Z661" s="510"/>
      <c r="AA661" s="510"/>
      <c r="AB661" s="510"/>
      <c r="AC661" s="510"/>
      <c r="AD661" s="510"/>
    </row>
    <row r="662" ht="28.5" customHeight="1">
      <c r="A662" s="288"/>
      <c r="B662" s="510"/>
      <c r="C662" s="510"/>
      <c r="D662" s="288"/>
      <c r="E662" s="511"/>
      <c r="F662" s="510"/>
      <c r="G662" s="510"/>
      <c r="H662" s="510"/>
      <c r="I662" s="510"/>
      <c r="J662" s="510"/>
      <c r="K662" s="510"/>
      <c r="L662" s="510"/>
      <c r="M662" s="510"/>
      <c r="N662" s="510"/>
      <c r="O662" s="510"/>
      <c r="P662" s="510"/>
      <c r="Q662" s="510"/>
      <c r="R662" s="510"/>
      <c r="S662" s="510"/>
      <c r="T662" s="510"/>
      <c r="U662" s="510"/>
      <c r="V662" s="510"/>
      <c r="W662" s="510"/>
      <c r="X662" s="510"/>
      <c r="Y662" s="510"/>
      <c r="Z662" s="510"/>
      <c r="AA662" s="510"/>
      <c r="AB662" s="510"/>
      <c r="AC662" s="510"/>
      <c r="AD662" s="510"/>
    </row>
    <row r="663" ht="28.5" customHeight="1">
      <c r="A663" s="288"/>
      <c r="B663" s="510"/>
      <c r="C663" s="510"/>
      <c r="D663" s="288"/>
      <c r="E663" s="511"/>
      <c r="F663" s="510"/>
      <c r="G663" s="510"/>
      <c r="H663" s="510"/>
      <c r="I663" s="510"/>
      <c r="J663" s="510"/>
      <c r="K663" s="510"/>
      <c r="L663" s="510"/>
      <c r="M663" s="510"/>
      <c r="N663" s="510"/>
      <c r="O663" s="510"/>
      <c r="P663" s="510"/>
      <c r="Q663" s="510"/>
      <c r="R663" s="510"/>
      <c r="S663" s="510"/>
      <c r="T663" s="510"/>
      <c r="U663" s="510"/>
      <c r="V663" s="510"/>
      <c r="W663" s="510"/>
      <c r="X663" s="510"/>
      <c r="Y663" s="510"/>
      <c r="Z663" s="510"/>
      <c r="AA663" s="510"/>
      <c r="AB663" s="510"/>
      <c r="AC663" s="510"/>
      <c r="AD663" s="510"/>
    </row>
    <row r="664" ht="28.5" customHeight="1">
      <c r="A664" s="288"/>
      <c r="B664" s="510"/>
      <c r="C664" s="510"/>
      <c r="D664" s="288"/>
      <c r="E664" s="511"/>
      <c r="F664" s="510"/>
      <c r="G664" s="510"/>
      <c r="H664" s="510"/>
      <c r="I664" s="510"/>
      <c r="J664" s="510"/>
      <c r="K664" s="510"/>
      <c r="L664" s="510"/>
      <c r="M664" s="510"/>
      <c r="N664" s="510"/>
      <c r="O664" s="510"/>
      <c r="P664" s="510"/>
      <c r="Q664" s="510"/>
      <c r="R664" s="510"/>
      <c r="S664" s="510"/>
      <c r="T664" s="510"/>
      <c r="U664" s="510"/>
      <c r="V664" s="510"/>
      <c r="W664" s="510"/>
      <c r="X664" s="510"/>
      <c r="Y664" s="510"/>
      <c r="Z664" s="510"/>
      <c r="AA664" s="510"/>
      <c r="AB664" s="510"/>
      <c r="AC664" s="510"/>
      <c r="AD664" s="510"/>
    </row>
    <row r="665" ht="28.5" customHeight="1">
      <c r="A665" s="288"/>
      <c r="B665" s="510"/>
      <c r="C665" s="510"/>
      <c r="D665" s="288"/>
      <c r="E665" s="511"/>
      <c r="F665" s="510"/>
      <c r="G665" s="510"/>
      <c r="H665" s="510"/>
      <c r="I665" s="510"/>
      <c r="J665" s="510"/>
      <c r="K665" s="510"/>
      <c r="L665" s="510"/>
      <c r="M665" s="510"/>
      <c r="N665" s="510"/>
      <c r="O665" s="510"/>
      <c r="P665" s="510"/>
      <c r="Q665" s="510"/>
      <c r="R665" s="510"/>
      <c r="S665" s="510"/>
      <c r="T665" s="510"/>
      <c r="U665" s="510"/>
      <c r="V665" s="510"/>
      <c r="W665" s="510"/>
      <c r="X665" s="510"/>
      <c r="Y665" s="510"/>
      <c r="Z665" s="510"/>
      <c r="AA665" s="510"/>
      <c r="AB665" s="510"/>
      <c r="AC665" s="510"/>
      <c r="AD665" s="510"/>
    </row>
    <row r="666" ht="28.5" customHeight="1">
      <c r="A666" s="288"/>
      <c r="B666" s="510"/>
      <c r="C666" s="510"/>
      <c r="D666" s="288"/>
      <c r="E666" s="511"/>
      <c r="F666" s="510"/>
      <c r="G666" s="510"/>
      <c r="H666" s="510"/>
      <c r="I666" s="510"/>
      <c r="J666" s="510"/>
      <c r="K666" s="510"/>
      <c r="L666" s="510"/>
      <c r="M666" s="510"/>
      <c r="N666" s="510"/>
      <c r="O666" s="510"/>
      <c r="P666" s="510"/>
      <c r="Q666" s="510"/>
      <c r="R666" s="510"/>
      <c r="S666" s="510"/>
      <c r="T666" s="510"/>
      <c r="U666" s="510"/>
      <c r="V666" s="510"/>
      <c r="W666" s="510"/>
      <c r="X666" s="510"/>
      <c r="Y666" s="510"/>
      <c r="Z666" s="510"/>
      <c r="AA666" s="510"/>
      <c r="AB666" s="510"/>
      <c r="AC666" s="510"/>
      <c r="AD666" s="510"/>
    </row>
    <row r="667" ht="28.5" customHeight="1">
      <c r="A667" s="288"/>
      <c r="B667" s="510"/>
      <c r="C667" s="510"/>
      <c r="D667" s="288"/>
      <c r="E667" s="511"/>
      <c r="F667" s="510"/>
      <c r="G667" s="510"/>
      <c r="H667" s="510"/>
      <c r="I667" s="510"/>
      <c r="J667" s="510"/>
      <c r="K667" s="510"/>
      <c r="L667" s="510"/>
      <c r="M667" s="510"/>
      <c r="N667" s="510"/>
      <c r="O667" s="510"/>
      <c r="P667" s="510"/>
      <c r="Q667" s="510"/>
      <c r="R667" s="510"/>
      <c r="S667" s="510"/>
      <c r="T667" s="510"/>
      <c r="U667" s="510"/>
      <c r="V667" s="510"/>
      <c r="W667" s="510"/>
      <c r="X667" s="510"/>
      <c r="Y667" s="510"/>
      <c r="Z667" s="510"/>
      <c r="AA667" s="510"/>
      <c r="AB667" s="510"/>
      <c r="AC667" s="510"/>
      <c r="AD667" s="510"/>
    </row>
    <row r="668" ht="28.5" customHeight="1">
      <c r="A668" s="288"/>
      <c r="B668" s="510"/>
      <c r="C668" s="510"/>
      <c r="D668" s="288"/>
      <c r="E668" s="511"/>
      <c r="F668" s="510"/>
      <c r="G668" s="510"/>
      <c r="H668" s="510"/>
      <c r="I668" s="510"/>
      <c r="J668" s="510"/>
      <c r="K668" s="510"/>
      <c r="L668" s="510"/>
      <c r="M668" s="510"/>
      <c r="N668" s="510"/>
      <c r="O668" s="510"/>
      <c r="P668" s="510"/>
      <c r="Q668" s="510"/>
      <c r="R668" s="510"/>
      <c r="S668" s="510"/>
      <c r="T668" s="510"/>
      <c r="U668" s="510"/>
      <c r="V668" s="510"/>
      <c r="W668" s="510"/>
      <c r="X668" s="510"/>
      <c r="Y668" s="510"/>
      <c r="Z668" s="510"/>
      <c r="AA668" s="510"/>
      <c r="AB668" s="510"/>
      <c r="AC668" s="510"/>
      <c r="AD668" s="510"/>
    </row>
    <row r="669" ht="28.5" customHeight="1">
      <c r="A669" s="288"/>
      <c r="B669" s="510"/>
      <c r="C669" s="510"/>
      <c r="D669" s="288"/>
      <c r="E669" s="511"/>
      <c r="F669" s="510"/>
      <c r="G669" s="510"/>
      <c r="H669" s="510"/>
      <c r="I669" s="510"/>
      <c r="J669" s="510"/>
      <c r="K669" s="510"/>
      <c r="L669" s="510"/>
      <c r="M669" s="510"/>
      <c r="N669" s="510"/>
      <c r="O669" s="510"/>
      <c r="P669" s="510"/>
      <c r="Q669" s="510"/>
      <c r="R669" s="510"/>
      <c r="S669" s="510"/>
      <c r="T669" s="510"/>
      <c r="U669" s="510"/>
      <c r="V669" s="510"/>
      <c r="W669" s="510"/>
      <c r="X669" s="510"/>
      <c r="Y669" s="510"/>
      <c r="Z669" s="510"/>
      <c r="AA669" s="510"/>
      <c r="AB669" s="510"/>
      <c r="AC669" s="510"/>
      <c r="AD669" s="510"/>
    </row>
    <row r="670" ht="28.5" customHeight="1">
      <c r="A670" s="288"/>
      <c r="B670" s="510"/>
      <c r="C670" s="510"/>
      <c r="D670" s="288"/>
      <c r="E670" s="511"/>
      <c r="F670" s="510"/>
      <c r="G670" s="510"/>
      <c r="H670" s="510"/>
      <c r="I670" s="510"/>
      <c r="J670" s="510"/>
      <c r="K670" s="510"/>
      <c r="L670" s="510"/>
      <c r="M670" s="510"/>
      <c r="N670" s="510"/>
      <c r="O670" s="510"/>
      <c r="P670" s="510"/>
      <c r="Q670" s="510"/>
      <c r="R670" s="510"/>
      <c r="S670" s="510"/>
      <c r="T670" s="510"/>
      <c r="U670" s="510"/>
      <c r="V670" s="510"/>
      <c r="W670" s="510"/>
      <c r="X670" s="510"/>
      <c r="Y670" s="510"/>
      <c r="Z670" s="510"/>
      <c r="AA670" s="510"/>
      <c r="AB670" s="510"/>
      <c r="AC670" s="510"/>
      <c r="AD670" s="510"/>
    </row>
    <row r="671" ht="28.5" customHeight="1">
      <c r="A671" s="288"/>
      <c r="B671" s="510"/>
      <c r="C671" s="510"/>
      <c r="D671" s="288"/>
      <c r="E671" s="511"/>
      <c r="F671" s="510"/>
      <c r="G671" s="510"/>
      <c r="H671" s="510"/>
      <c r="I671" s="510"/>
      <c r="J671" s="510"/>
      <c r="K671" s="510"/>
      <c r="L671" s="510"/>
      <c r="M671" s="510"/>
      <c r="N671" s="510"/>
      <c r="O671" s="510"/>
      <c r="P671" s="510"/>
      <c r="Q671" s="510"/>
      <c r="R671" s="510"/>
      <c r="S671" s="510"/>
      <c r="T671" s="510"/>
      <c r="U671" s="510"/>
      <c r="V671" s="510"/>
      <c r="W671" s="510"/>
      <c r="X671" s="510"/>
      <c r="Y671" s="510"/>
      <c r="Z671" s="510"/>
      <c r="AA671" s="510"/>
      <c r="AB671" s="510"/>
      <c r="AC671" s="510"/>
      <c r="AD671" s="510"/>
    </row>
    <row r="672" ht="28.5" customHeight="1">
      <c r="A672" s="288"/>
      <c r="B672" s="510"/>
      <c r="C672" s="510"/>
      <c r="D672" s="288"/>
      <c r="E672" s="511"/>
      <c r="F672" s="510"/>
      <c r="G672" s="510"/>
      <c r="H672" s="510"/>
      <c r="I672" s="510"/>
      <c r="J672" s="510"/>
      <c r="K672" s="510"/>
      <c r="L672" s="510"/>
      <c r="M672" s="510"/>
      <c r="N672" s="510"/>
      <c r="O672" s="510"/>
      <c r="P672" s="510"/>
      <c r="Q672" s="510"/>
      <c r="R672" s="510"/>
      <c r="S672" s="510"/>
      <c r="T672" s="510"/>
      <c r="U672" s="510"/>
      <c r="V672" s="510"/>
      <c r="W672" s="510"/>
      <c r="X672" s="510"/>
      <c r="Y672" s="510"/>
      <c r="Z672" s="510"/>
      <c r="AA672" s="510"/>
      <c r="AB672" s="510"/>
      <c r="AC672" s="510"/>
      <c r="AD672" s="510"/>
    </row>
    <row r="673" ht="28.5" customHeight="1">
      <c r="A673" s="288"/>
      <c r="B673" s="510"/>
      <c r="C673" s="510"/>
      <c r="D673" s="288"/>
      <c r="E673" s="511"/>
      <c r="F673" s="510"/>
      <c r="G673" s="510"/>
      <c r="H673" s="510"/>
      <c r="I673" s="510"/>
      <c r="J673" s="510"/>
      <c r="K673" s="510"/>
      <c r="L673" s="510"/>
      <c r="M673" s="510"/>
      <c r="N673" s="510"/>
      <c r="O673" s="510"/>
      <c r="P673" s="510"/>
      <c r="Q673" s="510"/>
      <c r="R673" s="510"/>
      <c r="S673" s="510"/>
      <c r="T673" s="510"/>
      <c r="U673" s="510"/>
      <c r="V673" s="510"/>
      <c r="W673" s="510"/>
      <c r="X673" s="510"/>
      <c r="Y673" s="510"/>
      <c r="Z673" s="510"/>
      <c r="AA673" s="510"/>
      <c r="AB673" s="510"/>
      <c r="AC673" s="510"/>
      <c r="AD673" s="510"/>
    </row>
    <row r="674" ht="28.5" customHeight="1">
      <c r="A674" s="288"/>
      <c r="B674" s="510"/>
      <c r="C674" s="510"/>
      <c r="D674" s="288"/>
      <c r="E674" s="511"/>
      <c r="F674" s="510"/>
      <c r="G674" s="510"/>
      <c r="H674" s="510"/>
      <c r="I674" s="510"/>
      <c r="J674" s="510"/>
      <c r="K674" s="510"/>
      <c r="L674" s="510"/>
      <c r="M674" s="510"/>
      <c r="N674" s="510"/>
      <c r="O674" s="510"/>
      <c r="P674" s="510"/>
      <c r="Q674" s="510"/>
      <c r="R674" s="510"/>
      <c r="S674" s="510"/>
      <c r="T674" s="510"/>
      <c r="U674" s="510"/>
      <c r="V674" s="510"/>
      <c r="W674" s="510"/>
      <c r="X674" s="510"/>
      <c r="Y674" s="510"/>
      <c r="Z674" s="510"/>
      <c r="AA674" s="510"/>
      <c r="AB674" s="510"/>
      <c r="AC674" s="510"/>
      <c r="AD674" s="510"/>
    </row>
    <row r="675" ht="28.5" customHeight="1">
      <c r="A675" s="288"/>
      <c r="B675" s="510"/>
      <c r="C675" s="510"/>
      <c r="D675" s="288"/>
      <c r="E675" s="511"/>
      <c r="F675" s="510"/>
      <c r="G675" s="510"/>
      <c r="H675" s="510"/>
      <c r="I675" s="510"/>
      <c r="J675" s="510"/>
      <c r="K675" s="510"/>
      <c r="L675" s="510"/>
      <c r="M675" s="510"/>
      <c r="N675" s="510"/>
      <c r="O675" s="510"/>
      <c r="P675" s="510"/>
      <c r="Q675" s="510"/>
      <c r="R675" s="510"/>
      <c r="S675" s="510"/>
      <c r="T675" s="510"/>
      <c r="U675" s="510"/>
      <c r="V675" s="510"/>
      <c r="W675" s="510"/>
      <c r="X675" s="510"/>
      <c r="Y675" s="510"/>
      <c r="Z675" s="510"/>
      <c r="AA675" s="510"/>
      <c r="AB675" s="510"/>
      <c r="AC675" s="510"/>
      <c r="AD675" s="510"/>
    </row>
    <row r="676" ht="28.5" customHeight="1">
      <c r="A676" s="288"/>
      <c r="B676" s="510"/>
      <c r="C676" s="510"/>
      <c r="D676" s="288"/>
      <c r="E676" s="511"/>
      <c r="F676" s="510"/>
      <c r="G676" s="510"/>
      <c r="H676" s="510"/>
      <c r="I676" s="510"/>
      <c r="J676" s="510"/>
      <c r="K676" s="510"/>
      <c r="L676" s="510"/>
      <c r="M676" s="510"/>
      <c r="N676" s="510"/>
      <c r="O676" s="510"/>
      <c r="P676" s="510"/>
      <c r="Q676" s="510"/>
      <c r="R676" s="510"/>
      <c r="S676" s="510"/>
      <c r="T676" s="510"/>
      <c r="U676" s="510"/>
      <c r="V676" s="510"/>
      <c r="W676" s="510"/>
      <c r="X676" s="510"/>
      <c r="Y676" s="510"/>
      <c r="Z676" s="510"/>
      <c r="AA676" s="510"/>
      <c r="AB676" s="510"/>
      <c r="AC676" s="510"/>
      <c r="AD676" s="510"/>
    </row>
    <row r="677" ht="28.5" customHeight="1">
      <c r="A677" s="288"/>
      <c r="B677" s="510"/>
      <c r="C677" s="510"/>
      <c r="D677" s="288"/>
      <c r="E677" s="511"/>
      <c r="F677" s="510"/>
      <c r="G677" s="510"/>
      <c r="H677" s="510"/>
      <c r="I677" s="510"/>
      <c r="J677" s="510"/>
      <c r="K677" s="510"/>
      <c r="L677" s="510"/>
      <c r="M677" s="510"/>
      <c r="N677" s="510"/>
      <c r="O677" s="510"/>
      <c r="P677" s="510"/>
      <c r="Q677" s="510"/>
      <c r="R677" s="510"/>
      <c r="S677" s="510"/>
      <c r="T677" s="510"/>
      <c r="U677" s="510"/>
      <c r="V677" s="510"/>
      <c r="W677" s="510"/>
      <c r="X677" s="510"/>
      <c r="Y677" s="510"/>
      <c r="Z677" s="510"/>
      <c r="AA677" s="510"/>
      <c r="AB677" s="510"/>
      <c r="AC677" s="510"/>
      <c r="AD677" s="510"/>
    </row>
    <row r="678" ht="28.5" customHeight="1">
      <c r="A678" s="288"/>
      <c r="B678" s="510"/>
      <c r="C678" s="510"/>
      <c r="D678" s="288"/>
      <c r="E678" s="511"/>
      <c r="F678" s="510"/>
      <c r="G678" s="510"/>
      <c r="H678" s="510"/>
      <c r="I678" s="510"/>
      <c r="J678" s="510"/>
      <c r="K678" s="510"/>
      <c r="L678" s="510"/>
      <c r="M678" s="510"/>
      <c r="N678" s="510"/>
      <c r="O678" s="510"/>
      <c r="P678" s="510"/>
      <c r="Q678" s="510"/>
      <c r="R678" s="510"/>
      <c r="S678" s="510"/>
      <c r="T678" s="510"/>
      <c r="U678" s="510"/>
      <c r="V678" s="510"/>
      <c r="W678" s="510"/>
      <c r="X678" s="510"/>
      <c r="Y678" s="510"/>
      <c r="Z678" s="510"/>
      <c r="AA678" s="510"/>
      <c r="AB678" s="510"/>
      <c r="AC678" s="510"/>
      <c r="AD678" s="510"/>
    </row>
    <row r="679" ht="28.5" customHeight="1">
      <c r="A679" s="288"/>
      <c r="B679" s="510"/>
      <c r="C679" s="510"/>
      <c r="D679" s="288"/>
      <c r="E679" s="511"/>
      <c r="F679" s="510"/>
      <c r="G679" s="510"/>
      <c r="H679" s="510"/>
      <c r="I679" s="510"/>
      <c r="J679" s="510"/>
      <c r="K679" s="510"/>
      <c r="L679" s="510"/>
      <c r="M679" s="510"/>
      <c r="N679" s="510"/>
      <c r="O679" s="510"/>
      <c r="P679" s="510"/>
      <c r="Q679" s="510"/>
      <c r="R679" s="510"/>
      <c r="S679" s="510"/>
      <c r="T679" s="510"/>
      <c r="U679" s="510"/>
      <c r="V679" s="510"/>
      <c r="W679" s="510"/>
      <c r="X679" s="510"/>
      <c r="Y679" s="510"/>
      <c r="Z679" s="510"/>
      <c r="AA679" s="510"/>
      <c r="AB679" s="510"/>
      <c r="AC679" s="510"/>
      <c r="AD679" s="510"/>
    </row>
    <row r="680" ht="28.5" customHeight="1">
      <c r="A680" s="288"/>
      <c r="B680" s="510"/>
      <c r="C680" s="510"/>
      <c r="D680" s="288"/>
      <c r="E680" s="511"/>
      <c r="F680" s="510"/>
      <c r="G680" s="510"/>
      <c r="H680" s="510"/>
      <c r="I680" s="510"/>
      <c r="J680" s="510"/>
      <c r="K680" s="510"/>
      <c r="L680" s="510"/>
      <c r="M680" s="510"/>
      <c r="N680" s="510"/>
      <c r="O680" s="510"/>
      <c r="P680" s="510"/>
      <c r="Q680" s="510"/>
      <c r="R680" s="510"/>
      <c r="S680" s="510"/>
      <c r="T680" s="510"/>
      <c r="U680" s="510"/>
      <c r="V680" s="510"/>
      <c r="W680" s="510"/>
      <c r="X680" s="510"/>
      <c r="Y680" s="510"/>
      <c r="Z680" s="510"/>
      <c r="AA680" s="510"/>
      <c r="AB680" s="510"/>
      <c r="AC680" s="510"/>
      <c r="AD680" s="510"/>
    </row>
    <row r="681" ht="28.5" customHeight="1">
      <c r="A681" s="288"/>
      <c r="B681" s="510"/>
      <c r="C681" s="510"/>
      <c r="D681" s="288"/>
      <c r="E681" s="511"/>
      <c r="F681" s="510"/>
      <c r="G681" s="510"/>
      <c r="H681" s="510"/>
      <c r="I681" s="510"/>
      <c r="J681" s="510"/>
      <c r="K681" s="510"/>
      <c r="L681" s="510"/>
      <c r="M681" s="510"/>
      <c r="N681" s="510"/>
      <c r="O681" s="510"/>
      <c r="P681" s="510"/>
      <c r="Q681" s="510"/>
      <c r="R681" s="510"/>
      <c r="S681" s="510"/>
      <c r="T681" s="510"/>
      <c r="U681" s="510"/>
      <c r="V681" s="510"/>
      <c r="W681" s="510"/>
      <c r="X681" s="510"/>
      <c r="Y681" s="510"/>
      <c r="Z681" s="510"/>
      <c r="AA681" s="510"/>
      <c r="AB681" s="510"/>
      <c r="AC681" s="510"/>
      <c r="AD681" s="510"/>
    </row>
    <row r="682" ht="28.5" customHeight="1">
      <c r="A682" s="288"/>
      <c r="B682" s="510"/>
      <c r="C682" s="510"/>
      <c r="D682" s="288"/>
      <c r="E682" s="511"/>
      <c r="F682" s="510"/>
      <c r="G682" s="510"/>
      <c r="H682" s="510"/>
      <c r="I682" s="510"/>
      <c r="J682" s="510"/>
      <c r="K682" s="510"/>
      <c r="L682" s="510"/>
      <c r="M682" s="510"/>
      <c r="N682" s="510"/>
      <c r="O682" s="510"/>
      <c r="P682" s="510"/>
      <c r="Q682" s="510"/>
      <c r="R682" s="510"/>
      <c r="S682" s="510"/>
      <c r="T682" s="510"/>
      <c r="U682" s="510"/>
      <c r="V682" s="510"/>
      <c r="W682" s="510"/>
      <c r="X682" s="510"/>
      <c r="Y682" s="510"/>
      <c r="Z682" s="510"/>
      <c r="AA682" s="510"/>
      <c r="AB682" s="510"/>
      <c r="AC682" s="510"/>
      <c r="AD682" s="510"/>
    </row>
    <row r="683" ht="28.5" customHeight="1">
      <c r="A683" s="288"/>
      <c r="B683" s="510"/>
      <c r="C683" s="510"/>
      <c r="D683" s="288"/>
      <c r="E683" s="511"/>
      <c r="F683" s="510"/>
      <c r="G683" s="510"/>
      <c r="H683" s="510"/>
      <c r="I683" s="510"/>
      <c r="J683" s="510"/>
      <c r="K683" s="510"/>
      <c r="L683" s="510"/>
      <c r="M683" s="510"/>
      <c r="N683" s="510"/>
      <c r="O683" s="510"/>
      <c r="P683" s="510"/>
      <c r="Q683" s="510"/>
      <c r="R683" s="510"/>
      <c r="S683" s="510"/>
      <c r="T683" s="510"/>
      <c r="U683" s="510"/>
      <c r="V683" s="510"/>
      <c r="W683" s="510"/>
      <c r="X683" s="510"/>
      <c r="Y683" s="510"/>
      <c r="Z683" s="510"/>
      <c r="AA683" s="510"/>
      <c r="AB683" s="510"/>
      <c r="AC683" s="510"/>
      <c r="AD683" s="510"/>
    </row>
    <row r="684" ht="28.5" customHeight="1">
      <c r="A684" s="288"/>
      <c r="B684" s="510"/>
      <c r="C684" s="510"/>
      <c r="D684" s="288"/>
      <c r="E684" s="511"/>
      <c r="F684" s="510"/>
      <c r="G684" s="510"/>
      <c r="H684" s="510"/>
      <c r="I684" s="510"/>
      <c r="J684" s="510"/>
      <c r="K684" s="510"/>
      <c r="L684" s="510"/>
      <c r="M684" s="510"/>
      <c r="N684" s="510"/>
      <c r="O684" s="510"/>
      <c r="P684" s="510"/>
      <c r="Q684" s="510"/>
      <c r="R684" s="510"/>
      <c r="S684" s="510"/>
      <c r="T684" s="510"/>
      <c r="U684" s="510"/>
      <c r="V684" s="510"/>
      <c r="W684" s="510"/>
      <c r="X684" s="510"/>
      <c r="Y684" s="510"/>
      <c r="Z684" s="510"/>
      <c r="AA684" s="510"/>
      <c r="AB684" s="510"/>
      <c r="AC684" s="510"/>
      <c r="AD684" s="510"/>
    </row>
    <row r="685" ht="28.5" customHeight="1">
      <c r="A685" s="288"/>
      <c r="B685" s="510"/>
      <c r="C685" s="510"/>
      <c r="D685" s="288"/>
      <c r="E685" s="511"/>
      <c r="F685" s="510"/>
      <c r="G685" s="510"/>
      <c r="H685" s="510"/>
      <c r="I685" s="510"/>
      <c r="J685" s="510"/>
      <c r="K685" s="510"/>
      <c r="L685" s="510"/>
      <c r="M685" s="510"/>
      <c r="N685" s="510"/>
      <c r="O685" s="510"/>
      <c r="P685" s="510"/>
      <c r="Q685" s="510"/>
      <c r="R685" s="510"/>
      <c r="S685" s="510"/>
      <c r="T685" s="510"/>
      <c r="U685" s="510"/>
      <c r="V685" s="510"/>
      <c r="W685" s="510"/>
      <c r="X685" s="510"/>
      <c r="Y685" s="510"/>
      <c r="Z685" s="510"/>
      <c r="AA685" s="510"/>
      <c r="AB685" s="510"/>
      <c r="AC685" s="510"/>
      <c r="AD685" s="510"/>
    </row>
    <row r="686" ht="28.5" customHeight="1">
      <c r="A686" s="288"/>
      <c r="B686" s="510"/>
      <c r="C686" s="510"/>
      <c r="D686" s="288"/>
      <c r="E686" s="511"/>
      <c r="F686" s="510"/>
      <c r="G686" s="510"/>
      <c r="H686" s="510"/>
      <c r="I686" s="510"/>
      <c r="J686" s="510"/>
      <c r="K686" s="510"/>
      <c r="L686" s="510"/>
      <c r="M686" s="510"/>
      <c r="N686" s="510"/>
      <c r="O686" s="510"/>
      <c r="P686" s="510"/>
      <c r="Q686" s="510"/>
      <c r="R686" s="510"/>
      <c r="S686" s="510"/>
      <c r="T686" s="510"/>
      <c r="U686" s="510"/>
      <c r="V686" s="510"/>
      <c r="W686" s="510"/>
      <c r="X686" s="510"/>
      <c r="Y686" s="510"/>
      <c r="Z686" s="510"/>
      <c r="AA686" s="510"/>
      <c r="AB686" s="510"/>
      <c r="AC686" s="510"/>
      <c r="AD686" s="510"/>
    </row>
    <row r="687" ht="28.5" customHeight="1">
      <c r="A687" s="288"/>
      <c r="B687" s="510"/>
      <c r="C687" s="510"/>
      <c r="D687" s="288"/>
      <c r="E687" s="511"/>
      <c r="F687" s="510"/>
      <c r="G687" s="510"/>
      <c r="H687" s="510"/>
      <c r="I687" s="510"/>
      <c r="J687" s="510"/>
      <c r="K687" s="510"/>
      <c r="L687" s="510"/>
      <c r="M687" s="510"/>
      <c r="N687" s="510"/>
      <c r="O687" s="510"/>
      <c r="P687" s="510"/>
      <c r="Q687" s="510"/>
      <c r="R687" s="510"/>
      <c r="S687" s="510"/>
      <c r="T687" s="510"/>
      <c r="U687" s="510"/>
      <c r="V687" s="510"/>
      <c r="W687" s="510"/>
      <c r="X687" s="510"/>
      <c r="Y687" s="510"/>
      <c r="Z687" s="510"/>
      <c r="AA687" s="510"/>
      <c r="AB687" s="510"/>
      <c r="AC687" s="510"/>
      <c r="AD687" s="510"/>
    </row>
    <row r="688" ht="28.5" customHeight="1">
      <c r="A688" s="288"/>
      <c r="B688" s="510"/>
      <c r="C688" s="510"/>
      <c r="D688" s="288"/>
      <c r="E688" s="511"/>
      <c r="F688" s="510"/>
      <c r="G688" s="510"/>
      <c r="H688" s="510"/>
      <c r="I688" s="510"/>
      <c r="J688" s="510"/>
      <c r="K688" s="510"/>
      <c r="L688" s="510"/>
      <c r="M688" s="510"/>
      <c r="N688" s="510"/>
      <c r="O688" s="510"/>
      <c r="P688" s="510"/>
      <c r="Q688" s="510"/>
      <c r="R688" s="510"/>
      <c r="S688" s="510"/>
      <c r="T688" s="510"/>
      <c r="U688" s="510"/>
      <c r="V688" s="510"/>
      <c r="W688" s="510"/>
      <c r="X688" s="510"/>
      <c r="Y688" s="510"/>
      <c r="Z688" s="510"/>
      <c r="AA688" s="510"/>
      <c r="AB688" s="510"/>
      <c r="AC688" s="510"/>
      <c r="AD688" s="510"/>
    </row>
    <row r="689" ht="28.5" customHeight="1">
      <c r="A689" s="288"/>
      <c r="B689" s="510"/>
      <c r="C689" s="510"/>
      <c r="D689" s="288"/>
      <c r="E689" s="511"/>
      <c r="F689" s="510"/>
      <c r="G689" s="510"/>
      <c r="H689" s="510"/>
      <c r="I689" s="510"/>
      <c r="J689" s="510"/>
      <c r="K689" s="510"/>
      <c r="L689" s="510"/>
      <c r="M689" s="510"/>
      <c r="N689" s="510"/>
      <c r="O689" s="510"/>
      <c r="P689" s="510"/>
      <c r="Q689" s="510"/>
      <c r="R689" s="510"/>
      <c r="S689" s="510"/>
      <c r="T689" s="510"/>
      <c r="U689" s="510"/>
      <c r="V689" s="510"/>
      <c r="W689" s="510"/>
      <c r="X689" s="510"/>
      <c r="Y689" s="510"/>
      <c r="Z689" s="510"/>
      <c r="AA689" s="510"/>
      <c r="AB689" s="510"/>
      <c r="AC689" s="510"/>
      <c r="AD689" s="510"/>
    </row>
    <row r="690" ht="28.5" customHeight="1">
      <c r="A690" s="288"/>
      <c r="B690" s="510"/>
      <c r="C690" s="510"/>
      <c r="D690" s="288"/>
      <c r="E690" s="511"/>
      <c r="F690" s="510"/>
      <c r="G690" s="510"/>
      <c r="H690" s="510"/>
      <c r="I690" s="510"/>
      <c r="J690" s="510"/>
      <c r="K690" s="510"/>
      <c r="L690" s="510"/>
      <c r="M690" s="510"/>
      <c r="N690" s="510"/>
      <c r="O690" s="510"/>
      <c r="P690" s="510"/>
      <c r="Q690" s="510"/>
      <c r="R690" s="510"/>
      <c r="S690" s="510"/>
      <c r="T690" s="510"/>
      <c r="U690" s="510"/>
      <c r="V690" s="510"/>
      <c r="W690" s="510"/>
      <c r="X690" s="510"/>
      <c r="Y690" s="510"/>
      <c r="Z690" s="510"/>
      <c r="AA690" s="510"/>
      <c r="AB690" s="510"/>
      <c r="AC690" s="510"/>
      <c r="AD690" s="510"/>
    </row>
    <row r="691" ht="28.5" customHeight="1">
      <c r="A691" s="288"/>
      <c r="B691" s="510"/>
      <c r="C691" s="510"/>
      <c r="D691" s="288"/>
      <c r="E691" s="511"/>
      <c r="F691" s="510"/>
      <c r="G691" s="510"/>
      <c r="H691" s="510"/>
      <c r="I691" s="510"/>
      <c r="J691" s="510"/>
      <c r="K691" s="510"/>
      <c r="L691" s="510"/>
      <c r="M691" s="510"/>
      <c r="N691" s="510"/>
      <c r="O691" s="510"/>
      <c r="P691" s="510"/>
      <c r="Q691" s="510"/>
      <c r="R691" s="510"/>
      <c r="S691" s="510"/>
      <c r="T691" s="510"/>
      <c r="U691" s="510"/>
      <c r="V691" s="510"/>
      <c r="W691" s="510"/>
      <c r="X691" s="510"/>
      <c r="Y691" s="510"/>
      <c r="Z691" s="510"/>
      <c r="AA691" s="510"/>
      <c r="AB691" s="510"/>
      <c r="AC691" s="510"/>
      <c r="AD691" s="510"/>
    </row>
    <row r="692" ht="28.5" customHeight="1">
      <c r="A692" s="288"/>
      <c r="B692" s="510"/>
      <c r="C692" s="510"/>
      <c r="D692" s="288"/>
      <c r="E692" s="511"/>
      <c r="F692" s="510"/>
      <c r="G692" s="510"/>
      <c r="H692" s="510"/>
      <c r="I692" s="510"/>
      <c r="J692" s="510"/>
      <c r="K692" s="510"/>
      <c r="L692" s="510"/>
      <c r="M692" s="510"/>
      <c r="N692" s="510"/>
      <c r="O692" s="510"/>
      <c r="P692" s="510"/>
      <c r="Q692" s="510"/>
      <c r="R692" s="510"/>
      <c r="S692" s="510"/>
      <c r="T692" s="510"/>
      <c r="U692" s="510"/>
      <c r="V692" s="510"/>
      <c r="W692" s="510"/>
      <c r="X692" s="510"/>
      <c r="Y692" s="510"/>
      <c r="Z692" s="510"/>
      <c r="AA692" s="510"/>
      <c r="AB692" s="510"/>
      <c r="AC692" s="510"/>
      <c r="AD692" s="510"/>
    </row>
    <row r="693" ht="28.5" customHeight="1">
      <c r="A693" s="288"/>
      <c r="B693" s="510"/>
      <c r="C693" s="510"/>
      <c r="D693" s="288"/>
      <c r="E693" s="511"/>
      <c r="F693" s="510"/>
      <c r="G693" s="510"/>
      <c r="H693" s="510"/>
      <c r="I693" s="510"/>
      <c r="J693" s="510"/>
      <c r="K693" s="510"/>
      <c r="L693" s="510"/>
      <c r="M693" s="510"/>
      <c r="N693" s="510"/>
      <c r="O693" s="510"/>
      <c r="P693" s="510"/>
      <c r="Q693" s="510"/>
      <c r="R693" s="510"/>
      <c r="S693" s="510"/>
      <c r="T693" s="510"/>
      <c r="U693" s="510"/>
      <c r="V693" s="510"/>
      <c r="W693" s="510"/>
      <c r="X693" s="510"/>
      <c r="Y693" s="510"/>
      <c r="Z693" s="510"/>
      <c r="AA693" s="510"/>
      <c r="AB693" s="510"/>
      <c r="AC693" s="510"/>
      <c r="AD693" s="510"/>
    </row>
    <row r="694" ht="28.5" customHeight="1">
      <c r="A694" s="288"/>
      <c r="B694" s="510"/>
      <c r="C694" s="510"/>
      <c r="D694" s="288"/>
      <c r="E694" s="511"/>
      <c r="F694" s="510"/>
      <c r="G694" s="510"/>
      <c r="H694" s="510"/>
      <c r="I694" s="510"/>
      <c r="J694" s="510"/>
      <c r="K694" s="510"/>
      <c r="L694" s="510"/>
      <c r="M694" s="510"/>
      <c r="N694" s="510"/>
      <c r="O694" s="510"/>
      <c r="P694" s="510"/>
      <c r="Q694" s="510"/>
      <c r="R694" s="510"/>
      <c r="S694" s="510"/>
      <c r="T694" s="510"/>
      <c r="U694" s="510"/>
      <c r="V694" s="510"/>
      <c r="W694" s="510"/>
      <c r="X694" s="510"/>
      <c r="Y694" s="510"/>
      <c r="Z694" s="510"/>
      <c r="AA694" s="510"/>
      <c r="AB694" s="510"/>
      <c r="AC694" s="510"/>
      <c r="AD694" s="510"/>
    </row>
    <row r="695" ht="28.5" customHeight="1">
      <c r="A695" s="288"/>
      <c r="B695" s="510"/>
      <c r="C695" s="510"/>
      <c r="D695" s="288"/>
      <c r="E695" s="511"/>
      <c r="F695" s="510"/>
      <c r="G695" s="510"/>
      <c r="H695" s="510"/>
      <c r="I695" s="510"/>
      <c r="J695" s="510"/>
      <c r="K695" s="510"/>
      <c r="L695" s="510"/>
      <c r="M695" s="510"/>
      <c r="N695" s="510"/>
      <c r="O695" s="510"/>
      <c r="P695" s="510"/>
      <c r="Q695" s="510"/>
      <c r="R695" s="510"/>
      <c r="S695" s="510"/>
      <c r="T695" s="510"/>
      <c r="U695" s="510"/>
      <c r="V695" s="510"/>
      <c r="W695" s="510"/>
      <c r="X695" s="510"/>
      <c r="Y695" s="510"/>
      <c r="Z695" s="510"/>
      <c r="AA695" s="510"/>
      <c r="AB695" s="510"/>
      <c r="AC695" s="510"/>
      <c r="AD695" s="510"/>
    </row>
    <row r="696" ht="28.5" customHeight="1">
      <c r="A696" s="288"/>
      <c r="B696" s="510"/>
      <c r="C696" s="510"/>
      <c r="D696" s="288"/>
      <c r="E696" s="511"/>
      <c r="F696" s="510"/>
      <c r="G696" s="510"/>
      <c r="H696" s="510"/>
      <c r="I696" s="510"/>
      <c r="J696" s="510"/>
      <c r="K696" s="510"/>
      <c r="L696" s="510"/>
      <c r="M696" s="510"/>
      <c r="N696" s="510"/>
      <c r="O696" s="510"/>
      <c r="P696" s="510"/>
      <c r="Q696" s="510"/>
      <c r="R696" s="510"/>
      <c r="S696" s="510"/>
      <c r="T696" s="510"/>
      <c r="U696" s="510"/>
      <c r="V696" s="510"/>
      <c r="W696" s="510"/>
      <c r="X696" s="510"/>
      <c r="Y696" s="510"/>
      <c r="Z696" s="510"/>
      <c r="AA696" s="510"/>
      <c r="AB696" s="510"/>
      <c r="AC696" s="510"/>
      <c r="AD696" s="510"/>
    </row>
    <row r="697" ht="28.5" customHeight="1">
      <c r="A697" s="288"/>
      <c r="B697" s="510"/>
      <c r="C697" s="510"/>
      <c r="D697" s="288"/>
      <c r="E697" s="511"/>
      <c r="F697" s="510"/>
      <c r="G697" s="510"/>
      <c r="H697" s="510"/>
      <c r="I697" s="510"/>
      <c r="J697" s="510"/>
      <c r="K697" s="510"/>
      <c r="L697" s="510"/>
      <c r="M697" s="510"/>
      <c r="N697" s="510"/>
      <c r="O697" s="510"/>
      <c r="P697" s="510"/>
      <c r="Q697" s="510"/>
      <c r="R697" s="510"/>
      <c r="S697" s="510"/>
      <c r="T697" s="510"/>
      <c r="U697" s="510"/>
      <c r="V697" s="510"/>
      <c r="W697" s="510"/>
      <c r="X697" s="510"/>
      <c r="Y697" s="510"/>
      <c r="Z697" s="510"/>
      <c r="AA697" s="510"/>
      <c r="AB697" s="510"/>
      <c r="AC697" s="510"/>
      <c r="AD697" s="510"/>
    </row>
    <row r="698" ht="28.5" customHeight="1">
      <c r="A698" s="288"/>
      <c r="B698" s="510"/>
      <c r="C698" s="510"/>
      <c r="D698" s="288"/>
      <c r="E698" s="511"/>
      <c r="F698" s="510"/>
      <c r="G698" s="510"/>
      <c r="H698" s="510"/>
      <c r="I698" s="510"/>
      <c r="J698" s="510"/>
      <c r="K698" s="510"/>
      <c r="L698" s="510"/>
      <c r="M698" s="510"/>
      <c r="N698" s="510"/>
      <c r="O698" s="510"/>
      <c r="P698" s="510"/>
      <c r="Q698" s="510"/>
      <c r="R698" s="510"/>
      <c r="S698" s="510"/>
      <c r="T698" s="510"/>
      <c r="U698" s="510"/>
      <c r="V698" s="510"/>
      <c r="W698" s="510"/>
      <c r="X698" s="510"/>
      <c r="Y698" s="510"/>
      <c r="Z698" s="510"/>
      <c r="AA698" s="510"/>
      <c r="AB698" s="510"/>
      <c r="AC698" s="510"/>
      <c r="AD698" s="510"/>
    </row>
    <row r="699" ht="28.5" customHeight="1">
      <c r="A699" s="288"/>
      <c r="B699" s="510"/>
      <c r="C699" s="510"/>
      <c r="D699" s="288"/>
      <c r="E699" s="511"/>
      <c r="F699" s="510"/>
      <c r="G699" s="510"/>
      <c r="H699" s="510"/>
      <c r="I699" s="510"/>
      <c r="J699" s="510"/>
      <c r="K699" s="510"/>
      <c r="L699" s="510"/>
      <c r="M699" s="510"/>
      <c r="N699" s="510"/>
      <c r="O699" s="510"/>
      <c r="P699" s="510"/>
      <c r="Q699" s="510"/>
      <c r="R699" s="510"/>
      <c r="S699" s="510"/>
      <c r="T699" s="510"/>
      <c r="U699" s="510"/>
      <c r="V699" s="510"/>
      <c r="W699" s="510"/>
      <c r="X699" s="510"/>
      <c r="Y699" s="510"/>
      <c r="Z699" s="510"/>
      <c r="AA699" s="510"/>
      <c r="AB699" s="510"/>
      <c r="AC699" s="510"/>
      <c r="AD699" s="510"/>
    </row>
    <row r="700" ht="28.5" customHeight="1">
      <c r="A700" s="288"/>
      <c r="B700" s="510"/>
      <c r="C700" s="510"/>
      <c r="D700" s="288"/>
      <c r="E700" s="511"/>
      <c r="F700" s="510"/>
      <c r="G700" s="510"/>
      <c r="H700" s="510"/>
      <c r="I700" s="510"/>
      <c r="J700" s="510"/>
      <c r="K700" s="510"/>
      <c r="L700" s="510"/>
      <c r="M700" s="510"/>
      <c r="N700" s="510"/>
      <c r="O700" s="510"/>
      <c r="P700" s="510"/>
      <c r="Q700" s="510"/>
      <c r="R700" s="510"/>
      <c r="S700" s="510"/>
      <c r="T700" s="510"/>
      <c r="U700" s="510"/>
      <c r="V700" s="510"/>
      <c r="W700" s="510"/>
      <c r="X700" s="510"/>
      <c r="Y700" s="510"/>
      <c r="Z700" s="510"/>
      <c r="AA700" s="510"/>
      <c r="AB700" s="510"/>
      <c r="AC700" s="510"/>
      <c r="AD700" s="510"/>
    </row>
    <row r="701" ht="28.5" customHeight="1">
      <c r="A701" s="288"/>
      <c r="B701" s="510"/>
      <c r="C701" s="510"/>
      <c r="D701" s="288"/>
      <c r="E701" s="511"/>
      <c r="F701" s="510"/>
      <c r="G701" s="510"/>
      <c r="H701" s="510"/>
      <c r="I701" s="510"/>
      <c r="J701" s="510"/>
      <c r="K701" s="510"/>
      <c r="L701" s="510"/>
      <c r="M701" s="510"/>
      <c r="N701" s="510"/>
      <c r="O701" s="510"/>
      <c r="P701" s="510"/>
      <c r="Q701" s="510"/>
      <c r="R701" s="510"/>
      <c r="S701" s="510"/>
      <c r="T701" s="510"/>
      <c r="U701" s="510"/>
      <c r="V701" s="510"/>
      <c r="W701" s="510"/>
      <c r="X701" s="510"/>
      <c r="Y701" s="510"/>
      <c r="Z701" s="510"/>
      <c r="AA701" s="510"/>
      <c r="AB701" s="510"/>
      <c r="AC701" s="510"/>
      <c r="AD701" s="510"/>
    </row>
    <row r="702" ht="28.5" customHeight="1">
      <c r="A702" s="288"/>
      <c r="B702" s="510"/>
      <c r="C702" s="510"/>
      <c r="D702" s="288"/>
      <c r="E702" s="511"/>
      <c r="F702" s="510"/>
      <c r="G702" s="510"/>
      <c r="H702" s="510"/>
      <c r="I702" s="510"/>
      <c r="J702" s="510"/>
      <c r="K702" s="510"/>
      <c r="L702" s="510"/>
      <c r="M702" s="510"/>
      <c r="N702" s="510"/>
      <c r="O702" s="510"/>
      <c r="P702" s="510"/>
      <c r="Q702" s="510"/>
      <c r="R702" s="510"/>
      <c r="S702" s="510"/>
      <c r="T702" s="510"/>
      <c r="U702" s="510"/>
      <c r="V702" s="510"/>
      <c r="W702" s="510"/>
      <c r="X702" s="510"/>
      <c r="Y702" s="510"/>
      <c r="Z702" s="510"/>
      <c r="AA702" s="510"/>
      <c r="AB702" s="510"/>
      <c r="AC702" s="510"/>
      <c r="AD702" s="510"/>
    </row>
    <row r="703" ht="28.5" customHeight="1">
      <c r="A703" s="288"/>
      <c r="B703" s="510"/>
      <c r="C703" s="510"/>
      <c r="D703" s="288"/>
      <c r="E703" s="511"/>
      <c r="F703" s="510"/>
      <c r="G703" s="510"/>
      <c r="H703" s="510"/>
      <c r="I703" s="510"/>
      <c r="J703" s="510"/>
      <c r="K703" s="510"/>
      <c r="L703" s="510"/>
      <c r="M703" s="510"/>
      <c r="N703" s="510"/>
      <c r="O703" s="510"/>
      <c r="P703" s="510"/>
      <c r="Q703" s="510"/>
      <c r="R703" s="510"/>
      <c r="S703" s="510"/>
      <c r="T703" s="510"/>
      <c r="U703" s="510"/>
      <c r="V703" s="510"/>
      <c r="W703" s="510"/>
      <c r="X703" s="510"/>
      <c r="Y703" s="510"/>
      <c r="Z703" s="510"/>
      <c r="AA703" s="510"/>
      <c r="AB703" s="510"/>
      <c r="AC703" s="510"/>
      <c r="AD703" s="510"/>
    </row>
    <row r="704" ht="28.5" customHeight="1">
      <c r="A704" s="288"/>
      <c r="B704" s="510"/>
      <c r="C704" s="510"/>
      <c r="D704" s="288"/>
      <c r="E704" s="511"/>
      <c r="F704" s="510"/>
      <c r="G704" s="510"/>
      <c r="H704" s="510"/>
      <c r="I704" s="510"/>
      <c r="J704" s="510"/>
      <c r="K704" s="510"/>
      <c r="L704" s="510"/>
      <c r="M704" s="510"/>
      <c r="N704" s="510"/>
      <c r="O704" s="510"/>
      <c r="P704" s="510"/>
      <c r="Q704" s="510"/>
      <c r="R704" s="510"/>
      <c r="S704" s="510"/>
      <c r="T704" s="510"/>
      <c r="U704" s="510"/>
      <c r="V704" s="510"/>
      <c r="W704" s="510"/>
      <c r="X704" s="510"/>
      <c r="Y704" s="510"/>
      <c r="Z704" s="510"/>
      <c r="AA704" s="510"/>
      <c r="AB704" s="510"/>
      <c r="AC704" s="510"/>
      <c r="AD704" s="510"/>
    </row>
    <row r="705" ht="28.5" customHeight="1">
      <c r="A705" s="288"/>
      <c r="B705" s="510"/>
      <c r="C705" s="510"/>
      <c r="D705" s="288"/>
      <c r="E705" s="511"/>
      <c r="F705" s="510"/>
      <c r="G705" s="510"/>
      <c r="H705" s="510"/>
      <c r="I705" s="510"/>
      <c r="J705" s="510"/>
      <c r="K705" s="510"/>
      <c r="L705" s="510"/>
      <c r="M705" s="510"/>
      <c r="N705" s="510"/>
      <c r="O705" s="510"/>
      <c r="P705" s="510"/>
      <c r="Q705" s="510"/>
      <c r="R705" s="510"/>
      <c r="S705" s="510"/>
      <c r="T705" s="510"/>
      <c r="U705" s="510"/>
      <c r="V705" s="510"/>
      <c r="W705" s="510"/>
      <c r="X705" s="510"/>
      <c r="Y705" s="510"/>
      <c r="Z705" s="510"/>
      <c r="AA705" s="510"/>
      <c r="AB705" s="510"/>
      <c r="AC705" s="510"/>
      <c r="AD705" s="510"/>
    </row>
    <row r="706" ht="28.5" customHeight="1">
      <c r="A706" s="288"/>
      <c r="B706" s="510"/>
      <c r="C706" s="510"/>
      <c r="D706" s="288"/>
      <c r="E706" s="511"/>
      <c r="F706" s="510"/>
      <c r="G706" s="510"/>
      <c r="H706" s="510"/>
      <c r="I706" s="510"/>
      <c r="J706" s="510"/>
      <c r="K706" s="510"/>
      <c r="L706" s="510"/>
      <c r="M706" s="510"/>
      <c r="N706" s="510"/>
      <c r="O706" s="510"/>
      <c r="P706" s="510"/>
      <c r="Q706" s="510"/>
      <c r="R706" s="510"/>
      <c r="S706" s="510"/>
      <c r="T706" s="510"/>
      <c r="U706" s="510"/>
      <c r="V706" s="510"/>
      <c r="W706" s="510"/>
      <c r="X706" s="510"/>
      <c r="Y706" s="510"/>
      <c r="Z706" s="510"/>
      <c r="AA706" s="510"/>
      <c r="AB706" s="510"/>
      <c r="AC706" s="510"/>
      <c r="AD706" s="510"/>
    </row>
    <row r="707" ht="28.5" customHeight="1">
      <c r="A707" s="288"/>
      <c r="B707" s="510"/>
      <c r="C707" s="510"/>
      <c r="D707" s="288"/>
      <c r="E707" s="511"/>
      <c r="F707" s="510"/>
      <c r="G707" s="510"/>
      <c r="H707" s="510"/>
      <c r="I707" s="510"/>
      <c r="J707" s="510"/>
      <c r="K707" s="510"/>
      <c r="L707" s="510"/>
      <c r="M707" s="510"/>
      <c r="N707" s="510"/>
      <c r="O707" s="510"/>
      <c r="P707" s="510"/>
      <c r="Q707" s="510"/>
      <c r="R707" s="510"/>
      <c r="S707" s="510"/>
      <c r="T707" s="510"/>
      <c r="U707" s="510"/>
      <c r="V707" s="510"/>
      <c r="W707" s="510"/>
      <c r="X707" s="510"/>
      <c r="Y707" s="510"/>
      <c r="Z707" s="510"/>
      <c r="AA707" s="510"/>
      <c r="AB707" s="510"/>
      <c r="AC707" s="510"/>
      <c r="AD707" s="510"/>
    </row>
    <row r="708" ht="28.5" customHeight="1">
      <c r="A708" s="288"/>
      <c r="B708" s="510"/>
      <c r="C708" s="510"/>
      <c r="D708" s="288"/>
      <c r="E708" s="511"/>
      <c r="F708" s="510"/>
      <c r="G708" s="510"/>
      <c r="H708" s="510"/>
      <c r="I708" s="510"/>
      <c r="J708" s="510"/>
      <c r="K708" s="510"/>
      <c r="L708" s="510"/>
      <c r="M708" s="510"/>
      <c r="N708" s="510"/>
      <c r="O708" s="510"/>
      <c r="P708" s="510"/>
      <c r="Q708" s="510"/>
      <c r="R708" s="510"/>
      <c r="S708" s="510"/>
      <c r="T708" s="510"/>
      <c r="U708" s="510"/>
      <c r="V708" s="510"/>
      <c r="W708" s="510"/>
      <c r="X708" s="510"/>
      <c r="Y708" s="510"/>
      <c r="Z708" s="510"/>
      <c r="AA708" s="510"/>
      <c r="AB708" s="510"/>
      <c r="AC708" s="510"/>
      <c r="AD708" s="510"/>
    </row>
    <row r="709" ht="28.5" customHeight="1">
      <c r="A709" s="288"/>
      <c r="B709" s="510"/>
      <c r="C709" s="510"/>
      <c r="D709" s="288"/>
      <c r="E709" s="511"/>
      <c r="F709" s="510"/>
      <c r="G709" s="510"/>
      <c r="H709" s="510"/>
      <c r="I709" s="510"/>
      <c r="J709" s="510"/>
      <c r="K709" s="510"/>
      <c r="L709" s="510"/>
      <c r="M709" s="510"/>
      <c r="N709" s="510"/>
      <c r="O709" s="510"/>
      <c r="P709" s="510"/>
      <c r="Q709" s="510"/>
      <c r="R709" s="510"/>
      <c r="S709" s="510"/>
      <c r="T709" s="510"/>
      <c r="U709" s="510"/>
      <c r="V709" s="510"/>
      <c r="W709" s="510"/>
      <c r="X709" s="510"/>
      <c r="Y709" s="510"/>
      <c r="Z709" s="510"/>
      <c r="AA709" s="510"/>
      <c r="AB709" s="510"/>
      <c r="AC709" s="510"/>
      <c r="AD709" s="510"/>
    </row>
    <row r="710" ht="28.5" customHeight="1">
      <c r="A710" s="288"/>
      <c r="B710" s="510"/>
      <c r="C710" s="510"/>
      <c r="D710" s="288"/>
      <c r="E710" s="511"/>
      <c r="F710" s="510"/>
      <c r="G710" s="510"/>
      <c r="H710" s="510"/>
      <c r="I710" s="510"/>
      <c r="J710" s="510"/>
      <c r="K710" s="510"/>
      <c r="L710" s="510"/>
      <c r="M710" s="510"/>
      <c r="N710" s="510"/>
      <c r="O710" s="510"/>
      <c r="P710" s="510"/>
      <c r="Q710" s="510"/>
      <c r="R710" s="510"/>
      <c r="S710" s="510"/>
      <c r="T710" s="510"/>
      <c r="U710" s="510"/>
      <c r="V710" s="510"/>
      <c r="W710" s="510"/>
      <c r="X710" s="510"/>
      <c r="Y710" s="510"/>
      <c r="Z710" s="510"/>
      <c r="AA710" s="510"/>
      <c r="AB710" s="510"/>
      <c r="AC710" s="510"/>
      <c r="AD710" s="510"/>
    </row>
    <row r="711" ht="28.5" customHeight="1">
      <c r="A711" s="288"/>
      <c r="B711" s="510"/>
      <c r="C711" s="510"/>
      <c r="D711" s="288"/>
      <c r="E711" s="511"/>
      <c r="F711" s="510"/>
      <c r="G711" s="510"/>
      <c r="H711" s="510"/>
      <c r="I711" s="510"/>
      <c r="J711" s="510"/>
      <c r="K711" s="510"/>
      <c r="L711" s="510"/>
      <c r="M711" s="510"/>
      <c r="N711" s="510"/>
      <c r="O711" s="510"/>
      <c r="P711" s="510"/>
      <c r="Q711" s="510"/>
      <c r="R711" s="510"/>
      <c r="S711" s="510"/>
      <c r="T711" s="510"/>
      <c r="U711" s="510"/>
      <c r="V711" s="510"/>
      <c r="W711" s="510"/>
      <c r="X711" s="510"/>
      <c r="Y711" s="510"/>
      <c r="Z711" s="510"/>
      <c r="AA711" s="510"/>
      <c r="AB711" s="510"/>
      <c r="AC711" s="510"/>
      <c r="AD711" s="510"/>
    </row>
    <row r="712" ht="28.5" customHeight="1">
      <c r="A712" s="288"/>
      <c r="B712" s="510"/>
      <c r="C712" s="510"/>
      <c r="D712" s="288"/>
      <c r="E712" s="511"/>
      <c r="F712" s="510"/>
      <c r="G712" s="510"/>
      <c r="H712" s="510"/>
      <c r="I712" s="510"/>
      <c r="J712" s="510"/>
      <c r="K712" s="510"/>
      <c r="L712" s="510"/>
      <c r="M712" s="510"/>
      <c r="N712" s="510"/>
      <c r="O712" s="510"/>
      <c r="P712" s="510"/>
      <c r="Q712" s="510"/>
      <c r="R712" s="510"/>
      <c r="S712" s="510"/>
      <c r="T712" s="510"/>
      <c r="U712" s="510"/>
      <c r="V712" s="510"/>
      <c r="W712" s="510"/>
      <c r="X712" s="510"/>
      <c r="Y712" s="510"/>
      <c r="Z712" s="510"/>
      <c r="AA712" s="510"/>
      <c r="AB712" s="510"/>
      <c r="AC712" s="510"/>
      <c r="AD712" s="510"/>
    </row>
    <row r="713" ht="28.5" customHeight="1">
      <c r="A713" s="288"/>
      <c r="B713" s="510"/>
      <c r="C713" s="510"/>
      <c r="D713" s="288"/>
      <c r="E713" s="511"/>
      <c r="F713" s="510"/>
      <c r="G713" s="510"/>
      <c r="H713" s="510"/>
      <c r="I713" s="510"/>
      <c r="J713" s="510"/>
      <c r="K713" s="510"/>
      <c r="L713" s="510"/>
      <c r="M713" s="510"/>
      <c r="N713" s="510"/>
      <c r="O713" s="510"/>
      <c r="P713" s="510"/>
      <c r="Q713" s="510"/>
      <c r="R713" s="510"/>
      <c r="S713" s="510"/>
      <c r="T713" s="510"/>
      <c r="U713" s="510"/>
      <c r="V713" s="510"/>
      <c r="W713" s="510"/>
      <c r="X713" s="510"/>
      <c r="Y713" s="510"/>
      <c r="Z713" s="510"/>
      <c r="AA713" s="510"/>
      <c r="AB713" s="510"/>
      <c r="AC713" s="510"/>
      <c r="AD713" s="510"/>
    </row>
    <row r="714" ht="28.5" customHeight="1">
      <c r="A714" s="288"/>
      <c r="B714" s="510"/>
      <c r="C714" s="510"/>
      <c r="D714" s="288"/>
      <c r="E714" s="511"/>
      <c r="F714" s="510"/>
      <c r="G714" s="510"/>
      <c r="H714" s="510"/>
      <c r="I714" s="510"/>
      <c r="J714" s="510"/>
      <c r="K714" s="510"/>
      <c r="L714" s="510"/>
      <c r="M714" s="510"/>
      <c r="N714" s="510"/>
      <c r="O714" s="510"/>
      <c r="P714" s="510"/>
      <c r="Q714" s="510"/>
      <c r="R714" s="510"/>
      <c r="S714" s="510"/>
      <c r="T714" s="510"/>
      <c r="U714" s="510"/>
      <c r="V714" s="510"/>
      <c r="W714" s="510"/>
      <c r="X714" s="510"/>
      <c r="Y714" s="510"/>
      <c r="Z714" s="510"/>
      <c r="AA714" s="510"/>
      <c r="AB714" s="510"/>
      <c r="AC714" s="510"/>
      <c r="AD714" s="510"/>
    </row>
    <row r="715" ht="28.5" customHeight="1">
      <c r="A715" s="288"/>
      <c r="B715" s="510"/>
      <c r="C715" s="510"/>
      <c r="D715" s="288"/>
      <c r="E715" s="511"/>
      <c r="F715" s="510"/>
      <c r="G715" s="510"/>
      <c r="H715" s="510"/>
      <c r="I715" s="510"/>
      <c r="J715" s="510"/>
      <c r="K715" s="510"/>
      <c r="L715" s="510"/>
      <c r="M715" s="510"/>
      <c r="N715" s="510"/>
      <c r="O715" s="510"/>
      <c r="P715" s="510"/>
      <c r="Q715" s="510"/>
      <c r="R715" s="510"/>
      <c r="S715" s="510"/>
      <c r="T715" s="510"/>
      <c r="U715" s="510"/>
      <c r="V715" s="510"/>
      <c r="W715" s="510"/>
      <c r="X715" s="510"/>
      <c r="Y715" s="510"/>
      <c r="Z715" s="510"/>
      <c r="AA715" s="510"/>
      <c r="AB715" s="510"/>
      <c r="AC715" s="510"/>
      <c r="AD715" s="510"/>
    </row>
    <row r="716" ht="28.5" customHeight="1">
      <c r="A716" s="288"/>
      <c r="B716" s="510"/>
      <c r="C716" s="510"/>
      <c r="D716" s="288"/>
      <c r="E716" s="511"/>
      <c r="F716" s="510"/>
      <c r="G716" s="510"/>
      <c r="H716" s="510"/>
      <c r="I716" s="510"/>
      <c r="J716" s="510"/>
      <c r="K716" s="510"/>
      <c r="L716" s="510"/>
      <c r="M716" s="510"/>
      <c r="N716" s="510"/>
      <c r="O716" s="510"/>
      <c r="P716" s="510"/>
      <c r="Q716" s="510"/>
      <c r="R716" s="510"/>
      <c r="S716" s="510"/>
      <c r="T716" s="510"/>
      <c r="U716" s="510"/>
      <c r="V716" s="510"/>
      <c r="W716" s="510"/>
      <c r="X716" s="510"/>
      <c r="Y716" s="510"/>
      <c r="Z716" s="510"/>
      <c r="AA716" s="510"/>
      <c r="AB716" s="510"/>
      <c r="AC716" s="510"/>
      <c r="AD716" s="510"/>
    </row>
    <row r="717" ht="28.5" customHeight="1">
      <c r="A717" s="288"/>
      <c r="B717" s="510"/>
      <c r="C717" s="510"/>
      <c r="D717" s="288"/>
      <c r="E717" s="511"/>
      <c r="F717" s="510"/>
      <c r="G717" s="510"/>
      <c r="H717" s="510"/>
      <c r="I717" s="510"/>
      <c r="J717" s="510"/>
      <c r="K717" s="510"/>
      <c r="L717" s="510"/>
      <c r="M717" s="510"/>
      <c r="N717" s="510"/>
      <c r="O717" s="510"/>
      <c r="P717" s="510"/>
      <c r="Q717" s="510"/>
      <c r="R717" s="510"/>
      <c r="S717" s="510"/>
      <c r="T717" s="510"/>
      <c r="U717" s="510"/>
      <c r="V717" s="510"/>
      <c r="W717" s="510"/>
      <c r="X717" s="510"/>
      <c r="Y717" s="510"/>
      <c r="Z717" s="510"/>
      <c r="AA717" s="510"/>
      <c r="AB717" s="510"/>
      <c r="AC717" s="510"/>
      <c r="AD717" s="510"/>
    </row>
    <row r="718" ht="28.5" customHeight="1">
      <c r="A718" s="288"/>
      <c r="B718" s="510"/>
      <c r="C718" s="510"/>
      <c r="D718" s="288"/>
      <c r="E718" s="511"/>
      <c r="F718" s="510"/>
      <c r="G718" s="510"/>
      <c r="H718" s="510"/>
      <c r="I718" s="510"/>
      <c r="J718" s="510"/>
      <c r="K718" s="510"/>
      <c r="L718" s="510"/>
      <c r="M718" s="510"/>
      <c r="N718" s="510"/>
      <c r="O718" s="510"/>
      <c r="P718" s="510"/>
      <c r="Q718" s="510"/>
      <c r="R718" s="510"/>
      <c r="S718" s="510"/>
      <c r="T718" s="510"/>
      <c r="U718" s="510"/>
      <c r="V718" s="510"/>
      <c r="W718" s="510"/>
      <c r="X718" s="510"/>
      <c r="Y718" s="510"/>
      <c r="Z718" s="510"/>
      <c r="AA718" s="510"/>
      <c r="AB718" s="510"/>
      <c r="AC718" s="510"/>
      <c r="AD718" s="510"/>
    </row>
    <row r="719" ht="28.5" customHeight="1">
      <c r="A719" s="288"/>
      <c r="B719" s="510"/>
      <c r="C719" s="510"/>
      <c r="D719" s="288"/>
      <c r="E719" s="511"/>
      <c r="F719" s="510"/>
      <c r="G719" s="510"/>
      <c r="H719" s="510"/>
      <c r="I719" s="510"/>
      <c r="J719" s="510"/>
      <c r="K719" s="510"/>
      <c r="L719" s="510"/>
      <c r="M719" s="510"/>
      <c r="N719" s="510"/>
      <c r="O719" s="510"/>
      <c r="P719" s="510"/>
      <c r="Q719" s="510"/>
      <c r="R719" s="510"/>
      <c r="S719" s="510"/>
      <c r="T719" s="510"/>
      <c r="U719" s="510"/>
      <c r="V719" s="510"/>
      <c r="W719" s="510"/>
      <c r="X719" s="510"/>
      <c r="Y719" s="510"/>
      <c r="Z719" s="510"/>
      <c r="AA719" s="510"/>
      <c r="AB719" s="510"/>
      <c r="AC719" s="510"/>
      <c r="AD719" s="510"/>
    </row>
    <row r="720" ht="28.5" customHeight="1">
      <c r="A720" s="288"/>
      <c r="B720" s="510"/>
      <c r="C720" s="510"/>
      <c r="D720" s="288"/>
      <c r="E720" s="511"/>
      <c r="F720" s="510"/>
      <c r="G720" s="510"/>
      <c r="H720" s="510"/>
      <c r="I720" s="510"/>
      <c r="J720" s="510"/>
      <c r="K720" s="510"/>
      <c r="L720" s="510"/>
      <c r="M720" s="510"/>
      <c r="N720" s="510"/>
      <c r="O720" s="510"/>
      <c r="P720" s="510"/>
      <c r="Q720" s="510"/>
      <c r="R720" s="510"/>
      <c r="S720" s="510"/>
      <c r="T720" s="510"/>
      <c r="U720" s="510"/>
      <c r="V720" s="510"/>
      <c r="W720" s="510"/>
      <c r="X720" s="510"/>
      <c r="Y720" s="510"/>
      <c r="Z720" s="510"/>
      <c r="AA720" s="510"/>
      <c r="AB720" s="510"/>
      <c r="AC720" s="510"/>
      <c r="AD720" s="510"/>
    </row>
    <row r="721" ht="28.5" customHeight="1">
      <c r="A721" s="288"/>
      <c r="B721" s="510"/>
      <c r="C721" s="510"/>
      <c r="D721" s="288"/>
      <c r="E721" s="511"/>
      <c r="F721" s="510"/>
      <c r="G721" s="510"/>
      <c r="H721" s="510"/>
      <c r="I721" s="510"/>
      <c r="J721" s="510"/>
      <c r="K721" s="510"/>
      <c r="L721" s="510"/>
      <c r="M721" s="510"/>
      <c r="N721" s="510"/>
      <c r="O721" s="510"/>
      <c r="P721" s="510"/>
      <c r="Q721" s="510"/>
      <c r="R721" s="510"/>
      <c r="S721" s="510"/>
      <c r="T721" s="510"/>
      <c r="U721" s="510"/>
      <c r="V721" s="510"/>
      <c r="W721" s="510"/>
      <c r="X721" s="510"/>
      <c r="Y721" s="510"/>
      <c r="Z721" s="510"/>
      <c r="AA721" s="510"/>
      <c r="AB721" s="510"/>
      <c r="AC721" s="510"/>
      <c r="AD721" s="510"/>
    </row>
    <row r="722" ht="28.5" customHeight="1">
      <c r="A722" s="288"/>
      <c r="B722" s="510"/>
      <c r="C722" s="510"/>
      <c r="D722" s="288"/>
      <c r="E722" s="511"/>
      <c r="F722" s="510"/>
      <c r="G722" s="510"/>
      <c r="H722" s="510"/>
      <c r="I722" s="510"/>
      <c r="J722" s="510"/>
      <c r="K722" s="510"/>
      <c r="L722" s="510"/>
      <c r="M722" s="510"/>
      <c r="N722" s="510"/>
      <c r="O722" s="510"/>
      <c r="P722" s="510"/>
      <c r="Q722" s="510"/>
      <c r="R722" s="510"/>
      <c r="S722" s="510"/>
      <c r="T722" s="510"/>
      <c r="U722" s="510"/>
      <c r="V722" s="510"/>
      <c r="W722" s="510"/>
      <c r="X722" s="510"/>
      <c r="Y722" s="510"/>
      <c r="Z722" s="510"/>
      <c r="AA722" s="510"/>
      <c r="AB722" s="510"/>
      <c r="AC722" s="510"/>
      <c r="AD722" s="510"/>
    </row>
    <row r="723" ht="28.5" customHeight="1">
      <c r="A723" s="288"/>
      <c r="B723" s="510"/>
      <c r="C723" s="510"/>
      <c r="D723" s="288"/>
      <c r="E723" s="511"/>
      <c r="F723" s="510"/>
      <c r="G723" s="510"/>
      <c r="H723" s="510"/>
      <c r="I723" s="510"/>
      <c r="J723" s="510"/>
      <c r="K723" s="510"/>
      <c r="L723" s="510"/>
      <c r="M723" s="510"/>
      <c r="N723" s="510"/>
      <c r="O723" s="510"/>
      <c r="P723" s="510"/>
      <c r="Q723" s="510"/>
      <c r="R723" s="510"/>
      <c r="S723" s="510"/>
      <c r="T723" s="510"/>
      <c r="U723" s="510"/>
      <c r="V723" s="510"/>
      <c r="W723" s="510"/>
      <c r="X723" s="510"/>
      <c r="Y723" s="510"/>
      <c r="Z723" s="510"/>
      <c r="AA723" s="510"/>
      <c r="AB723" s="510"/>
      <c r="AC723" s="510"/>
      <c r="AD723" s="510"/>
    </row>
    <row r="724" ht="28.5" customHeight="1">
      <c r="A724" s="288"/>
      <c r="B724" s="510"/>
      <c r="C724" s="510"/>
      <c r="D724" s="288"/>
      <c r="E724" s="511"/>
      <c r="F724" s="510"/>
      <c r="G724" s="510"/>
      <c r="H724" s="510"/>
      <c r="I724" s="510"/>
      <c r="J724" s="510"/>
      <c r="K724" s="510"/>
      <c r="L724" s="510"/>
      <c r="M724" s="510"/>
      <c r="N724" s="510"/>
      <c r="O724" s="510"/>
      <c r="P724" s="510"/>
      <c r="Q724" s="510"/>
      <c r="R724" s="510"/>
      <c r="S724" s="510"/>
      <c r="T724" s="510"/>
      <c r="U724" s="510"/>
      <c r="V724" s="510"/>
      <c r="W724" s="510"/>
      <c r="X724" s="510"/>
      <c r="Y724" s="510"/>
      <c r="Z724" s="510"/>
      <c r="AA724" s="510"/>
      <c r="AB724" s="510"/>
      <c r="AC724" s="510"/>
      <c r="AD724" s="510"/>
    </row>
    <row r="725" ht="28.5" customHeight="1">
      <c r="A725" s="288"/>
      <c r="B725" s="510"/>
      <c r="C725" s="510"/>
      <c r="D725" s="288"/>
      <c r="E725" s="511"/>
      <c r="F725" s="510"/>
      <c r="G725" s="510"/>
      <c r="H725" s="510"/>
      <c r="I725" s="510"/>
      <c r="J725" s="510"/>
      <c r="K725" s="510"/>
      <c r="L725" s="510"/>
      <c r="M725" s="510"/>
      <c r="N725" s="510"/>
      <c r="O725" s="510"/>
      <c r="P725" s="510"/>
      <c r="Q725" s="510"/>
      <c r="R725" s="510"/>
      <c r="S725" s="510"/>
      <c r="T725" s="510"/>
      <c r="U725" s="510"/>
      <c r="V725" s="510"/>
      <c r="W725" s="510"/>
      <c r="X725" s="510"/>
      <c r="Y725" s="510"/>
      <c r="Z725" s="510"/>
      <c r="AA725" s="510"/>
      <c r="AB725" s="510"/>
      <c r="AC725" s="510"/>
      <c r="AD725" s="510"/>
    </row>
    <row r="726" ht="28.5" customHeight="1">
      <c r="A726" s="288"/>
      <c r="B726" s="510"/>
      <c r="C726" s="510"/>
      <c r="D726" s="288"/>
      <c r="E726" s="511"/>
      <c r="F726" s="510"/>
      <c r="G726" s="510"/>
      <c r="H726" s="510"/>
      <c r="I726" s="510"/>
      <c r="J726" s="510"/>
      <c r="K726" s="510"/>
      <c r="L726" s="510"/>
      <c r="M726" s="510"/>
      <c r="N726" s="510"/>
      <c r="O726" s="510"/>
      <c r="P726" s="510"/>
      <c r="Q726" s="510"/>
      <c r="R726" s="510"/>
      <c r="S726" s="510"/>
      <c r="T726" s="510"/>
      <c r="U726" s="510"/>
      <c r="V726" s="510"/>
      <c r="W726" s="510"/>
      <c r="X726" s="510"/>
      <c r="Y726" s="510"/>
      <c r="Z726" s="510"/>
      <c r="AA726" s="510"/>
      <c r="AB726" s="510"/>
      <c r="AC726" s="510"/>
      <c r="AD726" s="510"/>
    </row>
    <row r="727" ht="28.5" customHeight="1">
      <c r="A727" s="288"/>
      <c r="B727" s="510"/>
      <c r="C727" s="510"/>
      <c r="D727" s="288"/>
      <c r="E727" s="511"/>
      <c r="F727" s="510"/>
      <c r="G727" s="510"/>
      <c r="H727" s="510"/>
      <c r="I727" s="510"/>
      <c r="J727" s="510"/>
      <c r="K727" s="510"/>
      <c r="L727" s="510"/>
      <c r="M727" s="510"/>
      <c r="N727" s="510"/>
      <c r="O727" s="510"/>
      <c r="P727" s="510"/>
      <c r="Q727" s="510"/>
      <c r="R727" s="510"/>
      <c r="S727" s="510"/>
      <c r="T727" s="510"/>
      <c r="U727" s="510"/>
      <c r="V727" s="510"/>
      <c r="W727" s="510"/>
      <c r="X727" s="510"/>
      <c r="Y727" s="510"/>
      <c r="Z727" s="510"/>
      <c r="AA727" s="510"/>
      <c r="AB727" s="510"/>
      <c r="AC727" s="510"/>
      <c r="AD727" s="510"/>
    </row>
    <row r="728" ht="28.5" customHeight="1">
      <c r="A728" s="288"/>
      <c r="B728" s="510"/>
      <c r="C728" s="510"/>
      <c r="D728" s="288"/>
      <c r="E728" s="511"/>
      <c r="F728" s="510"/>
      <c r="G728" s="510"/>
      <c r="H728" s="510"/>
      <c r="I728" s="510"/>
      <c r="J728" s="510"/>
      <c r="K728" s="510"/>
      <c r="L728" s="510"/>
      <c r="M728" s="510"/>
      <c r="N728" s="510"/>
      <c r="O728" s="510"/>
      <c r="P728" s="510"/>
      <c r="Q728" s="510"/>
      <c r="R728" s="510"/>
      <c r="S728" s="510"/>
      <c r="T728" s="510"/>
      <c r="U728" s="510"/>
      <c r="V728" s="510"/>
      <c r="W728" s="510"/>
      <c r="X728" s="510"/>
      <c r="Y728" s="510"/>
      <c r="Z728" s="510"/>
      <c r="AA728" s="510"/>
      <c r="AB728" s="510"/>
      <c r="AC728" s="510"/>
      <c r="AD728" s="510"/>
    </row>
    <row r="729" ht="28.5" customHeight="1">
      <c r="A729" s="288"/>
      <c r="B729" s="510"/>
      <c r="C729" s="510"/>
      <c r="D729" s="288"/>
      <c r="E729" s="511"/>
      <c r="F729" s="510"/>
      <c r="G729" s="510"/>
      <c r="H729" s="510"/>
      <c r="I729" s="510"/>
      <c r="J729" s="510"/>
      <c r="K729" s="510"/>
      <c r="L729" s="510"/>
      <c r="M729" s="510"/>
      <c r="N729" s="510"/>
      <c r="O729" s="510"/>
      <c r="P729" s="510"/>
      <c r="Q729" s="510"/>
      <c r="R729" s="510"/>
      <c r="S729" s="510"/>
      <c r="T729" s="510"/>
      <c r="U729" s="510"/>
      <c r="V729" s="510"/>
      <c r="W729" s="510"/>
      <c r="X729" s="510"/>
      <c r="Y729" s="510"/>
      <c r="Z729" s="510"/>
      <c r="AA729" s="510"/>
      <c r="AB729" s="510"/>
      <c r="AC729" s="510"/>
      <c r="AD729" s="510"/>
    </row>
    <row r="730" ht="28.5" customHeight="1">
      <c r="A730" s="288"/>
      <c r="B730" s="510"/>
      <c r="C730" s="510"/>
      <c r="D730" s="288"/>
      <c r="E730" s="511"/>
      <c r="F730" s="510"/>
      <c r="G730" s="510"/>
      <c r="H730" s="510"/>
      <c r="I730" s="510"/>
      <c r="J730" s="510"/>
      <c r="K730" s="510"/>
      <c r="L730" s="510"/>
      <c r="M730" s="510"/>
      <c r="N730" s="510"/>
      <c r="O730" s="510"/>
      <c r="P730" s="510"/>
      <c r="Q730" s="510"/>
      <c r="R730" s="510"/>
      <c r="S730" s="510"/>
      <c r="T730" s="510"/>
      <c r="U730" s="510"/>
      <c r="V730" s="510"/>
      <c r="W730" s="510"/>
      <c r="X730" s="510"/>
      <c r="Y730" s="510"/>
      <c r="Z730" s="510"/>
      <c r="AA730" s="510"/>
      <c r="AB730" s="510"/>
      <c r="AC730" s="510"/>
      <c r="AD730" s="510"/>
    </row>
    <row r="731" ht="28.5" customHeight="1">
      <c r="A731" s="288"/>
      <c r="B731" s="510"/>
      <c r="C731" s="510"/>
      <c r="D731" s="288"/>
      <c r="E731" s="511"/>
      <c r="F731" s="510"/>
      <c r="G731" s="510"/>
      <c r="H731" s="510"/>
      <c r="I731" s="510"/>
      <c r="J731" s="510"/>
      <c r="K731" s="510"/>
      <c r="L731" s="510"/>
      <c r="M731" s="510"/>
      <c r="N731" s="510"/>
      <c r="O731" s="510"/>
      <c r="P731" s="510"/>
      <c r="Q731" s="510"/>
      <c r="R731" s="510"/>
      <c r="S731" s="510"/>
      <c r="T731" s="510"/>
      <c r="U731" s="510"/>
      <c r="V731" s="510"/>
      <c r="W731" s="510"/>
      <c r="X731" s="510"/>
      <c r="Y731" s="510"/>
      <c r="Z731" s="510"/>
      <c r="AA731" s="510"/>
      <c r="AB731" s="510"/>
      <c r="AC731" s="510"/>
      <c r="AD731" s="510"/>
    </row>
    <row r="732" ht="28.5" customHeight="1">
      <c r="A732" s="288"/>
      <c r="B732" s="510"/>
      <c r="C732" s="510"/>
      <c r="D732" s="288"/>
      <c r="E732" s="511"/>
      <c r="F732" s="510"/>
      <c r="G732" s="510"/>
      <c r="H732" s="510"/>
      <c r="I732" s="510"/>
      <c r="J732" s="510"/>
      <c r="K732" s="510"/>
      <c r="L732" s="510"/>
      <c r="M732" s="510"/>
      <c r="N732" s="510"/>
      <c r="O732" s="510"/>
      <c r="P732" s="510"/>
      <c r="Q732" s="510"/>
      <c r="R732" s="510"/>
      <c r="S732" s="510"/>
      <c r="T732" s="510"/>
      <c r="U732" s="510"/>
      <c r="V732" s="510"/>
      <c r="W732" s="510"/>
      <c r="X732" s="510"/>
      <c r="Y732" s="510"/>
      <c r="Z732" s="510"/>
      <c r="AA732" s="510"/>
      <c r="AB732" s="510"/>
      <c r="AC732" s="510"/>
      <c r="AD732" s="510"/>
    </row>
    <row r="733" ht="28.5" customHeight="1">
      <c r="A733" s="288"/>
      <c r="B733" s="510"/>
      <c r="C733" s="510"/>
      <c r="D733" s="288"/>
      <c r="E733" s="511"/>
      <c r="F733" s="510"/>
      <c r="G733" s="510"/>
      <c r="H733" s="510"/>
      <c r="I733" s="510"/>
      <c r="J733" s="510"/>
      <c r="K733" s="510"/>
      <c r="L733" s="510"/>
      <c r="M733" s="510"/>
      <c r="N733" s="510"/>
      <c r="O733" s="510"/>
      <c r="P733" s="510"/>
      <c r="Q733" s="510"/>
      <c r="R733" s="510"/>
      <c r="S733" s="510"/>
      <c r="T733" s="510"/>
      <c r="U733" s="510"/>
      <c r="V733" s="510"/>
      <c r="W733" s="510"/>
      <c r="X733" s="510"/>
      <c r="Y733" s="510"/>
      <c r="Z733" s="510"/>
      <c r="AA733" s="510"/>
      <c r="AB733" s="510"/>
      <c r="AC733" s="510"/>
      <c r="AD733" s="510"/>
    </row>
    <row r="734" ht="28.5" customHeight="1">
      <c r="A734" s="288"/>
      <c r="B734" s="510"/>
      <c r="C734" s="510"/>
      <c r="D734" s="288"/>
      <c r="E734" s="511"/>
      <c r="F734" s="510"/>
      <c r="G734" s="510"/>
      <c r="H734" s="510"/>
      <c r="I734" s="510"/>
      <c r="J734" s="510"/>
      <c r="K734" s="510"/>
      <c r="L734" s="510"/>
      <c r="M734" s="510"/>
      <c r="N734" s="510"/>
      <c r="O734" s="510"/>
      <c r="P734" s="510"/>
      <c r="Q734" s="510"/>
      <c r="R734" s="510"/>
      <c r="S734" s="510"/>
      <c r="T734" s="510"/>
      <c r="U734" s="510"/>
      <c r="V734" s="510"/>
      <c r="W734" s="510"/>
      <c r="X734" s="510"/>
      <c r="Y734" s="510"/>
      <c r="Z734" s="510"/>
      <c r="AA734" s="510"/>
      <c r="AB734" s="510"/>
      <c r="AC734" s="510"/>
      <c r="AD734" s="510"/>
    </row>
    <row r="735" ht="28.5" customHeight="1">
      <c r="A735" s="288"/>
      <c r="B735" s="510"/>
      <c r="C735" s="510"/>
      <c r="D735" s="288"/>
      <c r="E735" s="511"/>
      <c r="F735" s="510"/>
      <c r="G735" s="510"/>
      <c r="H735" s="510"/>
      <c r="I735" s="510"/>
      <c r="J735" s="510"/>
      <c r="K735" s="510"/>
      <c r="L735" s="510"/>
      <c r="M735" s="510"/>
      <c r="N735" s="510"/>
      <c r="O735" s="510"/>
      <c r="P735" s="510"/>
      <c r="Q735" s="510"/>
      <c r="R735" s="510"/>
      <c r="S735" s="510"/>
      <c r="T735" s="510"/>
      <c r="U735" s="510"/>
      <c r="V735" s="510"/>
      <c r="W735" s="510"/>
      <c r="X735" s="510"/>
      <c r="Y735" s="510"/>
      <c r="Z735" s="510"/>
      <c r="AA735" s="510"/>
      <c r="AB735" s="510"/>
      <c r="AC735" s="510"/>
      <c r="AD735" s="510"/>
    </row>
    <row r="736" ht="28.5" customHeight="1">
      <c r="A736" s="288"/>
      <c r="B736" s="510"/>
      <c r="C736" s="510"/>
      <c r="D736" s="288"/>
      <c r="E736" s="511"/>
      <c r="F736" s="510"/>
      <c r="G736" s="510"/>
      <c r="H736" s="510"/>
      <c r="I736" s="510"/>
      <c r="J736" s="510"/>
      <c r="K736" s="510"/>
      <c r="L736" s="510"/>
      <c r="M736" s="510"/>
      <c r="N736" s="510"/>
      <c r="O736" s="510"/>
      <c r="P736" s="510"/>
      <c r="Q736" s="510"/>
      <c r="R736" s="510"/>
      <c r="S736" s="510"/>
      <c r="T736" s="510"/>
      <c r="U736" s="510"/>
      <c r="V736" s="510"/>
      <c r="W736" s="510"/>
      <c r="X736" s="510"/>
      <c r="Y736" s="510"/>
      <c r="Z736" s="510"/>
      <c r="AA736" s="510"/>
      <c r="AB736" s="510"/>
      <c r="AC736" s="510"/>
      <c r="AD736" s="510"/>
    </row>
    <row r="737" ht="28.5" customHeight="1">
      <c r="A737" s="288"/>
      <c r="B737" s="510"/>
      <c r="C737" s="510"/>
      <c r="D737" s="288"/>
      <c r="E737" s="511"/>
      <c r="F737" s="510"/>
      <c r="G737" s="510"/>
      <c r="H737" s="510"/>
      <c r="I737" s="510"/>
      <c r="J737" s="510"/>
      <c r="K737" s="510"/>
      <c r="L737" s="510"/>
      <c r="M737" s="510"/>
      <c r="N737" s="510"/>
      <c r="O737" s="510"/>
      <c r="P737" s="510"/>
      <c r="Q737" s="510"/>
      <c r="R737" s="510"/>
      <c r="S737" s="510"/>
      <c r="T737" s="510"/>
      <c r="U737" s="510"/>
      <c r="V737" s="510"/>
      <c r="W737" s="510"/>
      <c r="X737" s="510"/>
      <c r="Y737" s="510"/>
      <c r="Z737" s="510"/>
      <c r="AA737" s="510"/>
      <c r="AB737" s="510"/>
      <c r="AC737" s="510"/>
      <c r="AD737" s="510"/>
    </row>
    <row r="738" ht="28.5" customHeight="1">
      <c r="A738" s="288"/>
      <c r="B738" s="510"/>
      <c r="C738" s="510"/>
      <c r="D738" s="288"/>
      <c r="E738" s="511"/>
      <c r="F738" s="510"/>
      <c r="G738" s="510"/>
      <c r="H738" s="510"/>
      <c r="I738" s="510"/>
      <c r="J738" s="510"/>
      <c r="K738" s="510"/>
      <c r="L738" s="510"/>
      <c r="M738" s="510"/>
      <c r="N738" s="510"/>
      <c r="O738" s="510"/>
      <c r="P738" s="510"/>
      <c r="Q738" s="510"/>
      <c r="R738" s="510"/>
      <c r="S738" s="510"/>
      <c r="T738" s="510"/>
      <c r="U738" s="510"/>
      <c r="V738" s="510"/>
      <c r="W738" s="510"/>
      <c r="X738" s="510"/>
      <c r="Y738" s="510"/>
      <c r="Z738" s="510"/>
      <c r="AA738" s="510"/>
      <c r="AB738" s="510"/>
      <c r="AC738" s="510"/>
      <c r="AD738" s="510"/>
    </row>
    <row r="739" ht="28.5" customHeight="1">
      <c r="A739" s="288"/>
      <c r="B739" s="510"/>
      <c r="C739" s="510"/>
      <c r="D739" s="288"/>
      <c r="E739" s="511"/>
      <c r="F739" s="510"/>
      <c r="G739" s="510"/>
      <c r="H739" s="510"/>
      <c r="I739" s="510"/>
      <c r="J739" s="510"/>
      <c r="K739" s="510"/>
      <c r="L739" s="510"/>
      <c r="M739" s="510"/>
      <c r="N739" s="510"/>
      <c r="O739" s="510"/>
      <c r="P739" s="510"/>
      <c r="Q739" s="510"/>
      <c r="R739" s="510"/>
      <c r="S739" s="510"/>
      <c r="T739" s="510"/>
      <c r="U739" s="510"/>
      <c r="V739" s="510"/>
      <c r="W739" s="510"/>
      <c r="X739" s="510"/>
      <c r="Y739" s="510"/>
      <c r="Z739" s="510"/>
      <c r="AA739" s="510"/>
      <c r="AB739" s="510"/>
      <c r="AC739" s="510"/>
      <c r="AD739" s="510"/>
    </row>
    <row r="740" ht="28.5" customHeight="1">
      <c r="A740" s="288"/>
      <c r="B740" s="510"/>
      <c r="C740" s="510"/>
      <c r="D740" s="288"/>
      <c r="E740" s="511"/>
      <c r="F740" s="510"/>
      <c r="G740" s="510"/>
      <c r="H740" s="510"/>
      <c r="I740" s="510"/>
      <c r="J740" s="510"/>
      <c r="K740" s="510"/>
      <c r="L740" s="510"/>
      <c r="M740" s="510"/>
      <c r="N740" s="510"/>
      <c r="O740" s="510"/>
      <c r="P740" s="510"/>
      <c r="Q740" s="510"/>
      <c r="R740" s="510"/>
      <c r="S740" s="510"/>
      <c r="T740" s="510"/>
      <c r="U740" s="510"/>
      <c r="V740" s="510"/>
      <c r="W740" s="510"/>
      <c r="X740" s="510"/>
      <c r="Y740" s="510"/>
      <c r="Z740" s="510"/>
      <c r="AA740" s="510"/>
      <c r="AB740" s="510"/>
      <c r="AC740" s="510"/>
      <c r="AD740" s="510"/>
    </row>
    <row r="741" ht="28.5" customHeight="1">
      <c r="A741" s="288"/>
      <c r="B741" s="510"/>
      <c r="C741" s="510"/>
      <c r="D741" s="288"/>
      <c r="E741" s="511"/>
      <c r="F741" s="510"/>
      <c r="G741" s="510"/>
      <c r="H741" s="510"/>
      <c r="I741" s="510"/>
      <c r="J741" s="510"/>
      <c r="K741" s="510"/>
      <c r="L741" s="510"/>
      <c r="M741" s="510"/>
      <c r="N741" s="510"/>
      <c r="O741" s="510"/>
      <c r="P741" s="510"/>
      <c r="Q741" s="510"/>
      <c r="R741" s="510"/>
      <c r="S741" s="510"/>
      <c r="T741" s="510"/>
      <c r="U741" s="510"/>
      <c r="V741" s="510"/>
      <c r="W741" s="510"/>
      <c r="X741" s="510"/>
      <c r="Y741" s="510"/>
      <c r="Z741" s="510"/>
      <c r="AA741" s="510"/>
      <c r="AB741" s="510"/>
      <c r="AC741" s="510"/>
      <c r="AD741" s="510"/>
    </row>
    <row r="742" ht="28.5" customHeight="1">
      <c r="A742" s="288"/>
      <c r="B742" s="510"/>
      <c r="C742" s="510"/>
      <c r="D742" s="288"/>
      <c r="E742" s="511"/>
      <c r="F742" s="510"/>
      <c r="G742" s="510"/>
      <c r="H742" s="510"/>
      <c r="I742" s="510"/>
      <c r="J742" s="510"/>
      <c r="K742" s="510"/>
      <c r="L742" s="510"/>
      <c r="M742" s="510"/>
      <c r="N742" s="510"/>
      <c r="O742" s="510"/>
      <c r="P742" s="510"/>
      <c r="Q742" s="510"/>
      <c r="R742" s="510"/>
      <c r="S742" s="510"/>
      <c r="T742" s="510"/>
      <c r="U742" s="510"/>
      <c r="V742" s="510"/>
      <c r="W742" s="510"/>
      <c r="X742" s="510"/>
      <c r="Y742" s="510"/>
      <c r="Z742" s="510"/>
      <c r="AA742" s="510"/>
      <c r="AB742" s="510"/>
      <c r="AC742" s="510"/>
      <c r="AD742" s="510"/>
    </row>
    <row r="743" ht="28.5" customHeight="1">
      <c r="A743" s="288"/>
      <c r="B743" s="510"/>
      <c r="C743" s="510"/>
      <c r="D743" s="288"/>
      <c r="E743" s="511"/>
      <c r="F743" s="510"/>
      <c r="G743" s="510"/>
      <c r="H743" s="510"/>
      <c r="I743" s="510"/>
      <c r="J743" s="510"/>
      <c r="K743" s="510"/>
      <c r="L743" s="510"/>
      <c r="M743" s="510"/>
      <c r="N743" s="510"/>
      <c r="O743" s="510"/>
      <c r="P743" s="510"/>
      <c r="Q743" s="510"/>
      <c r="R743" s="510"/>
      <c r="S743" s="510"/>
      <c r="T743" s="510"/>
      <c r="U743" s="510"/>
      <c r="V743" s="510"/>
      <c r="W743" s="510"/>
      <c r="X743" s="510"/>
      <c r="Y743" s="510"/>
      <c r="Z743" s="510"/>
      <c r="AA743" s="510"/>
      <c r="AB743" s="510"/>
      <c r="AC743" s="510"/>
      <c r="AD743" s="510"/>
    </row>
    <row r="744" ht="28.5" customHeight="1">
      <c r="A744" s="288"/>
      <c r="B744" s="510"/>
      <c r="C744" s="510"/>
      <c r="D744" s="288"/>
      <c r="E744" s="511"/>
      <c r="F744" s="510"/>
      <c r="G744" s="510"/>
      <c r="H744" s="510"/>
      <c r="I744" s="510"/>
      <c r="J744" s="510"/>
      <c r="K744" s="510"/>
      <c r="L744" s="510"/>
      <c r="M744" s="510"/>
      <c r="N744" s="510"/>
      <c r="O744" s="510"/>
      <c r="P744" s="510"/>
      <c r="Q744" s="510"/>
      <c r="R744" s="510"/>
      <c r="S744" s="510"/>
      <c r="T744" s="510"/>
      <c r="U744" s="510"/>
      <c r="V744" s="510"/>
      <c r="W744" s="510"/>
      <c r="X744" s="510"/>
      <c r="Y744" s="510"/>
      <c r="Z744" s="510"/>
      <c r="AA744" s="510"/>
      <c r="AB744" s="510"/>
      <c r="AC744" s="510"/>
      <c r="AD744" s="510"/>
    </row>
    <row r="745" ht="28.5" customHeight="1">
      <c r="A745" s="288"/>
      <c r="B745" s="510"/>
      <c r="C745" s="510"/>
      <c r="D745" s="288"/>
      <c r="E745" s="511"/>
      <c r="F745" s="510"/>
      <c r="G745" s="510"/>
      <c r="H745" s="510"/>
      <c r="I745" s="510"/>
      <c r="J745" s="510"/>
      <c r="K745" s="510"/>
      <c r="L745" s="510"/>
      <c r="M745" s="510"/>
      <c r="N745" s="510"/>
      <c r="O745" s="510"/>
      <c r="P745" s="510"/>
      <c r="Q745" s="510"/>
      <c r="R745" s="510"/>
      <c r="S745" s="510"/>
      <c r="T745" s="510"/>
      <c r="U745" s="510"/>
      <c r="V745" s="510"/>
      <c r="W745" s="510"/>
      <c r="X745" s="510"/>
      <c r="Y745" s="510"/>
      <c r="Z745" s="510"/>
      <c r="AA745" s="510"/>
      <c r="AB745" s="510"/>
      <c r="AC745" s="510"/>
      <c r="AD745" s="510"/>
    </row>
    <row r="746" ht="28.5" customHeight="1">
      <c r="A746" s="288"/>
      <c r="B746" s="510"/>
      <c r="C746" s="510"/>
      <c r="D746" s="288"/>
      <c r="E746" s="511"/>
      <c r="F746" s="510"/>
      <c r="G746" s="510"/>
      <c r="H746" s="510"/>
      <c r="I746" s="510"/>
      <c r="J746" s="510"/>
      <c r="K746" s="510"/>
      <c r="L746" s="510"/>
      <c r="M746" s="510"/>
      <c r="N746" s="510"/>
      <c r="O746" s="510"/>
      <c r="P746" s="510"/>
      <c r="Q746" s="510"/>
      <c r="R746" s="510"/>
      <c r="S746" s="510"/>
      <c r="T746" s="510"/>
      <c r="U746" s="510"/>
      <c r="V746" s="510"/>
      <c r="W746" s="510"/>
      <c r="X746" s="510"/>
      <c r="Y746" s="510"/>
      <c r="Z746" s="510"/>
      <c r="AA746" s="510"/>
      <c r="AB746" s="510"/>
      <c r="AC746" s="510"/>
      <c r="AD746" s="510"/>
    </row>
    <row r="747" ht="28.5" customHeight="1">
      <c r="A747" s="288"/>
      <c r="B747" s="510"/>
      <c r="C747" s="510"/>
      <c r="D747" s="288"/>
      <c r="E747" s="511"/>
      <c r="F747" s="510"/>
      <c r="G747" s="510"/>
      <c r="H747" s="510"/>
      <c r="I747" s="510"/>
      <c r="J747" s="510"/>
      <c r="K747" s="510"/>
      <c r="L747" s="510"/>
      <c r="M747" s="510"/>
      <c r="N747" s="510"/>
      <c r="O747" s="510"/>
      <c r="P747" s="510"/>
      <c r="Q747" s="510"/>
      <c r="R747" s="510"/>
      <c r="S747" s="510"/>
      <c r="T747" s="510"/>
      <c r="U747" s="510"/>
      <c r="V747" s="510"/>
      <c r="W747" s="510"/>
      <c r="X747" s="510"/>
      <c r="Y747" s="510"/>
      <c r="Z747" s="510"/>
      <c r="AA747" s="510"/>
      <c r="AB747" s="510"/>
      <c r="AC747" s="510"/>
      <c r="AD747" s="510"/>
    </row>
    <row r="748" ht="28.5" customHeight="1">
      <c r="A748" s="288"/>
      <c r="B748" s="510"/>
      <c r="C748" s="510"/>
      <c r="D748" s="288"/>
      <c r="E748" s="511"/>
      <c r="F748" s="510"/>
      <c r="G748" s="510"/>
      <c r="H748" s="510"/>
      <c r="I748" s="510"/>
      <c r="J748" s="510"/>
      <c r="K748" s="510"/>
      <c r="L748" s="510"/>
      <c r="M748" s="510"/>
      <c r="N748" s="510"/>
      <c r="O748" s="510"/>
      <c r="P748" s="510"/>
      <c r="Q748" s="510"/>
      <c r="R748" s="510"/>
      <c r="S748" s="510"/>
      <c r="T748" s="510"/>
      <c r="U748" s="510"/>
      <c r="V748" s="510"/>
      <c r="W748" s="510"/>
      <c r="X748" s="510"/>
      <c r="Y748" s="510"/>
      <c r="Z748" s="510"/>
      <c r="AA748" s="510"/>
      <c r="AB748" s="510"/>
      <c r="AC748" s="510"/>
      <c r="AD748" s="510"/>
    </row>
    <row r="749" ht="28.5" customHeight="1">
      <c r="A749" s="288"/>
      <c r="B749" s="510"/>
      <c r="C749" s="510"/>
      <c r="D749" s="288"/>
      <c r="E749" s="511"/>
      <c r="F749" s="510"/>
      <c r="G749" s="510"/>
      <c r="H749" s="510"/>
      <c r="I749" s="510"/>
      <c r="J749" s="510"/>
      <c r="K749" s="510"/>
      <c r="L749" s="510"/>
      <c r="M749" s="510"/>
      <c r="N749" s="510"/>
      <c r="O749" s="510"/>
      <c r="P749" s="510"/>
      <c r="Q749" s="510"/>
      <c r="R749" s="510"/>
      <c r="S749" s="510"/>
      <c r="T749" s="510"/>
      <c r="U749" s="510"/>
      <c r="V749" s="510"/>
      <c r="W749" s="510"/>
      <c r="X749" s="510"/>
      <c r="Y749" s="510"/>
      <c r="Z749" s="510"/>
      <c r="AA749" s="510"/>
      <c r="AB749" s="510"/>
      <c r="AC749" s="510"/>
      <c r="AD749" s="510"/>
    </row>
    <row r="750" ht="28.5" customHeight="1">
      <c r="A750" s="288"/>
      <c r="B750" s="510"/>
      <c r="C750" s="510"/>
      <c r="D750" s="288"/>
      <c r="E750" s="511"/>
      <c r="F750" s="510"/>
      <c r="G750" s="510"/>
      <c r="H750" s="510"/>
      <c r="I750" s="510"/>
      <c r="J750" s="510"/>
      <c r="K750" s="510"/>
      <c r="L750" s="510"/>
      <c r="M750" s="510"/>
      <c r="N750" s="510"/>
      <c r="O750" s="510"/>
      <c r="P750" s="510"/>
      <c r="Q750" s="510"/>
      <c r="R750" s="510"/>
      <c r="S750" s="510"/>
      <c r="T750" s="510"/>
      <c r="U750" s="510"/>
      <c r="V750" s="510"/>
      <c r="W750" s="510"/>
      <c r="X750" s="510"/>
      <c r="Y750" s="510"/>
      <c r="Z750" s="510"/>
      <c r="AA750" s="510"/>
      <c r="AB750" s="510"/>
      <c r="AC750" s="510"/>
      <c r="AD750" s="510"/>
    </row>
    <row r="751" ht="28.5" customHeight="1">
      <c r="A751" s="288"/>
      <c r="B751" s="510"/>
      <c r="C751" s="510"/>
      <c r="D751" s="288"/>
      <c r="E751" s="511"/>
      <c r="F751" s="510"/>
      <c r="G751" s="510"/>
      <c r="H751" s="510"/>
      <c r="I751" s="510"/>
      <c r="J751" s="510"/>
      <c r="K751" s="510"/>
      <c r="L751" s="510"/>
      <c r="M751" s="510"/>
      <c r="N751" s="510"/>
      <c r="O751" s="510"/>
      <c r="P751" s="510"/>
      <c r="Q751" s="510"/>
      <c r="R751" s="510"/>
      <c r="S751" s="510"/>
      <c r="T751" s="510"/>
      <c r="U751" s="510"/>
      <c r="V751" s="510"/>
      <c r="W751" s="510"/>
      <c r="X751" s="510"/>
      <c r="Y751" s="510"/>
      <c r="Z751" s="510"/>
      <c r="AA751" s="510"/>
      <c r="AB751" s="510"/>
      <c r="AC751" s="510"/>
      <c r="AD751" s="510"/>
    </row>
    <row r="752" ht="28.5" customHeight="1">
      <c r="A752" s="288"/>
      <c r="B752" s="510"/>
      <c r="C752" s="510"/>
      <c r="D752" s="288"/>
      <c r="E752" s="511"/>
      <c r="F752" s="510"/>
      <c r="G752" s="510"/>
      <c r="H752" s="510"/>
      <c r="I752" s="510"/>
      <c r="J752" s="510"/>
      <c r="K752" s="510"/>
      <c r="L752" s="510"/>
      <c r="M752" s="510"/>
      <c r="N752" s="510"/>
      <c r="O752" s="510"/>
      <c r="P752" s="510"/>
      <c r="Q752" s="510"/>
      <c r="R752" s="510"/>
      <c r="S752" s="510"/>
      <c r="T752" s="510"/>
      <c r="U752" s="510"/>
      <c r="V752" s="510"/>
      <c r="W752" s="510"/>
      <c r="X752" s="510"/>
      <c r="Y752" s="510"/>
      <c r="Z752" s="510"/>
      <c r="AA752" s="510"/>
      <c r="AB752" s="510"/>
      <c r="AC752" s="510"/>
      <c r="AD752" s="510"/>
    </row>
    <row r="753" ht="28.5" customHeight="1">
      <c r="A753" s="288"/>
      <c r="B753" s="510"/>
      <c r="C753" s="510"/>
      <c r="D753" s="288"/>
      <c r="E753" s="511"/>
      <c r="F753" s="510"/>
      <c r="G753" s="510"/>
      <c r="H753" s="510"/>
      <c r="I753" s="510"/>
      <c r="J753" s="510"/>
      <c r="K753" s="510"/>
      <c r="L753" s="510"/>
      <c r="M753" s="510"/>
      <c r="N753" s="510"/>
      <c r="O753" s="510"/>
      <c r="P753" s="510"/>
      <c r="Q753" s="510"/>
      <c r="R753" s="510"/>
      <c r="S753" s="510"/>
      <c r="T753" s="510"/>
      <c r="U753" s="510"/>
      <c r="V753" s="510"/>
      <c r="W753" s="510"/>
      <c r="X753" s="510"/>
      <c r="Y753" s="510"/>
      <c r="Z753" s="510"/>
      <c r="AA753" s="510"/>
      <c r="AB753" s="510"/>
      <c r="AC753" s="510"/>
      <c r="AD753" s="510"/>
    </row>
    <row r="754" ht="28.5" customHeight="1">
      <c r="A754" s="288"/>
      <c r="B754" s="510"/>
      <c r="C754" s="510"/>
      <c r="D754" s="288"/>
      <c r="E754" s="511"/>
      <c r="F754" s="510"/>
      <c r="G754" s="510"/>
      <c r="H754" s="510"/>
      <c r="I754" s="510"/>
      <c r="J754" s="510"/>
      <c r="K754" s="510"/>
      <c r="L754" s="510"/>
      <c r="M754" s="510"/>
      <c r="N754" s="510"/>
      <c r="O754" s="510"/>
      <c r="P754" s="510"/>
      <c r="Q754" s="510"/>
      <c r="R754" s="510"/>
      <c r="S754" s="510"/>
      <c r="T754" s="510"/>
      <c r="U754" s="510"/>
      <c r="V754" s="510"/>
      <c r="W754" s="510"/>
      <c r="X754" s="510"/>
      <c r="Y754" s="510"/>
      <c r="Z754" s="510"/>
      <c r="AA754" s="510"/>
      <c r="AB754" s="510"/>
      <c r="AC754" s="510"/>
      <c r="AD754" s="510"/>
    </row>
    <row r="755" ht="28.5" customHeight="1">
      <c r="A755" s="288"/>
      <c r="B755" s="510"/>
      <c r="C755" s="510"/>
      <c r="D755" s="288"/>
      <c r="E755" s="511"/>
      <c r="F755" s="510"/>
      <c r="G755" s="510"/>
      <c r="H755" s="510"/>
      <c r="I755" s="510"/>
      <c r="J755" s="510"/>
      <c r="K755" s="510"/>
      <c r="L755" s="510"/>
      <c r="M755" s="510"/>
      <c r="N755" s="510"/>
      <c r="O755" s="510"/>
      <c r="P755" s="510"/>
      <c r="Q755" s="510"/>
      <c r="R755" s="510"/>
      <c r="S755" s="510"/>
      <c r="T755" s="510"/>
      <c r="U755" s="510"/>
      <c r="V755" s="510"/>
      <c r="W755" s="510"/>
      <c r="X755" s="510"/>
      <c r="Y755" s="510"/>
      <c r="Z755" s="510"/>
      <c r="AA755" s="510"/>
      <c r="AB755" s="510"/>
      <c r="AC755" s="510"/>
      <c r="AD755" s="510"/>
    </row>
    <row r="756" ht="28.5" customHeight="1">
      <c r="A756" s="288"/>
      <c r="B756" s="510"/>
      <c r="C756" s="510"/>
      <c r="D756" s="288"/>
      <c r="E756" s="511"/>
      <c r="F756" s="510"/>
      <c r="G756" s="510"/>
      <c r="H756" s="510"/>
      <c r="I756" s="510"/>
      <c r="J756" s="510"/>
      <c r="K756" s="510"/>
      <c r="L756" s="510"/>
      <c r="M756" s="510"/>
      <c r="N756" s="510"/>
      <c r="O756" s="510"/>
      <c r="P756" s="510"/>
      <c r="Q756" s="510"/>
      <c r="R756" s="510"/>
      <c r="S756" s="510"/>
      <c r="T756" s="510"/>
      <c r="U756" s="510"/>
      <c r="V756" s="510"/>
      <c r="W756" s="510"/>
      <c r="X756" s="510"/>
      <c r="Y756" s="510"/>
      <c r="Z756" s="510"/>
      <c r="AA756" s="510"/>
      <c r="AB756" s="510"/>
      <c r="AC756" s="510"/>
      <c r="AD756" s="510"/>
    </row>
    <row r="757" ht="28.5" customHeight="1">
      <c r="A757" s="288"/>
      <c r="B757" s="510"/>
      <c r="C757" s="510"/>
      <c r="D757" s="288"/>
      <c r="E757" s="511"/>
      <c r="F757" s="510"/>
      <c r="G757" s="510"/>
      <c r="H757" s="510"/>
      <c r="I757" s="510"/>
      <c r="J757" s="510"/>
      <c r="K757" s="510"/>
      <c r="L757" s="510"/>
      <c r="M757" s="510"/>
      <c r="N757" s="510"/>
      <c r="O757" s="510"/>
      <c r="P757" s="510"/>
      <c r="Q757" s="510"/>
      <c r="R757" s="510"/>
      <c r="S757" s="510"/>
      <c r="T757" s="510"/>
      <c r="U757" s="510"/>
      <c r="V757" s="510"/>
      <c r="W757" s="510"/>
      <c r="X757" s="510"/>
      <c r="Y757" s="510"/>
      <c r="Z757" s="510"/>
      <c r="AA757" s="510"/>
      <c r="AB757" s="510"/>
      <c r="AC757" s="510"/>
      <c r="AD757" s="510"/>
    </row>
    <row r="758" ht="28.5" customHeight="1">
      <c r="A758" s="288"/>
      <c r="B758" s="510"/>
      <c r="C758" s="510"/>
      <c r="D758" s="288"/>
      <c r="E758" s="511"/>
      <c r="F758" s="510"/>
      <c r="G758" s="510"/>
      <c r="H758" s="510"/>
      <c r="I758" s="510"/>
      <c r="J758" s="510"/>
      <c r="K758" s="510"/>
      <c r="L758" s="510"/>
      <c r="M758" s="510"/>
      <c r="N758" s="510"/>
      <c r="O758" s="510"/>
      <c r="P758" s="510"/>
      <c r="Q758" s="510"/>
      <c r="R758" s="510"/>
      <c r="S758" s="510"/>
      <c r="T758" s="510"/>
      <c r="U758" s="510"/>
      <c r="V758" s="510"/>
      <c r="W758" s="510"/>
      <c r="X758" s="510"/>
      <c r="Y758" s="510"/>
      <c r="Z758" s="510"/>
      <c r="AA758" s="510"/>
      <c r="AB758" s="510"/>
      <c r="AC758" s="510"/>
      <c r="AD758" s="510"/>
    </row>
    <row r="759" ht="28.5" customHeight="1">
      <c r="A759" s="288"/>
      <c r="B759" s="510"/>
      <c r="C759" s="510"/>
      <c r="D759" s="288"/>
      <c r="E759" s="511"/>
      <c r="F759" s="510"/>
      <c r="G759" s="510"/>
      <c r="H759" s="510"/>
      <c r="I759" s="510"/>
      <c r="J759" s="510"/>
      <c r="K759" s="510"/>
      <c r="L759" s="510"/>
      <c r="M759" s="510"/>
      <c r="N759" s="510"/>
      <c r="O759" s="510"/>
      <c r="P759" s="510"/>
      <c r="Q759" s="510"/>
      <c r="R759" s="510"/>
      <c r="S759" s="510"/>
      <c r="T759" s="510"/>
      <c r="U759" s="510"/>
      <c r="V759" s="510"/>
      <c r="W759" s="510"/>
      <c r="X759" s="510"/>
      <c r="Y759" s="510"/>
      <c r="Z759" s="510"/>
      <c r="AA759" s="510"/>
      <c r="AB759" s="510"/>
      <c r="AC759" s="510"/>
      <c r="AD759" s="510"/>
    </row>
    <row r="760" ht="28.5" customHeight="1">
      <c r="A760" s="288"/>
      <c r="B760" s="510"/>
      <c r="C760" s="510"/>
      <c r="D760" s="288"/>
      <c r="E760" s="511"/>
      <c r="F760" s="510"/>
      <c r="G760" s="510"/>
      <c r="H760" s="510"/>
      <c r="I760" s="510"/>
      <c r="J760" s="510"/>
      <c r="K760" s="510"/>
      <c r="L760" s="510"/>
      <c r="M760" s="510"/>
      <c r="N760" s="510"/>
      <c r="O760" s="510"/>
      <c r="P760" s="510"/>
      <c r="Q760" s="510"/>
      <c r="R760" s="510"/>
      <c r="S760" s="510"/>
      <c r="T760" s="510"/>
      <c r="U760" s="510"/>
      <c r="V760" s="510"/>
      <c r="W760" s="510"/>
      <c r="X760" s="510"/>
      <c r="Y760" s="510"/>
      <c r="Z760" s="510"/>
      <c r="AA760" s="510"/>
      <c r="AB760" s="510"/>
      <c r="AC760" s="510"/>
      <c r="AD760" s="510"/>
    </row>
    <row r="761" ht="28.5" customHeight="1">
      <c r="A761" s="288"/>
      <c r="B761" s="510"/>
      <c r="C761" s="510"/>
      <c r="D761" s="288"/>
      <c r="E761" s="511"/>
      <c r="F761" s="510"/>
      <c r="G761" s="510"/>
      <c r="H761" s="510"/>
      <c r="I761" s="510"/>
      <c r="J761" s="510"/>
      <c r="K761" s="510"/>
      <c r="L761" s="510"/>
      <c r="M761" s="510"/>
      <c r="N761" s="510"/>
      <c r="O761" s="510"/>
      <c r="P761" s="510"/>
      <c r="Q761" s="510"/>
      <c r="R761" s="510"/>
      <c r="S761" s="510"/>
      <c r="T761" s="510"/>
      <c r="U761" s="510"/>
      <c r="V761" s="510"/>
      <c r="W761" s="510"/>
      <c r="X761" s="510"/>
      <c r="Y761" s="510"/>
      <c r="Z761" s="510"/>
      <c r="AA761" s="510"/>
      <c r="AB761" s="510"/>
      <c r="AC761" s="510"/>
      <c r="AD761" s="510"/>
    </row>
    <row r="762" ht="28.5" customHeight="1">
      <c r="A762" s="288"/>
      <c r="B762" s="510"/>
      <c r="C762" s="510"/>
      <c r="D762" s="288"/>
      <c r="E762" s="511"/>
      <c r="F762" s="510"/>
      <c r="G762" s="510"/>
      <c r="H762" s="510"/>
      <c r="I762" s="510"/>
      <c r="J762" s="510"/>
      <c r="K762" s="510"/>
      <c r="L762" s="510"/>
      <c r="M762" s="510"/>
      <c r="N762" s="510"/>
      <c r="O762" s="510"/>
      <c r="P762" s="510"/>
      <c r="Q762" s="510"/>
      <c r="R762" s="510"/>
      <c r="S762" s="510"/>
      <c r="T762" s="510"/>
      <c r="U762" s="510"/>
      <c r="V762" s="510"/>
      <c r="W762" s="510"/>
      <c r="X762" s="510"/>
      <c r="Y762" s="510"/>
      <c r="Z762" s="510"/>
      <c r="AA762" s="510"/>
      <c r="AB762" s="510"/>
      <c r="AC762" s="510"/>
      <c r="AD762" s="510"/>
    </row>
    <row r="763" ht="28.5" customHeight="1">
      <c r="A763" s="288"/>
      <c r="B763" s="510"/>
      <c r="C763" s="510"/>
      <c r="D763" s="288"/>
      <c r="E763" s="511"/>
      <c r="F763" s="510"/>
      <c r="G763" s="510"/>
      <c r="H763" s="510"/>
      <c r="I763" s="510"/>
      <c r="J763" s="510"/>
      <c r="K763" s="510"/>
      <c r="L763" s="510"/>
      <c r="M763" s="510"/>
      <c r="N763" s="510"/>
      <c r="O763" s="510"/>
      <c r="P763" s="510"/>
      <c r="Q763" s="510"/>
      <c r="R763" s="510"/>
      <c r="S763" s="510"/>
      <c r="T763" s="510"/>
      <c r="U763" s="510"/>
      <c r="V763" s="510"/>
      <c r="W763" s="510"/>
      <c r="X763" s="510"/>
      <c r="Y763" s="510"/>
      <c r="Z763" s="510"/>
      <c r="AA763" s="510"/>
      <c r="AB763" s="510"/>
      <c r="AC763" s="510"/>
      <c r="AD763" s="510"/>
    </row>
    <row r="764" ht="28.5" customHeight="1">
      <c r="A764" s="288"/>
      <c r="B764" s="510"/>
      <c r="C764" s="510"/>
      <c r="D764" s="288"/>
      <c r="E764" s="511"/>
      <c r="F764" s="510"/>
      <c r="G764" s="510"/>
      <c r="H764" s="510"/>
      <c r="I764" s="510"/>
      <c r="J764" s="510"/>
      <c r="K764" s="510"/>
      <c r="L764" s="510"/>
      <c r="M764" s="510"/>
      <c r="N764" s="510"/>
      <c r="O764" s="510"/>
      <c r="P764" s="510"/>
      <c r="Q764" s="510"/>
      <c r="R764" s="510"/>
      <c r="S764" s="510"/>
      <c r="T764" s="510"/>
      <c r="U764" s="510"/>
      <c r="V764" s="510"/>
      <c r="W764" s="510"/>
      <c r="X764" s="510"/>
      <c r="Y764" s="510"/>
      <c r="Z764" s="510"/>
      <c r="AA764" s="510"/>
      <c r="AB764" s="510"/>
      <c r="AC764" s="510"/>
      <c r="AD764" s="510"/>
    </row>
    <row r="765" ht="28.5" customHeight="1">
      <c r="A765" s="288"/>
      <c r="B765" s="510"/>
      <c r="C765" s="510"/>
      <c r="D765" s="288"/>
      <c r="E765" s="511"/>
      <c r="F765" s="510"/>
      <c r="G765" s="510"/>
      <c r="H765" s="510"/>
      <c r="I765" s="510"/>
      <c r="J765" s="510"/>
      <c r="K765" s="510"/>
      <c r="L765" s="510"/>
      <c r="M765" s="510"/>
      <c r="N765" s="510"/>
      <c r="O765" s="510"/>
      <c r="P765" s="510"/>
      <c r="Q765" s="510"/>
      <c r="R765" s="510"/>
      <c r="S765" s="510"/>
      <c r="T765" s="510"/>
      <c r="U765" s="510"/>
      <c r="V765" s="510"/>
      <c r="W765" s="510"/>
      <c r="X765" s="510"/>
      <c r="Y765" s="510"/>
      <c r="Z765" s="510"/>
      <c r="AA765" s="510"/>
      <c r="AB765" s="510"/>
      <c r="AC765" s="510"/>
      <c r="AD765" s="510"/>
    </row>
    <row r="766" ht="28.5" customHeight="1">
      <c r="A766" s="288"/>
      <c r="B766" s="510"/>
      <c r="C766" s="510"/>
      <c r="D766" s="288"/>
      <c r="E766" s="511"/>
      <c r="F766" s="510"/>
      <c r="G766" s="510"/>
      <c r="H766" s="510"/>
      <c r="I766" s="510"/>
      <c r="J766" s="510"/>
      <c r="K766" s="510"/>
      <c r="L766" s="510"/>
      <c r="M766" s="510"/>
      <c r="N766" s="510"/>
      <c r="O766" s="510"/>
      <c r="P766" s="510"/>
      <c r="Q766" s="510"/>
      <c r="R766" s="510"/>
      <c r="S766" s="510"/>
      <c r="T766" s="510"/>
      <c r="U766" s="510"/>
      <c r="V766" s="510"/>
      <c r="W766" s="510"/>
      <c r="X766" s="510"/>
      <c r="Y766" s="510"/>
      <c r="Z766" s="510"/>
      <c r="AA766" s="510"/>
      <c r="AB766" s="510"/>
      <c r="AC766" s="510"/>
      <c r="AD766" s="510"/>
    </row>
    <row r="767" ht="28.5" customHeight="1">
      <c r="A767" s="288"/>
      <c r="B767" s="510"/>
      <c r="C767" s="510"/>
      <c r="D767" s="288"/>
      <c r="E767" s="511"/>
      <c r="F767" s="510"/>
      <c r="G767" s="510"/>
      <c r="H767" s="510"/>
      <c r="I767" s="510"/>
      <c r="J767" s="510"/>
      <c r="K767" s="510"/>
      <c r="L767" s="510"/>
      <c r="M767" s="510"/>
      <c r="N767" s="510"/>
      <c r="O767" s="510"/>
      <c r="P767" s="510"/>
      <c r="Q767" s="510"/>
      <c r="R767" s="510"/>
      <c r="S767" s="510"/>
      <c r="T767" s="510"/>
      <c r="U767" s="510"/>
      <c r="V767" s="510"/>
      <c r="W767" s="510"/>
      <c r="X767" s="510"/>
      <c r="Y767" s="510"/>
      <c r="Z767" s="510"/>
      <c r="AA767" s="510"/>
      <c r="AB767" s="510"/>
      <c r="AC767" s="510"/>
      <c r="AD767" s="510"/>
    </row>
    <row r="768" ht="28.5" customHeight="1">
      <c r="A768" s="288"/>
      <c r="B768" s="510"/>
      <c r="C768" s="510"/>
      <c r="D768" s="288"/>
      <c r="E768" s="511"/>
      <c r="F768" s="510"/>
      <c r="G768" s="510"/>
      <c r="H768" s="510"/>
      <c r="I768" s="510"/>
      <c r="J768" s="510"/>
      <c r="K768" s="510"/>
      <c r="L768" s="510"/>
      <c r="M768" s="510"/>
      <c r="N768" s="510"/>
      <c r="O768" s="510"/>
      <c r="P768" s="510"/>
      <c r="Q768" s="510"/>
      <c r="R768" s="510"/>
      <c r="S768" s="510"/>
      <c r="T768" s="510"/>
      <c r="U768" s="510"/>
      <c r="V768" s="510"/>
      <c r="W768" s="510"/>
      <c r="X768" s="510"/>
      <c r="Y768" s="510"/>
      <c r="Z768" s="510"/>
      <c r="AA768" s="510"/>
      <c r="AB768" s="510"/>
      <c r="AC768" s="510"/>
      <c r="AD768" s="510"/>
    </row>
    <row r="769" ht="28.5" customHeight="1">
      <c r="A769" s="288"/>
      <c r="B769" s="510"/>
      <c r="C769" s="510"/>
      <c r="D769" s="288"/>
      <c r="E769" s="511"/>
      <c r="F769" s="510"/>
      <c r="G769" s="510"/>
      <c r="H769" s="510"/>
      <c r="I769" s="510"/>
      <c r="J769" s="510"/>
      <c r="K769" s="510"/>
      <c r="L769" s="510"/>
      <c r="M769" s="510"/>
      <c r="N769" s="510"/>
      <c r="O769" s="510"/>
      <c r="P769" s="510"/>
      <c r="Q769" s="510"/>
      <c r="R769" s="510"/>
      <c r="S769" s="510"/>
      <c r="T769" s="510"/>
      <c r="U769" s="510"/>
      <c r="V769" s="510"/>
      <c r="W769" s="510"/>
      <c r="X769" s="510"/>
      <c r="Y769" s="510"/>
      <c r="Z769" s="510"/>
      <c r="AA769" s="510"/>
      <c r="AB769" s="510"/>
      <c r="AC769" s="510"/>
      <c r="AD769" s="510"/>
    </row>
    <row r="770" ht="28.5" customHeight="1">
      <c r="A770" s="288"/>
      <c r="B770" s="510"/>
      <c r="C770" s="510"/>
      <c r="D770" s="288"/>
      <c r="E770" s="511"/>
      <c r="F770" s="510"/>
      <c r="G770" s="510"/>
      <c r="H770" s="510"/>
      <c r="I770" s="510"/>
      <c r="J770" s="510"/>
      <c r="K770" s="510"/>
      <c r="L770" s="510"/>
      <c r="M770" s="510"/>
      <c r="N770" s="510"/>
      <c r="O770" s="510"/>
      <c r="P770" s="510"/>
      <c r="Q770" s="510"/>
      <c r="R770" s="510"/>
      <c r="S770" s="510"/>
      <c r="T770" s="510"/>
      <c r="U770" s="510"/>
      <c r="V770" s="510"/>
      <c r="W770" s="510"/>
      <c r="X770" s="510"/>
      <c r="Y770" s="510"/>
      <c r="Z770" s="510"/>
      <c r="AA770" s="510"/>
      <c r="AB770" s="510"/>
      <c r="AC770" s="510"/>
      <c r="AD770" s="510"/>
    </row>
    <row r="771" ht="28.5" customHeight="1">
      <c r="A771" s="288"/>
      <c r="B771" s="510"/>
      <c r="C771" s="510"/>
      <c r="D771" s="288"/>
      <c r="E771" s="511"/>
      <c r="F771" s="510"/>
      <c r="G771" s="510"/>
      <c r="H771" s="510"/>
      <c r="I771" s="510"/>
      <c r="J771" s="510"/>
      <c r="K771" s="510"/>
      <c r="L771" s="510"/>
      <c r="M771" s="510"/>
      <c r="N771" s="510"/>
      <c r="O771" s="510"/>
      <c r="P771" s="510"/>
      <c r="Q771" s="510"/>
      <c r="R771" s="510"/>
      <c r="S771" s="510"/>
      <c r="T771" s="510"/>
      <c r="U771" s="510"/>
      <c r="V771" s="510"/>
      <c r="W771" s="510"/>
      <c r="X771" s="510"/>
      <c r="Y771" s="510"/>
      <c r="Z771" s="510"/>
      <c r="AA771" s="510"/>
      <c r="AB771" s="510"/>
      <c r="AC771" s="510"/>
      <c r="AD771" s="510"/>
    </row>
    <row r="772" ht="28.5" customHeight="1">
      <c r="A772" s="288"/>
      <c r="B772" s="510"/>
      <c r="C772" s="510"/>
      <c r="D772" s="288"/>
      <c r="E772" s="511"/>
      <c r="F772" s="510"/>
      <c r="G772" s="510"/>
      <c r="H772" s="510"/>
      <c r="I772" s="510"/>
      <c r="J772" s="510"/>
      <c r="K772" s="510"/>
      <c r="L772" s="510"/>
      <c r="M772" s="510"/>
      <c r="N772" s="510"/>
      <c r="O772" s="510"/>
      <c r="P772" s="510"/>
      <c r="Q772" s="510"/>
      <c r="R772" s="510"/>
      <c r="S772" s="510"/>
      <c r="T772" s="510"/>
      <c r="U772" s="510"/>
      <c r="V772" s="510"/>
      <c r="W772" s="510"/>
      <c r="X772" s="510"/>
      <c r="Y772" s="510"/>
      <c r="Z772" s="510"/>
      <c r="AA772" s="510"/>
      <c r="AB772" s="510"/>
      <c r="AC772" s="510"/>
      <c r="AD772" s="510"/>
    </row>
    <row r="773" ht="28.5" customHeight="1">
      <c r="A773" s="288"/>
      <c r="B773" s="510"/>
      <c r="C773" s="510"/>
      <c r="D773" s="288"/>
      <c r="E773" s="511"/>
      <c r="F773" s="510"/>
      <c r="G773" s="510"/>
      <c r="H773" s="510"/>
      <c r="I773" s="510"/>
      <c r="J773" s="510"/>
      <c r="K773" s="510"/>
      <c r="L773" s="510"/>
      <c r="M773" s="510"/>
      <c r="N773" s="510"/>
      <c r="O773" s="510"/>
      <c r="P773" s="510"/>
      <c r="Q773" s="510"/>
      <c r="R773" s="510"/>
      <c r="S773" s="510"/>
      <c r="T773" s="510"/>
      <c r="U773" s="510"/>
      <c r="V773" s="510"/>
      <c r="W773" s="510"/>
      <c r="X773" s="510"/>
      <c r="Y773" s="510"/>
      <c r="Z773" s="510"/>
      <c r="AA773" s="510"/>
      <c r="AB773" s="510"/>
      <c r="AC773" s="510"/>
      <c r="AD773" s="510"/>
    </row>
    <row r="774" ht="28.5" customHeight="1">
      <c r="A774" s="288"/>
      <c r="B774" s="510"/>
      <c r="C774" s="510"/>
      <c r="D774" s="288"/>
      <c r="E774" s="511"/>
      <c r="F774" s="510"/>
      <c r="G774" s="510"/>
      <c r="H774" s="510"/>
      <c r="I774" s="510"/>
      <c r="J774" s="510"/>
      <c r="K774" s="510"/>
      <c r="L774" s="510"/>
      <c r="M774" s="510"/>
      <c r="N774" s="510"/>
      <c r="O774" s="510"/>
      <c r="P774" s="510"/>
      <c r="Q774" s="510"/>
      <c r="R774" s="510"/>
      <c r="S774" s="510"/>
      <c r="T774" s="510"/>
      <c r="U774" s="510"/>
      <c r="V774" s="510"/>
      <c r="W774" s="510"/>
      <c r="X774" s="510"/>
      <c r="Y774" s="510"/>
      <c r="Z774" s="510"/>
      <c r="AA774" s="510"/>
      <c r="AB774" s="510"/>
      <c r="AC774" s="510"/>
      <c r="AD774" s="510"/>
    </row>
    <row r="775" ht="28.5" customHeight="1">
      <c r="A775" s="288"/>
      <c r="B775" s="510"/>
      <c r="C775" s="510"/>
      <c r="D775" s="288"/>
      <c r="E775" s="511"/>
      <c r="F775" s="510"/>
      <c r="G775" s="510"/>
      <c r="H775" s="510"/>
      <c r="I775" s="510"/>
      <c r="J775" s="510"/>
      <c r="K775" s="510"/>
      <c r="L775" s="510"/>
      <c r="M775" s="510"/>
      <c r="N775" s="510"/>
      <c r="O775" s="510"/>
      <c r="P775" s="510"/>
      <c r="Q775" s="510"/>
      <c r="R775" s="510"/>
      <c r="S775" s="510"/>
      <c r="T775" s="510"/>
      <c r="U775" s="510"/>
      <c r="V775" s="510"/>
      <c r="W775" s="510"/>
      <c r="X775" s="510"/>
      <c r="Y775" s="510"/>
      <c r="Z775" s="510"/>
      <c r="AA775" s="510"/>
      <c r="AB775" s="510"/>
      <c r="AC775" s="510"/>
      <c r="AD775" s="510"/>
    </row>
    <row r="776" ht="28.5" customHeight="1">
      <c r="A776" s="288"/>
      <c r="B776" s="510"/>
      <c r="C776" s="510"/>
      <c r="D776" s="288"/>
      <c r="E776" s="511"/>
      <c r="F776" s="510"/>
      <c r="G776" s="510"/>
      <c r="H776" s="510"/>
      <c r="I776" s="510"/>
      <c r="J776" s="510"/>
      <c r="K776" s="510"/>
      <c r="L776" s="510"/>
      <c r="M776" s="510"/>
      <c r="N776" s="510"/>
      <c r="O776" s="510"/>
      <c r="P776" s="510"/>
      <c r="Q776" s="510"/>
      <c r="R776" s="510"/>
      <c r="S776" s="510"/>
      <c r="T776" s="510"/>
      <c r="U776" s="510"/>
      <c r="V776" s="510"/>
      <c r="W776" s="510"/>
      <c r="X776" s="510"/>
      <c r="Y776" s="510"/>
      <c r="Z776" s="510"/>
      <c r="AA776" s="510"/>
      <c r="AB776" s="510"/>
      <c r="AC776" s="510"/>
      <c r="AD776" s="510"/>
    </row>
    <row r="777" ht="28.5" customHeight="1">
      <c r="A777" s="288"/>
      <c r="B777" s="510"/>
      <c r="C777" s="510"/>
      <c r="D777" s="288"/>
      <c r="E777" s="511"/>
      <c r="F777" s="510"/>
      <c r="G777" s="510"/>
      <c r="H777" s="510"/>
      <c r="I777" s="510"/>
      <c r="J777" s="510"/>
      <c r="K777" s="510"/>
      <c r="L777" s="510"/>
      <c r="M777" s="510"/>
      <c r="N777" s="510"/>
      <c r="O777" s="510"/>
      <c r="P777" s="510"/>
      <c r="Q777" s="510"/>
      <c r="R777" s="510"/>
      <c r="S777" s="510"/>
      <c r="T777" s="510"/>
      <c r="U777" s="510"/>
      <c r="V777" s="510"/>
      <c r="W777" s="510"/>
      <c r="X777" s="510"/>
      <c r="Y777" s="510"/>
      <c r="Z777" s="510"/>
      <c r="AA777" s="510"/>
      <c r="AB777" s="510"/>
      <c r="AC777" s="510"/>
      <c r="AD777" s="510"/>
    </row>
    <row r="778" ht="28.5" customHeight="1">
      <c r="A778" s="288"/>
      <c r="B778" s="510"/>
      <c r="C778" s="510"/>
      <c r="D778" s="288"/>
      <c r="E778" s="511"/>
      <c r="F778" s="510"/>
      <c r="G778" s="510"/>
      <c r="H778" s="510"/>
      <c r="I778" s="510"/>
      <c r="J778" s="510"/>
      <c r="K778" s="510"/>
      <c r="L778" s="510"/>
      <c r="M778" s="510"/>
      <c r="N778" s="510"/>
      <c r="O778" s="510"/>
      <c r="P778" s="510"/>
      <c r="Q778" s="510"/>
      <c r="R778" s="510"/>
      <c r="S778" s="510"/>
      <c r="T778" s="510"/>
      <c r="U778" s="510"/>
      <c r="V778" s="510"/>
      <c r="W778" s="510"/>
      <c r="X778" s="510"/>
      <c r="Y778" s="510"/>
      <c r="Z778" s="510"/>
      <c r="AA778" s="510"/>
      <c r="AB778" s="510"/>
      <c r="AC778" s="510"/>
      <c r="AD778" s="510"/>
    </row>
    <row r="779" ht="28.5" customHeight="1">
      <c r="A779" s="288"/>
      <c r="B779" s="510"/>
      <c r="C779" s="510"/>
      <c r="D779" s="288"/>
      <c r="E779" s="511"/>
      <c r="F779" s="510"/>
      <c r="G779" s="510"/>
      <c r="H779" s="510"/>
      <c r="I779" s="510"/>
      <c r="J779" s="510"/>
      <c r="K779" s="510"/>
      <c r="L779" s="510"/>
      <c r="M779" s="510"/>
      <c r="N779" s="510"/>
      <c r="O779" s="510"/>
      <c r="P779" s="510"/>
      <c r="Q779" s="510"/>
      <c r="R779" s="510"/>
      <c r="S779" s="510"/>
      <c r="T779" s="510"/>
      <c r="U779" s="510"/>
      <c r="V779" s="510"/>
      <c r="W779" s="510"/>
      <c r="X779" s="510"/>
      <c r="Y779" s="510"/>
      <c r="Z779" s="510"/>
      <c r="AA779" s="510"/>
      <c r="AB779" s="510"/>
      <c r="AC779" s="510"/>
      <c r="AD779" s="510"/>
    </row>
    <row r="780" ht="28.5" customHeight="1">
      <c r="A780" s="288"/>
      <c r="B780" s="510"/>
      <c r="C780" s="510"/>
      <c r="D780" s="288"/>
      <c r="E780" s="511"/>
      <c r="F780" s="510"/>
      <c r="G780" s="510"/>
      <c r="H780" s="510"/>
      <c r="I780" s="510"/>
      <c r="J780" s="510"/>
      <c r="K780" s="510"/>
      <c r="L780" s="510"/>
      <c r="M780" s="510"/>
      <c r="N780" s="510"/>
      <c r="O780" s="510"/>
      <c r="P780" s="510"/>
      <c r="Q780" s="510"/>
      <c r="R780" s="510"/>
      <c r="S780" s="510"/>
      <c r="T780" s="510"/>
      <c r="U780" s="510"/>
      <c r="V780" s="510"/>
      <c r="W780" s="510"/>
      <c r="X780" s="510"/>
      <c r="Y780" s="510"/>
      <c r="Z780" s="510"/>
      <c r="AA780" s="510"/>
      <c r="AB780" s="510"/>
      <c r="AC780" s="510"/>
      <c r="AD780" s="510"/>
    </row>
    <row r="781" ht="28.5" customHeight="1">
      <c r="A781" s="288"/>
      <c r="B781" s="510"/>
      <c r="C781" s="510"/>
      <c r="D781" s="288"/>
      <c r="E781" s="511"/>
      <c r="F781" s="510"/>
      <c r="G781" s="510"/>
      <c r="H781" s="510"/>
      <c r="I781" s="510"/>
      <c r="J781" s="510"/>
      <c r="K781" s="510"/>
      <c r="L781" s="510"/>
      <c r="M781" s="510"/>
      <c r="N781" s="510"/>
      <c r="O781" s="510"/>
      <c r="P781" s="510"/>
      <c r="Q781" s="510"/>
      <c r="R781" s="510"/>
      <c r="S781" s="510"/>
      <c r="T781" s="510"/>
      <c r="U781" s="510"/>
      <c r="V781" s="510"/>
      <c r="W781" s="510"/>
      <c r="X781" s="510"/>
      <c r="Y781" s="510"/>
      <c r="Z781" s="510"/>
      <c r="AA781" s="510"/>
      <c r="AB781" s="510"/>
      <c r="AC781" s="510"/>
      <c r="AD781" s="510"/>
    </row>
    <row r="782" ht="28.5" customHeight="1">
      <c r="A782" s="288"/>
      <c r="B782" s="510"/>
      <c r="C782" s="510"/>
      <c r="D782" s="288"/>
      <c r="E782" s="511"/>
      <c r="F782" s="510"/>
      <c r="G782" s="510"/>
      <c r="H782" s="510"/>
      <c r="I782" s="510"/>
      <c r="J782" s="510"/>
      <c r="K782" s="510"/>
      <c r="L782" s="510"/>
      <c r="M782" s="510"/>
      <c r="N782" s="510"/>
      <c r="O782" s="510"/>
      <c r="P782" s="510"/>
      <c r="Q782" s="510"/>
      <c r="R782" s="510"/>
      <c r="S782" s="510"/>
      <c r="T782" s="510"/>
      <c r="U782" s="510"/>
      <c r="V782" s="510"/>
      <c r="W782" s="510"/>
      <c r="X782" s="510"/>
      <c r="Y782" s="510"/>
      <c r="Z782" s="510"/>
      <c r="AA782" s="510"/>
      <c r="AB782" s="510"/>
      <c r="AC782" s="510"/>
      <c r="AD782" s="510"/>
    </row>
    <row r="783" ht="28.5" customHeight="1">
      <c r="A783" s="288"/>
      <c r="B783" s="510"/>
      <c r="C783" s="510"/>
      <c r="D783" s="288"/>
      <c r="E783" s="511"/>
      <c r="F783" s="510"/>
      <c r="G783" s="510"/>
      <c r="H783" s="510"/>
      <c r="I783" s="510"/>
      <c r="J783" s="510"/>
      <c r="K783" s="510"/>
      <c r="L783" s="510"/>
      <c r="M783" s="510"/>
      <c r="N783" s="510"/>
      <c r="O783" s="510"/>
      <c r="P783" s="510"/>
      <c r="Q783" s="510"/>
      <c r="R783" s="510"/>
      <c r="S783" s="510"/>
      <c r="T783" s="510"/>
      <c r="U783" s="510"/>
      <c r="V783" s="510"/>
      <c r="W783" s="510"/>
      <c r="X783" s="510"/>
      <c r="Y783" s="510"/>
      <c r="Z783" s="510"/>
      <c r="AA783" s="510"/>
      <c r="AB783" s="510"/>
      <c r="AC783" s="510"/>
      <c r="AD783" s="510"/>
    </row>
    <row r="784" ht="28.5" customHeight="1">
      <c r="A784" s="288"/>
      <c r="B784" s="510"/>
      <c r="C784" s="510"/>
      <c r="D784" s="288"/>
      <c r="E784" s="511"/>
      <c r="F784" s="510"/>
      <c r="G784" s="510"/>
      <c r="H784" s="510"/>
      <c r="I784" s="510"/>
      <c r="J784" s="510"/>
      <c r="K784" s="510"/>
      <c r="L784" s="510"/>
      <c r="M784" s="510"/>
      <c r="N784" s="510"/>
      <c r="O784" s="510"/>
      <c r="P784" s="510"/>
      <c r="Q784" s="510"/>
      <c r="R784" s="510"/>
      <c r="S784" s="510"/>
      <c r="T784" s="510"/>
      <c r="U784" s="510"/>
      <c r="V784" s="510"/>
      <c r="W784" s="510"/>
      <c r="X784" s="510"/>
      <c r="Y784" s="510"/>
      <c r="Z784" s="510"/>
      <c r="AA784" s="510"/>
      <c r="AB784" s="510"/>
      <c r="AC784" s="510"/>
      <c r="AD784" s="510"/>
    </row>
    <row r="785" ht="28.5" customHeight="1">
      <c r="A785" s="288"/>
      <c r="B785" s="510"/>
      <c r="C785" s="510"/>
      <c r="D785" s="288"/>
      <c r="E785" s="511"/>
      <c r="F785" s="510"/>
      <c r="G785" s="510"/>
      <c r="H785" s="510"/>
      <c r="I785" s="510"/>
      <c r="J785" s="510"/>
      <c r="K785" s="510"/>
      <c r="L785" s="510"/>
      <c r="M785" s="510"/>
      <c r="N785" s="510"/>
      <c r="O785" s="510"/>
      <c r="P785" s="510"/>
      <c r="Q785" s="510"/>
      <c r="R785" s="510"/>
      <c r="S785" s="510"/>
      <c r="T785" s="510"/>
      <c r="U785" s="510"/>
      <c r="V785" s="510"/>
      <c r="W785" s="510"/>
      <c r="X785" s="510"/>
      <c r="Y785" s="510"/>
      <c r="Z785" s="510"/>
      <c r="AA785" s="510"/>
      <c r="AB785" s="510"/>
      <c r="AC785" s="510"/>
      <c r="AD785" s="510"/>
    </row>
    <row r="786" ht="28.5" customHeight="1">
      <c r="A786" s="288"/>
      <c r="B786" s="510"/>
      <c r="C786" s="510"/>
      <c r="D786" s="288"/>
      <c r="E786" s="511"/>
      <c r="F786" s="510"/>
      <c r="G786" s="510"/>
      <c r="H786" s="510"/>
      <c r="I786" s="510"/>
      <c r="J786" s="510"/>
      <c r="K786" s="510"/>
      <c r="L786" s="510"/>
      <c r="M786" s="510"/>
      <c r="N786" s="510"/>
      <c r="O786" s="510"/>
      <c r="P786" s="510"/>
      <c r="Q786" s="510"/>
      <c r="R786" s="510"/>
      <c r="S786" s="510"/>
      <c r="T786" s="510"/>
      <c r="U786" s="510"/>
      <c r="V786" s="510"/>
      <c r="W786" s="510"/>
      <c r="X786" s="510"/>
      <c r="Y786" s="510"/>
      <c r="Z786" s="510"/>
      <c r="AA786" s="510"/>
      <c r="AB786" s="510"/>
      <c r="AC786" s="510"/>
      <c r="AD786" s="510"/>
    </row>
    <row r="787" ht="28.5" customHeight="1">
      <c r="A787" s="288"/>
      <c r="B787" s="510"/>
      <c r="C787" s="510"/>
      <c r="D787" s="288"/>
      <c r="E787" s="511"/>
      <c r="F787" s="510"/>
      <c r="G787" s="510"/>
      <c r="H787" s="510"/>
      <c r="I787" s="510"/>
      <c r="J787" s="510"/>
      <c r="K787" s="510"/>
      <c r="L787" s="510"/>
      <c r="M787" s="510"/>
      <c r="N787" s="510"/>
      <c r="O787" s="510"/>
      <c r="P787" s="510"/>
      <c r="Q787" s="510"/>
      <c r="R787" s="510"/>
      <c r="S787" s="510"/>
      <c r="T787" s="510"/>
      <c r="U787" s="510"/>
      <c r="V787" s="510"/>
      <c r="W787" s="510"/>
      <c r="X787" s="510"/>
      <c r="Y787" s="510"/>
      <c r="Z787" s="510"/>
      <c r="AA787" s="510"/>
      <c r="AB787" s="510"/>
      <c r="AC787" s="510"/>
      <c r="AD787" s="510"/>
    </row>
    <row r="788" ht="28.5" customHeight="1">
      <c r="A788" s="288"/>
      <c r="B788" s="510"/>
      <c r="C788" s="510"/>
      <c r="D788" s="288"/>
      <c r="E788" s="511"/>
      <c r="F788" s="510"/>
      <c r="G788" s="510"/>
      <c r="H788" s="510"/>
      <c r="I788" s="510"/>
      <c r="J788" s="510"/>
      <c r="K788" s="510"/>
      <c r="L788" s="510"/>
      <c r="M788" s="510"/>
      <c r="N788" s="510"/>
      <c r="O788" s="510"/>
      <c r="P788" s="510"/>
      <c r="Q788" s="510"/>
      <c r="R788" s="510"/>
      <c r="S788" s="510"/>
      <c r="T788" s="510"/>
      <c r="U788" s="510"/>
      <c r="V788" s="510"/>
      <c r="W788" s="510"/>
      <c r="X788" s="510"/>
      <c r="Y788" s="510"/>
      <c r="Z788" s="510"/>
      <c r="AA788" s="510"/>
      <c r="AB788" s="510"/>
      <c r="AC788" s="510"/>
      <c r="AD788" s="510"/>
    </row>
    <row r="789" ht="28.5" customHeight="1">
      <c r="A789" s="288"/>
      <c r="B789" s="510"/>
      <c r="C789" s="510"/>
      <c r="D789" s="288"/>
      <c r="E789" s="511"/>
      <c r="F789" s="510"/>
      <c r="G789" s="510"/>
      <c r="H789" s="510"/>
      <c r="I789" s="510"/>
      <c r="J789" s="510"/>
      <c r="K789" s="510"/>
      <c r="L789" s="510"/>
      <c r="M789" s="510"/>
      <c r="N789" s="510"/>
      <c r="O789" s="510"/>
      <c r="P789" s="510"/>
      <c r="Q789" s="510"/>
      <c r="R789" s="510"/>
      <c r="S789" s="510"/>
      <c r="T789" s="510"/>
      <c r="U789" s="510"/>
      <c r="V789" s="510"/>
      <c r="W789" s="510"/>
      <c r="X789" s="510"/>
      <c r="Y789" s="510"/>
      <c r="Z789" s="510"/>
      <c r="AA789" s="510"/>
      <c r="AB789" s="510"/>
      <c r="AC789" s="510"/>
      <c r="AD789" s="510"/>
    </row>
    <row r="790" ht="28.5" customHeight="1">
      <c r="A790" s="288"/>
      <c r="B790" s="510"/>
      <c r="C790" s="510"/>
      <c r="D790" s="288"/>
      <c r="E790" s="511"/>
      <c r="F790" s="510"/>
      <c r="G790" s="510"/>
      <c r="H790" s="510"/>
      <c r="I790" s="510"/>
      <c r="J790" s="510"/>
      <c r="K790" s="510"/>
      <c r="L790" s="510"/>
      <c r="M790" s="510"/>
      <c r="N790" s="510"/>
      <c r="O790" s="510"/>
      <c r="P790" s="510"/>
      <c r="Q790" s="510"/>
      <c r="R790" s="510"/>
      <c r="S790" s="510"/>
      <c r="T790" s="510"/>
      <c r="U790" s="510"/>
      <c r="V790" s="510"/>
      <c r="W790" s="510"/>
      <c r="X790" s="510"/>
      <c r="Y790" s="510"/>
      <c r="Z790" s="510"/>
      <c r="AA790" s="510"/>
      <c r="AB790" s="510"/>
      <c r="AC790" s="510"/>
      <c r="AD790" s="510"/>
    </row>
    <row r="791" ht="28.5" customHeight="1">
      <c r="A791" s="288"/>
      <c r="B791" s="510"/>
      <c r="C791" s="510"/>
      <c r="D791" s="288"/>
      <c r="E791" s="511"/>
      <c r="F791" s="510"/>
      <c r="G791" s="510"/>
      <c r="H791" s="510"/>
      <c r="I791" s="510"/>
      <c r="J791" s="510"/>
      <c r="K791" s="510"/>
      <c r="L791" s="510"/>
      <c r="M791" s="510"/>
      <c r="N791" s="510"/>
      <c r="O791" s="510"/>
      <c r="P791" s="510"/>
      <c r="Q791" s="510"/>
      <c r="R791" s="510"/>
      <c r="S791" s="510"/>
      <c r="T791" s="510"/>
      <c r="U791" s="510"/>
      <c r="V791" s="510"/>
      <c r="W791" s="510"/>
      <c r="X791" s="510"/>
      <c r="Y791" s="510"/>
      <c r="Z791" s="510"/>
      <c r="AA791" s="510"/>
      <c r="AB791" s="510"/>
      <c r="AC791" s="510"/>
      <c r="AD791" s="510"/>
    </row>
    <row r="792" ht="28.5" customHeight="1">
      <c r="A792" s="288"/>
      <c r="B792" s="510"/>
      <c r="C792" s="510"/>
      <c r="D792" s="288"/>
      <c r="E792" s="511"/>
      <c r="F792" s="510"/>
      <c r="G792" s="510"/>
      <c r="H792" s="510"/>
      <c r="I792" s="510"/>
      <c r="J792" s="510"/>
      <c r="K792" s="510"/>
      <c r="L792" s="510"/>
      <c r="M792" s="510"/>
      <c r="N792" s="510"/>
      <c r="O792" s="510"/>
      <c r="P792" s="510"/>
      <c r="Q792" s="510"/>
      <c r="R792" s="510"/>
      <c r="S792" s="510"/>
      <c r="T792" s="510"/>
      <c r="U792" s="510"/>
      <c r="V792" s="510"/>
      <c r="W792" s="510"/>
      <c r="X792" s="510"/>
      <c r="Y792" s="510"/>
      <c r="Z792" s="510"/>
      <c r="AA792" s="510"/>
      <c r="AB792" s="510"/>
      <c r="AC792" s="510"/>
      <c r="AD792" s="510"/>
    </row>
    <row r="793" ht="28.5" customHeight="1">
      <c r="A793" s="288"/>
      <c r="B793" s="510"/>
      <c r="C793" s="510"/>
      <c r="D793" s="288"/>
      <c r="E793" s="511"/>
      <c r="F793" s="510"/>
      <c r="G793" s="510"/>
      <c r="H793" s="510"/>
      <c r="I793" s="510"/>
      <c r="J793" s="510"/>
      <c r="K793" s="510"/>
      <c r="L793" s="510"/>
      <c r="M793" s="510"/>
      <c r="N793" s="510"/>
      <c r="O793" s="510"/>
      <c r="P793" s="510"/>
      <c r="Q793" s="510"/>
      <c r="R793" s="510"/>
      <c r="S793" s="510"/>
      <c r="T793" s="510"/>
      <c r="U793" s="510"/>
      <c r="V793" s="510"/>
      <c r="W793" s="510"/>
      <c r="X793" s="510"/>
      <c r="Y793" s="510"/>
      <c r="Z793" s="510"/>
      <c r="AA793" s="510"/>
      <c r="AB793" s="510"/>
      <c r="AC793" s="510"/>
      <c r="AD793" s="510"/>
    </row>
    <row r="794" ht="28.5" customHeight="1">
      <c r="A794" s="288"/>
      <c r="B794" s="510"/>
      <c r="C794" s="510"/>
      <c r="D794" s="288"/>
      <c r="E794" s="511"/>
      <c r="F794" s="510"/>
      <c r="G794" s="510"/>
      <c r="H794" s="510"/>
      <c r="I794" s="510"/>
      <c r="J794" s="510"/>
      <c r="K794" s="510"/>
      <c r="L794" s="510"/>
      <c r="M794" s="510"/>
      <c r="N794" s="510"/>
      <c r="O794" s="510"/>
      <c r="P794" s="510"/>
      <c r="Q794" s="510"/>
      <c r="R794" s="510"/>
      <c r="S794" s="510"/>
      <c r="T794" s="510"/>
      <c r="U794" s="510"/>
      <c r="V794" s="510"/>
      <c r="W794" s="510"/>
      <c r="X794" s="510"/>
      <c r="Y794" s="510"/>
      <c r="Z794" s="510"/>
      <c r="AA794" s="510"/>
      <c r="AB794" s="510"/>
      <c r="AC794" s="510"/>
      <c r="AD794" s="510"/>
    </row>
    <row r="795" ht="28.5" customHeight="1">
      <c r="A795" s="288"/>
      <c r="B795" s="510"/>
      <c r="C795" s="510"/>
      <c r="D795" s="288"/>
      <c r="E795" s="511"/>
      <c r="F795" s="510"/>
      <c r="G795" s="510"/>
      <c r="H795" s="510"/>
      <c r="I795" s="510"/>
      <c r="J795" s="510"/>
      <c r="K795" s="510"/>
      <c r="L795" s="510"/>
      <c r="M795" s="510"/>
      <c r="N795" s="510"/>
      <c r="O795" s="510"/>
      <c r="P795" s="510"/>
      <c r="Q795" s="510"/>
      <c r="R795" s="510"/>
      <c r="S795" s="510"/>
      <c r="T795" s="510"/>
      <c r="U795" s="510"/>
      <c r="V795" s="510"/>
      <c r="W795" s="510"/>
      <c r="X795" s="510"/>
      <c r="Y795" s="510"/>
      <c r="Z795" s="510"/>
      <c r="AA795" s="510"/>
      <c r="AB795" s="510"/>
      <c r="AC795" s="510"/>
      <c r="AD795" s="510"/>
    </row>
    <row r="796" ht="28.5" customHeight="1">
      <c r="A796" s="288"/>
      <c r="B796" s="510"/>
      <c r="C796" s="510"/>
      <c r="D796" s="288"/>
      <c r="E796" s="511"/>
      <c r="F796" s="510"/>
      <c r="G796" s="510"/>
      <c r="H796" s="510"/>
      <c r="I796" s="510"/>
      <c r="J796" s="510"/>
      <c r="K796" s="510"/>
      <c r="L796" s="510"/>
      <c r="M796" s="510"/>
      <c r="N796" s="510"/>
      <c r="O796" s="510"/>
      <c r="P796" s="510"/>
      <c r="Q796" s="510"/>
      <c r="R796" s="510"/>
      <c r="S796" s="510"/>
      <c r="T796" s="510"/>
      <c r="U796" s="510"/>
      <c r="V796" s="510"/>
      <c r="W796" s="510"/>
      <c r="X796" s="510"/>
      <c r="Y796" s="510"/>
      <c r="Z796" s="510"/>
      <c r="AA796" s="510"/>
      <c r="AB796" s="510"/>
      <c r="AC796" s="510"/>
      <c r="AD796" s="510"/>
    </row>
    <row r="797" ht="28.5" customHeight="1">
      <c r="A797" s="288"/>
      <c r="B797" s="510"/>
      <c r="C797" s="510"/>
      <c r="D797" s="288"/>
      <c r="E797" s="511"/>
      <c r="F797" s="510"/>
      <c r="G797" s="510"/>
      <c r="H797" s="510"/>
      <c r="I797" s="510"/>
      <c r="J797" s="510"/>
      <c r="K797" s="510"/>
      <c r="L797" s="510"/>
      <c r="M797" s="510"/>
      <c r="N797" s="510"/>
      <c r="O797" s="510"/>
      <c r="P797" s="510"/>
      <c r="Q797" s="510"/>
      <c r="R797" s="510"/>
      <c r="S797" s="510"/>
      <c r="T797" s="510"/>
      <c r="U797" s="510"/>
      <c r="V797" s="510"/>
      <c r="W797" s="510"/>
      <c r="X797" s="510"/>
      <c r="Y797" s="510"/>
      <c r="Z797" s="510"/>
      <c r="AA797" s="510"/>
      <c r="AB797" s="510"/>
      <c r="AC797" s="510"/>
      <c r="AD797" s="510"/>
    </row>
    <row r="798" ht="28.5" customHeight="1">
      <c r="A798" s="288"/>
      <c r="B798" s="510"/>
      <c r="C798" s="510"/>
      <c r="D798" s="288"/>
      <c r="E798" s="511"/>
      <c r="F798" s="510"/>
      <c r="G798" s="510"/>
      <c r="H798" s="510"/>
      <c r="I798" s="510"/>
      <c r="J798" s="510"/>
      <c r="K798" s="510"/>
      <c r="L798" s="510"/>
      <c r="M798" s="510"/>
      <c r="N798" s="510"/>
      <c r="O798" s="510"/>
      <c r="P798" s="510"/>
      <c r="Q798" s="510"/>
      <c r="R798" s="510"/>
      <c r="S798" s="510"/>
      <c r="T798" s="510"/>
      <c r="U798" s="510"/>
      <c r="V798" s="510"/>
      <c r="W798" s="510"/>
      <c r="X798" s="510"/>
      <c r="Y798" s="510"/>
      <c r="Z798" s="510"/>
      <c r="AA798" s="510"/>
      <c r="AB798" s="510"/>
      <c r="AC798" s="510"/>
      <c r="AD798" s="510"/>
    </row>
    <row r="799" ht="28.5" customHeight="1">
      <c r="A799" s="288"/>
      <c r="B799" s="510"/>
      <c r="C799" s="510"/>
      <c r="D799" s="288"/>
      <c r="E799" s="511"/>
      <c r="F799" s="510"/>
      <c r="G799" s="510"/>
      <c r="H799" s="510"/>
      <c r="I799" s="510"/>
      <c r="J799" s="510"/>
      <c r="K799" s="510"/>
      <c r="L799" s="510"/>
      <c r="M799" s="510"/>
      <c r="N799" s="510"/>
      <c r="O799" s="510"/>
      <c r="P799" s="510"/>
      <c r="Q799" s="510"/>
      <c r="R799" s="510"/>
      <c r="S799" s="510"/>
      <c r="T799" s="510"/>
      <c r="U799" s="510"/>
      <c r="V799" s="510"/>
      <c r="W799" s="510"/>
      <c r="X799" s="510"/>
      <c r="Y799" s="510"/>
      <c r="Z799" s="510"/>
      <c r="AA799" s="510"/>
      <c r="AB799" s="510"/>
      <c r="AC799" s="510"/>
      <c r="AD799" s="510"/>
    </row>
    <row r="800" ht="28.5" customHeight="1">
      <c r="A800" s="288"/>
      <c r="B800" s="510"/>
      <c r="C800" s="510"/>
      <c r="D800" s="288"/>
      <c r="E800" s="511"/>
      <c r="F800" s="510"/>
      <c r="G800" s="510"/>
      <c r="H800" s="510"/>
      <c r="I800" s="510"/>
      <c r="J800" s="510"/>
      <c r="K800" s="510"/>
      <c r="L800" s="510"/>
      <c r="M800" s="510"/>
      <c r="N800" s="510"/>
      <c r="O800" s="510"/>
      <c r="P800" s="510"/>
      <c r="Q800" s="510"/>
      <c r="R800" s="510"/>
      <c r="S800" s="510"/>
      <c r="T800" s="510"/>
      <c r="U800" s="510"/>
      <c r="V800" s="510"/>
      <c r="W800" s="510"/>
      <c r="X800" s="510"/>
      <c r="Y800" s="510"/>
      <c r="Z800" s="510"/>
      <c r="AA800" s="510"/>
      <c r="AB800" s="510"/>
      <c r="AC800" s="510"/>
      <c r="AD800" s="510"/>
    </row>
    <row r="801" ht="28.5" customHeight="1">
      <c r="A801" s="288"/>
      <c r="B801" s="510"/>
      <c r="C801" s="510"/>
      <c r="D801" s="288"/>
      <c r="E801" s="511"/>
      <c r="F801" s="510"/>
      <c r="G801" s="510"/>
      <c r="H801" s="510"/>
      <c r="I801" s="510"/>
      <c r="J801" s="510"/>
      <c r="K801" s="510"/>
      <c r="L801" s="510"/>
      <c r="M801" s="510"/>
      <c r="N801" s="510"/>
      <c r="O801" s="510"/>
      <c r="P801" s="510"/>
      <c r="Q801" s="510"/>
      <c r="R801" s="510"/>
      <c r="S801" s="510"/>
      <c r="T801" s="510"/>
      <c r="U801" s="510"/>
      <c r="V801" s="510"/>
      <c r="W801" s="510"/>
      <c r="X801" s="510"/>
      <c r="Y801" s="510"/>
      <c r="Z801" s="510"/>
      <c r="AA801" s="510"/>
      <c r="AB801" s="510"/>
      <c r="AC801" s="510"/>
      <c r="AD801" s="510"/>
    </row>
    <row r="802" ht="28.5" customHeight="1">
      <c r="A802" s="288"/>
      <c r="B802" s="510"/>
      <c r="C802" s="510"/>
      <c r="D802" s="288"/>
      <c r="E802" s="511"/>
      <c r="F802" s="510"/>
      <c r="G802" s="510"/>
      <c r="H802" s="510"/>
      <c r="I802" s="510"/>
      <c r="J802" s="510"/>
      <c r="K802" s="510"/>
      <c r="L802" s="510"/>
      <c r="M802" s="510"/>
      <c r="N802" s="510"/>
      <c r="O802" s="510"/>
      <c r="P802" s="510"/>
      <c r="Q802" s="510"/>
      <c r="R802" s="510"/>
      <c r="S802" s="510"/>
      <c r="T802" s="510"/>
      <c r="U802" s="510"/>
      <c r="V802" s="510"/>
      <c r="W802" s="510"/>
      <c r="X802" s="510"/>
      <c r="Y802" s="510"/>
      <c r="Z802" s="510"/>
      <c r="AA802" s="510"/>
      <c r="AB802" s="510"/>
      <c r="AC802" s="510"/>
      <c r="AD802" s="510"/>
    </row>
    <row r="803" ht="28.5" customHeight="1">
      <c r="A803" s="288"/>
      <c r="B803" s="510"/>
      <c r="C803" s="510"/>
      <c r="D803" s="288"/>
      <c r="E803" s="511"/>
      <c r="F803" s="510"/>
      <c r="G803" s="510"/>
      <c r="H803" s="510"/>
      <c r="I803" s="510"/>
      <c r="J803" s="510"/>
      <c r="K803" s="510"/>
      <c r="L803" s="510"/>
      <c r="M803" s="510"/>
      <c r="N803" s="510"/>
      <c r="O803" s="510"/>
      <c r="P803" s="510"/>
      <c r="Q803" s="510"/>
      <c r="R803" s="510"/>
      <c r="S803" s="510"/>
      <c r="T803" s="510"/>
      <c r="U803" s="510"/>
      <c r="V803" s="510"/>
      <c r="W803" s="510"/>
      <c r="X803" s="510"/>
      <c r="Y803" s="510"/>
      <c r="Z803" s="510"/>
      <c r="AA803" s="510"/>
      <c r="AB803" s="510"/>
      <c r="AC803" s="510"/>
      <c r="AD803" s="510"/>
    </row>
    <row r="804" ht="28.5" customHeight="1">
      <c r="A804" s="288"/>
      <c r="B804" s="510"/>
      <c r="C804" s="510"/>
      <c r="D804" s="288"/>
      <c r="E804" s="511"/>
      <c r="F804" s="510"/>
      <c r="G804" s="510"/>
      <c r="H804" s="510"/>
      <c r="I804" s="510"/>
      <c r="J804" s="510"/>
      <c r="K804" s="510"/>
      <c r="L804" s="510"/>
      <c r="M804" s="510"/>
      <c r="N804" s="510"/>
      <c r="O804" s="510"/>
      <c r="P804" s="510"/>
      <c r="Q804" s="510"/>
      <c r="R804" s="510"/>
      <c r="S804" s="510"/>
      <c r="T804" s="510"/>
      <c r="U804" s="510"/>
      <c r="V804" s="510"/>
      <c r="W804" s="510"/>
      <c r="X804" s="510"/>
      <c r="Y804" s="510"/>
      <c r="Z804" s="510"/>
      <c r="AA804" s="510"/>
      <c r="AB804" s="510"/>
      <c r="AC804" s="510"/>
      <c r="AD804" s="510"/>
    </row>
    <row r="805" ht="28.5" customHeight="1">
      <c r="A805" s="288"/>
      <c r="B805" s="510"/>
      <c r="C805" s="510"/>
      <c r="D805" s="288"/>
      <c r="E805" s="511"/>
      <c r="F805" s="510"/>
      <c r="G805" s="510"/>
      <c r="H805" s="510"/>
      <c r="I805" s="510"/>
      <c r="J805" s="510"/>
      <c r="K805" s="510"/>
      <c r="L805" s="510"/>
      <c r="M805" s="510"/>
      <c r="N805" s="510"/>
      <c r="O805" s="510"/>
      <c r="P805" s="510"/>
      <c r="Q805" s="510"/>
      <c r="R805" s="510"/>
      <c r="S805" s="510"/>
      <c r="T805" s="510"/>
      <c r="U805" s="510"/>
      <c r="V805" s="510"/>
      <c r="W805" s="510"/>
      <c r="X805" s="510"/>
      <c r="Y805" s="510"/>
      <c r="Z805" s="510"/>
      <c r="AA805" s="510"/>
      <c r="AB805" s="510"/>
      <c r="AC805" s="510"/>
      <c r="AD805" s="510"/>
    </row>
    <row r="806" ht="28.5" customHeight="1">
      <c r="A806" s="288"/>
      <c r="B806" s="510"/>
      <c r="C806" s="510"/>
      <c r="D806" s="288"/>
      <c r="E806" s="511"/>
      <c r="F806" s="510"/>
      <c r="G806" s="510"/>
      <c r="H806" s="510"/>
      <c r="I806" s="510"/>
      <c r="J806" s="510"/>
      <c r="K806" s="510"/>
      <c r="L806" s="510"/>
      <c r="M806" s="510"/>
      <c r="N806" s="510"/>
      <c r="O806" s="510"/>
      <c r="P806" s="510"/>
      <c r="Q806" s="510"/>
      <c r="R806" s="510"/>
      <c r="S806" s="510"/>
      <c r="T806" s="510"/>
      <c r="U806" s="510"/>
      <c r="V806" s="510"/>
      <c r="W806" s="510"/>
      <c r="X806" s="510"/>
      <c r="Y806" s="510"/>
      <c r="Z806" s="510"/>
      <c r="AA806" s="510"/>
      <c r="AB806" s="510"/>
      <c r="AC806" s="510"/>
      <c r="AD806" s="510"/>
    </row>
    <row r="807" ht="28.5" customHeight="1">
      <c r="A807" s="288"/>
      <c r="B807" s="510"/>
      <c r="C807" s="510"/>
      <c r="D807" s="288"/>
      <c r="E807" s="511"/>
      <c r="F807" s="510"/>
      <c r="G807" s="510"/>
      <c r="H807" s="510"/>
      <c r="I807" s="510"/>
      <c r="J807" s="510"/>
      <c r="K807" s="510"/>
      <c r="L807" s="510"/>
      <c r="M807" s="510"/>
      <c r="N807" s="510"/>
      <c r="O807" s="510"/>
      <c r="P807" s="510"/>
      <c r="Q807" s="510"/>
      <c r="R807" s="510"/>
      <c r="S807" s="510"/>
      <c r="T807" s="510"/>
      <c r="U807" s="510"/>
      <c r="V807" s="510"/>
      <c r="W807" s="510"/>
      <c r="X807" s="510"/>
      <c r="Y807" s="510"/>
      <c r="Z807" s="510"/>
      <c r="AA807" s="510"/>
      <c r="AB807" s="510"/>
      <c r="AC807" s="510"/>
      <c r="AD807" s="510"/>
    </row>
    <row r="808" ht="28.5" customHeight="1">
      <c r="A808" s="288"/>
      <c r="B808" s="510"/>
      <c r="C808" s="510"/>
      <c r="D808" s="288"/>
      <c r="E808" s="511"/>
      <c r="F808" s="510"/>
      <c r="G808" s="510"/>
      <c r="H808" s="510"/>
      <c r="I808" s="510"/>
      <c r="J808" s="510"/>
      <c r="K808" s="510"/>
      <c r="L808" s="510"/>
      <c r="M808" s="510"/>
      <c r="N808" s="510"/>
      <c r="O808" s="510"/>
      <c r="P808" s="510"/>
      <c r="Q808" s="510"/>
      <c r="R808" s="510"/>
      <c r="S808" s="510"/>
      <c r="T808" s="510"/>
      <c r="U808" s="510"/>
      <c r="V808" s="510"/>
      <c r="W808" s="510"/>
      <c r="X808" s="510"/>
      <c r="Y808" s="510"/>
      <c r="Z808" s="510"/>
      <c r="AA808" s="510"/>
      <c r="AB808" s="510"/>
      <c r="AC808" s="510"/>
      <c r="AD808" s="510"/>
    </row>
    <row r="809" ht="28.5" customHeight="1">
      <c r="A809" s="288"/>
      <c r="B809" s="510"/>
      <c r="C809" s="510"/>
      <c r="D809" s="288"/>
      <c r="E809" s="511"/>
      <c r="F809" s="510"/>
      <c r="G809" s="510"/>
      <c r="H809" s="510"/>
      <c r="I809" s="510"/>
      <c r="J809" s="510"/>
      <c r="K809" s="510"/>
      <c r="L809" s="510"/>
      <c r="M809" s="510"/>
      <c r="N809" s="510"/>
      <c r="O809" s="510"/>
      <c r="P809" s="510"/>
      <c r="Q809" s="510"/>
      <c r="R809" s="510"/>
      <c r="S809" s="510"/>
      <c r="T809" s="510"/>
      <c r="U809" s="510"/>
      <c r="V809" s="510"/>
      <c r="W809" s="510"/>
      <c r="X809" s="510"/>
      <c r="Y809" s="510"/>
      <c r="Z809" s="510"/>
      <c r="AA809" s="510"/>
      <c r="AB809" s="510"/>
      <c r="AC809" s="510"/>
      <c r="AD809" s="510"/>
    </row>
    <row r="810" ht="28.5" customHeight="1">
      <c r="A810" s="288"/>
      <c r="B810" s="510"/>
      <c r="C810" s="510"/>
      <c r="D810" s="288"/>
      <c r="E810" s="511"/>
      <c r="F810" s="510"/>
      <c r="G810" s="510"/>
      <c r="H810" s="510"/>
      <c r="I810" s="510"/>
      <c r="J810" s="510"/>
      <c r="K810" s="510"/>
      <c r="L810" s="510"/>
      <c r="M810" s="510"/>
      <c r="N810" s="510"/>
      <c r="O810" s="510"/>
      <c r="P810" s="510"/>
      <c r="Q810" s="510"/>
      <c r="R810" s="510"/>
      <c r="S810" s="510"/>
      <c r="T810" s="510"/>
      <c r="U810" s="510"/>
      <c r="V810" s="510"/>
      <c r="W810" s="510"/>
      <c r="X810" s="510"/>
      <c r="Y810" s="510"/>
      <c r="Z810" s="510"/>
      <c r="AA810" s="510"/>
      <c r="AB810" s="510"/>
      <c r="AC810" s="510"/>
      <c r="AD810" s="510"/>
    </row>
    <row r="811" ht="28.5" customHeight="1">
      <c r="A811" s="288"/>
      <c r="B811" s="510"/>
      <c r="C811" s="510"/>
      <c r="D811" s="288"/>
      <c r="E811" s="511"/>
      <c r="F811" s="510"/>
      <c r="G811" s="510"/>
      <c r="H811" s="510"/>
      <c r="I811" s="510"/>
      <c r="J811" s="510"/>
      <c r="K811" s="510"/>
      <c r="L811" s="510"/>
      <c r="M811" s="510"/>
      <c r="N811" s="510"/>
      <c r="O811" s="510"/>
      <c r="P811" s="510"/>
      <c r="Q811" s="510"/>
      <c r="R811" s="510"/>
      <c r="S811" s="510"/>
      <c r="T811" s="510"/>
      <c r="U811" s="510"/>
      <c r="V811" s="510"/>
      <c r="W811" s="510"/>
      <c r="X811" s="510"/>
      <c r="Y811" s="510"/>
      <c r="Z811" s="510"/>
      <c r="AA811" s="510"/>
      <c r="AB811" s="510"/>
      <c r="AC811" s="510"/>
      <c r="AD811" s="510"/>
    </row>
    <row r="812" ht="28.5" customHeight="1">
      <c r="A812" s="288"/>
      <c r="B812" s="510"/>
      <c r="C812" s="510"/>
      <c r="D812" s="288"/>
      <c r="E812" s="511"/>
      <c r="F812" s="510"/>
      <c r="G812" s="510"/>
      <c r="H812" s="510"/>
      <c r="I812" s="510"/>
      <c r="J812" s="510"/>
      <c r="K812" s="510"/>
      <c r="L812" s="510"/>
      <c r="M812" s="510"/>
      <c r="N812" s="510"/>
      <c r="O812" s="510"/>
      <c r="P812" s="510"/>
      <c r="Q812" s="510"/>
      <c r="R812" s="510"/>
      <c r="S812" s="510"/>
      <c r="T812" s="510"/>
      <c r="U812" s="510"/>
      <c r="V812" s="510"/>
      <c r="W812" s="510"/>
      <c r="X812" s="510"/>
      <c r="Y812" s="510"/>
      <c r="Z812" s="510"/>
      <c r="AA812" s="510"/>
      <c r="AB812" s="510"/>
      <c r="AC812" s="510"/>
      <c r="AD812" s="510"/>
    </row>
    <row r="813" ht="28.5" customHeight="1">
      <c r="A813" s="288"/>
      <c r="B813" s="510"/>
      <c r="C813" s="510"/>
      <c r="D813" s="288"/>
      <c r="E813" s="511"/>
      <c r="F813" s="510"/>
      <c r="G813" s="510"/>
      <c r="H813" s="510"/>
      <c r="I813" s="510"/>
      <c r="J813" s="510"/>
      <c r="K813" s="510"/>
      <c r="L813" s="510"/>
      <c r="M813" s="510"/>
      <c r="N813" s="510"/>
      <c r="O813" s="510"/>
      <c r="P813" s="510"/>
      <c r="Q813" s="510"/>
      <c r="R813" s="510"/>
      <c r="S813" s="510"/>
      <c r="T813" s="510"/>
      <c r="U813" s="510"/>
      <c r="V813" s="510"/>
      <c r="W813" s="510"/>
      <c r="X813" s="510"/>
      <c r="Y813" s="510"/>
      <c r="Z813" s="510"/>
      <c r="AA813" s="510"/>
      <c r="AB813" s="510"/>
      <c r="AC813" s="510"/>
      <c r="AD813" s="510"/>
    </row>
    <row r="814" ht="28.5" customHeight="1">
      <c r="A814" s="288"/>
      <c r="B814" s="510"/>
      <c r="C814" s="510"/>
      <c r="D814" s="288"/>
      <c r="E814" s="511"/>
      <c r="F814" s="510"/>
      <c r="G814" s="510"/>
      <c r="H814" s="510"/>
      <c r="I814" s="510"/>
      <c r="J814" s="510"/>
      <c r="K814" s="510"/>
      <c r="L814" s="510"/>
      <c r="M814" s="510"/>
      <c r="N814" s="510"/>
      <c r="O814" s="510"/>
      <c r="P814" s="510"/>
      <c r="Q814" s="510"/>
      <c r="R814" s="510"/>
      <c r="S814" s="510"/>
      <c r="T814" s="510"/>
      <c r="U814" s="510"/>
      <c r="V814" s="510"/>
      <c r="W814" s="510"/>
      <c r="X814" s="510"/>
      <c r="Y814" s="510"/>
      <c r="Z814" s="510"/>
      <c r="AA814" s="510"/>
      <c r="AB814" s="510"/>
      <c r="AC814" s="510"/>
      <c r="AD814" s="510"/>
    </row>
    <row r="815" ht="28.5" customHeight="1">
      <c r="A815" s="288"/>
      <c r="B815" s="510"/>
      <c r="C815" s="510"/>
      <c r="D815" s="288"/>
      <c r="E815" s="511"/>
      <c r="F815" s="510"/>
      <c r="G815" s="510"/>
      <c r="H815" s="510"/>
      <c r="I815" s="510"/>
      <c r="J815" s="510"/>
      <c r="K815" s="510"/>
      <c r="L815" s="510"/>
      <c r="M815" s="510"/>
      <c r="N815" s="510"/>
      <c r="O815" s="510"/>
      <c r="P815" s="510"/>
      <c r="Q815" s="510"/>
      <c r="R815" s="510"/>
      <c r="S815" s="510"/>
      <c r="T815" s="510"/>
      <c r="U815" s="510"/>
      <c r="V815" s="510"/>
      <c r="W815" s="510"/>
      <c r="X815" s="510"/>
      <c r="Y815" s="510"/>
      <c r="Z815" s="510"/>
      <c r="AA815" s="510"/>
      <c r="AB815" s="510"/>
      <c r="AC815" s="510"/>
      <c r="AD815" s="510"/>
    </row>
    <row r="816" ht="28.5" customHeight="1">
      <c r="A816" s="288"/>
      <c r="B816" s="510"/>
      <c r="C816" s="510"/>
      <c r="D816" s="288"/>
      <c r="E816" s="511"/>
      <c r="F816" s="510"/>
      <c r="G816" s="510"/>
      <c r="H816" s="510"/>
      <c r="I816" s="510"/>
      <c r="J816" s="510"/>
      <c r="K816" s="510"/>
      <c r="L816" s="510"/>
      <c r="M816" s="510"/>
      <c r="N816" s="510"/>
      <c r="O816" s="510"/>
      <c r="P816" s="510"/>
      <c r="Q816" s="510"/>
      <c r="R816" s="510"/>
      <c r="S816" s="510"/>
      <c r="T816" s="510"/>
      <c r="U816" s="510"/>
      <c r="V816" s="510"/>
      <c r="W816" s="510"/>
      <c r="X816" s="510"/>
      <c r="Y816" s="510"/>
      <c r="Z816" s="510"/>
      <c r="AA816" s="510"/>
      <c r="AB816" s="510"/>
      <c r="AC816" s="510"/>
      <c r="AD816" s="510"/>
    </row>
    <row r="817" ht="28.5" customHeight="1">
      <c r="A817" s="288"/>
      <c r="B817" s="510"/>
      <c r="C817" s="510"/>
      <c r="D817" s="288"/>
      <c r="E817" s="511"/>
      <c r="F817" s="510"/>
      <c r="G817" s="510"/>
      <c r="H817" s="510"/>
      <c r="I817" s="510"/>
      <c r="J817" s="510"/>
      <c r="K817" s="510"/>
      <c r="L817" s="510"/>
      <c r="M817" s="510"/>
      <c r="N817" s="510"/>
      <c r="O817" s="510"/>
      <c r="P817" s="510"/>
      <c r="Q817" s="510"/>
      <c r="R817" s="510"/>
      <c r="S817" s="510"/>
      <c r="T817" s="510"/>
      <c r="U817" s="510"/>
      <c r="V817" s="510"/>
      <c r="W817" s="510"/>
      <c r="X817" s="510"/>
      <c r="Y817" s="510"/>
      <c r="Z817" s="510"/>
      <c r="AA817" s="510"/>
      <c r="AB817" s="510"/>
      <c r="AC817" s="510"/>
      <c r="AD817" s="510"/>
    </row>
    <row r="818" ht="28.5" customHeight="1">
      <c r="A818" s="288"/>
      <c r="B818" s="510"/>
      <c r="C818" s="510"/>
      <c r="D818" s="288"/>
      <c r="E818" s="511"/>
      <c r="F818" s="510"/>
      <c r="G818" s="510"/>
      <c r="H818" s="510"/>
      <c r="I818" s="510"/>
      <c r="J818" s="510"/>
      <c r="K818" s="510"/>
      <c r="L818" s="510"/>
      <c r="M818" s="510"/>
      <c r="N818" s="510"/>
      <c r="O818" s="510"/>
      <c r="P818" s="510"/>
      <c r="Q818" s="510"/>
      <c r="R818" s="510"/>
      <c r="S818" s="510"/>
      <c r="T818" s="510"/>
      <c r="U818" s="510"/>
      <c r="V818" s="510"/>
      <c r="W818" s="510"/>
      <c r="X818" s="510"/>
      <c r="Y818" s="510"/>
      <c r="Z818" s="510"/>
      <c r="AA818" s="510"/>
      <c r="AB818" s="510"/>
      <c r="AC818" s="510"/>
      <c r="AD818" s="510"/>
    </row>
    <row r="819" ht="28.5" customHeight="1">
      <c r="A819" s="288"/>
      <c r="B819" s="510"/>
      <c r="C819" s="510"/>
      <c r="D819" s="288"/>
      <c r="E819" s="511"/>
      <c r="F819" s="510"/>
      <c r="G819" s="510"/>
      <c r="H819" s="510"/>
      <c r="I819" s="510"/>
      <c r="J819" s="510"/>
      <c r="K819" s="510"/>
      <c r="L819" s="510"/>
      <c r="M819" s="510"/>
      <c r="N819" s="510"/>
      <c r="O819" s="510"/>
      <c r="P819" s="510"/>
      <c r="Q819" s="510"/>
      <c r="R819" s="510"/>
      <c r="S819" s="510"/>
      <c r="T819" s="510"/>
      <c r="U819" s="510"/>
      <c r="V819" s="510"/>
      <c r="W819" s="510"/>
      <c r="X819" s="510"/>
      <c r="Y819" s="510"/>
      <c r="Z819" s="510"/>
      <c r="AA819" s="510"/>
      <c r="AB819" s="510"/>
      <c r="AC819" s="510"/>
      <c r="AD819" s="510"/>
    </row>
    <row r="820" ht="28.5" customHeight="1">
      <c r="A820" s="288"/>
      <c r="B820" s="510"/>
      <c r="C820" s="510"/>
      <c r="D820" s="288"/>
      <c r="E820" s="511"/>
      <c r="F820" s="510"/>
      <c r="G820" s="510"/>
      <c r="H820" s="510"/>
      <c r="I820" s="510"/>
      <c r="J820" s="510"/>
      <c r="K820" s="510"/>
      <c r="L820" s="510"/>
      <c r="M820" s="510"/>
      <c r="N820" s="510"/>
      <c r="O820" s="510"/>
      <c r="P820" s="510"/>
      <c r="Q820" s="510"/>
      <c r="R820" s="510"/>
      <c r="S820" s="510"/>
      <c r="T820" s="510"/>
      <c r="U820" s="510"/>
      <c r="V820" s="510"/>
      <c r="W820" s="510"/>
      <c r="X820" s="510"/>
      <c r="Y820" s="510"/>
      <c r="Z820" s="510"/>
      <c r="AA820" s="510"/>
      <c r="AB820" s="510"/>
      <c r="AC820" s="510"/>
      <c r="AD820" s="510"/>
    </row>
    <row r="821" ht="28.5" customHeight="1">
      <c r="A821" s="288"/>
      <c r="B821" s="510"/>
      <c r="C821" s="510"/>
      <c r="D821" s="288"/>
      <c r="E821" s="511"/>
      <c r="F821" s="510"/>
      <c r="G821" s="510"/>
      <c r="H821" s="510"/>
      <c r="I821" s="510"/>
      <c r="J821" s="510"/>
      <c r="K821" s="510"/>
      <c r="L821" s="510"/>
      <c r="M821" s="510"/>
      <c r="N821" s="510"/>
      <c r="O821" s="510"/>
      <c r="P821" s="510"/>
      <c r="Q821" s="510"/>
      <c r="R821" s="510"/>
      <c r="S821" s="510"/>
      <c r="T821" s="510"/>
      <c r="U821" s="510"/>
      <c r="V821" s="510"/>
      <c r="W821" s="510"/>
      <c r="X821" s="510"/>
      <c r="Y821" s="510"/>
      <c r="Z821" s="510"/>
      <c r="AA821" s="510"/>
      <c r="AB821" s="510"/>
      <c r="AC821" s="510"/>
      <c r="AD821" s="510"/>
    </row>
    <row r="822" ht="28.5" customHeight="1">
      <c r="A822" s="288"/>
      <c r="B822" s="510"/>
      <c r="C822" s="510"/>
      <c r="D822" s="288"/>
      <c r="E822" s="511"/>
      <c r="F822" s="510"/>
      <c r="G822" s="510"/>
      <c r="H822" s="510"/>
      <c r="I822" s="510"/>
      <c r="J822" s="510"/>
      <c r="K822" s="510"/>
      <c r="L822" s="510"/>
      <c r="M822" s="510"/>
      <c r="N822" s="510"/>
      <c r="O822" s="510"/>
      <c r="P822" s="510"/>
      <c r="Q822" s="510"/>
      <c r="R822" s="510"/>
      <c r="S822" s="510"/>
      <c r="T822" s="510"/>
      <c r="U822" s="510"/>
      <c r="V822" s="510"/>
      <c r="W822" s="510"/>
      <c r="X822" s="510"/>
      <c r="Y822" s="510"/>
      <c r="Z822" s="510"/>
      <c r="AA822" s="510"/>
      <c r="AB822" s="510"/>
      <c r="AC822" s="510"/>
      <c r="AD822" s="510"/>
    </row>
    <row r="823" ht="28.5" customHeight="1">
      <c r="A823" s="288"/>
      <c r="B823" s="510"/>
      <c r="C823" s="510"/>
      <c r="D823" s="288"/>
      <c r="E823" s="511"/>
      <c r="F823" s="510"/>
      <c r="G823" s="510"/>
      <c r="H823" s="510"/>
      <c r="I823" s="510"/>
      <c r="J823" s="510"/>
      <c r="K823" s="510"/>
      <c r="L823" s="510"/>
      <c r="M823" s="510"/>
      <c r="N823" s="510"/>
      <c r="O823" s="510"/>
      <c r="P823" s="510"/>
      <c r="Q823" s="510"/>
      <c r="R823" s="510"/>
      <c r="S823" s="510"/>
      <c r="T823" s="510"/>
      <c r="U823" s="510"/>
      <c r="V823" s="510"/>
      <c r="W823" s="510"/>
      <c r="X823" s="510"/>
      <c r="Y823" s="510"/>
      <c r="Z823" s="510"/>
      <c r="AA823" s="510"/>
      <c r="AB823" s="510"/>
      <c r="AC823" s="510"/>
      <c r="AD823" s="510"/>
    </row>
    <row r="824" ht="28.5" customHeight="1">
      <c r="A824" s="288"/>
      <c r="B824" s="510"/>
      <c r="C824" s="510"/>
      <c r="D824" s="288"/>
      <c r="E824" s="511"/>
      <c r="F824" s="510"/>
      <c r="G824" s="510"/>
      <c r="H824" s="510"/>
      <c r="I824" s="510"/>
      <c r="J824" s="510"/>
      <c r="K824" s="510"/>
      <c r="L824" s="510"/>
      <c r="M824" s="510"/>
      <c r="N824" s="510"/>
      <c r="O824" s="510"/>
      <c r="P824" s="510"/>
      <c r="Q824" s="510"/>
      <c r="R824" s="510"/>
      <c r="S824" s="510"/>
      <c r="T824" s="510"/>
      <c r="U824" s="510"/>
      <c r="V824" s="510"/>
      <c r="W824" s="510"/>
      <c r="X824" s="510"/>
      <c r="Y824" s="510"/>
      <c r="Z824" s="510"/>
      <c r="AA824" s="510"/>
      <c r="AB824" s="510"/>
      <c r="AC824" s="510"/>
      <c r="AD824" s="510"/>
    </row>
    <row r="825" ht="28.5" customHeight="1">
      <c r="A825" s="288"/>
      <c r="B825" s="510"/>
      <c r="C825" s="510"/>
      <c r="D825" s="288"/>
      <c r="E825" s="511"/>
      <c r="F825" s="510"/>
      <c r="G825" s="510"/>
      <c r="H825" s="510"/>
      <c r="I825" s="510"/>
      <c r="J825" s="510"/>
      <c r="K825" s="510"/>
      <c r="L825" s="510"/>
      <c r="M825" s="510"/>
      <c r="N825" s="510"/>
      <c r="O825" s="510"/>
      <c r="P825" s="510"/>
      <c r="Q825" s="510"/>
      <c r="R825" s="510"/>
      <c r="S825" s="510"/>
      <c r="T825" s="510"/>
      <c r="U825" s="510"/>
      <c r="V825" s="510"/>
      <c r="W825" s="510"/>
      <c r="X825" s="510"/>
      <c r="Y825" s="510"/>
      <c r="Z825" s="510"/>
      <c r="AA825" s="510"/>
      <c r="AB825" s="510"/>
      <c r="AC825" s="510"/>
      <c r="AD825" s="510"/>
    </row>
    <row r="826" ht="28.5" customHeight="1">
      <c r="A826" s="288"/>
      <c r="B826" s="510"/>
      <c r="C826" s="510"/>
      <c r="D826" s="288"/>
      <c r="E826" s="511"/>
      <c r="F826" s="510"/>
      <c r="G826" s="510"/>
      <c r="H826" s="510"/>
      <c r="I826" s="510"/>
      <c r="J826" s="510"/>
      <c r="K826" s="510"/>
      <c r="L826" s="510"/>
      <c r="M826" s="510"/>
      <c r="N826" s="510"/>
      <c r="O826" s="510"/>
      <c r="P826" s="510"/>
      <c r="Q826" s="510"/>
      <c r="R826" s="510"/>
      <c r="S826" s="510"/>
      <c r="T826" s="510"/>
      <c r="U826" s="510"/>
      <c r="V826" s="510"/>
      <c r="W826" s="510"/>
      <c r="X826" s="510"/>
      <c r="Y826" s="510"/>
      <c r="Z826" s="510"/>
      <c r="AA826" s="510"/>
      <c r="AB826" s="510"/>
      <c r="AC826" s="510"/>
      <c r="AD826" s="510"/>
    </row>
    <row r="827" ht="28.5" customHeight="1">
      <c r="A827" s="288"/>
      <c r="B827" s="510"/>
      <c r="C827" s="510"/>
      <c r="D827" s="288"/>
      <c r="E827" s="511"/>
      <c r="F827" s="510"/>
      <c r="G827" s="510"/>
      <c r="H827" s="510"/>
      <c r="I827" s="510"/>
      <c r="J827" s="510"/>
      <c r="K827" s="510"/>
      <c r="L827" s="510"/>
      <c r="M827" s="510"/>
      <c r="N827" s="510"/>
      <c r="O827" s="510"/>
      <c r="P827" s="510"/>
      <c r="Q827" s="510"/>
      <c r="R827" s="510"/>
      <c r="S827" s="510"/>
      <c r="T827" s="510"/>
      <c r="U827" s="510"/>
      <c r="V827" s="510"/>
      <c r="W827" s="510"/>
      <c r="X827" s="510"/>
      <c r="Y827" s="510"/>
      <c r="Z827" s="510"/>
      <c r="AA827" s="510"/>
      <c r="AB827" s="510"/>
      <c r="AC827" s="510"/>
      <c r="AD827" s="510"/>
    </row>
    <row r="828" ht="28.5" customHeight="1">
      <c r="A828" s="288"/>
      <c r="B828" s="510"/>
      <c r="C828" s="510"/>
      <c r="D828" s="288"/>
      <c r="E828" s="511"/>
      <c r="F828" s="510"/>
      <c r="G828" s="510"/>
      <c r="H828" s="510"/>
      <c r="I828" s="510"/>
      <c r="J828" s="510"/>
      <c r="K828" s="510"/>
      <c r="L828" s="510"/>
      <c r="M828" s="510"/>
      <c r="N828" s="510"/>
      <c r="O828" s="510"/>
      <c r="P828" s="510"/>
      <c r="Q828" s="510"/>
      <c r="R828" s="510"/>
      <c r="S828" s="510"/>
      <c r="T828" s="510"/>
      <c r="U828" s="510"/>
      <c r="V828" s="510"/>
      <c r="W828" s="510"/>
      <c r="X828" s="510"/>
      <c r="Y828" s="510"/>
      <c r="Z828" s="510"/>
      <c r="AA828" s="510"/>
      <c r="AB828" s="510"/>
      <c r="AC828" s="510"/>
      <c r="AD828" s="510"/>
    </row>
    <row r="829" ht="28.5" customHeight="1">
      <c r="A829" s="288"/>
      <c r="B829" s="510"/>
      <c r="C829" s="510"/>
      <c r="D829" s="288"/>
      <c r="E829" s="511"/>
      <c r="F829" s="510"/>
      <c r="G829" s="510"/>
      <c r="H829" s="510"/>
      <c r="I829" s="510"/>
      <c r="J829" s="510"/>
      <c r="K829" s="510"/>
      <c r="L829" s="510"/>
      <c r="M829" s="510"/>
      <c r="N829" s="510"/>
      <c r="O829" s="510"/>
      <c r="P829" s="510"/>
      <c r="Q829" s="510"/>
      <c r="R829" s="510"/>
      <c r="S829" s="510"/>
      <c r="T829" s="510"/>
      <c r="U829" s="510"/>
      <c r="V829" s="510"/>
      <c r="W829" s="510"/>
      <c r="X829" s="510"/>
      <c r="Y829" s="510"/>
      <c r="Z829" s="510"/>
      <c r="AA829" s="510"/>
      <c r="AB829" s="510"/>
      <c r="AC829" s="510"/>
      <c r="AD829" s="510"/>
    </row>
    <row r="830" ht="28.5" customHeight="1">
      <c r="A830" s="288"/>
      <c r="B830" s="510"/>
      <c r="C830" s="510"/>
      <c r="D830" s="288"/>
      <c r="E830" s="511"/>
      <c r="F830" s="510"/>
      <c r="G830" s="510"/>
      <c r="H830" s="510"/>
      <c r="I830" s="510"/>
      <c r="J830" s="510"/>
      <c r="K830" s="510"/>
      <c r="L830" s="510"/>
      <c r="M830" s="510"/>
      <c r="N830" s="510"/>
      <c r="O830" s="510"/>
      <c r="P830" s="510"/>
      <c r="Q830" s="510"/>
      <c r="R830" s="510"/>
      <c r="S830" s="510"/>
      <c r="T830" s="510"/>
      <c r="U830" s="510"/>
      <c r="V830" s="510"/>
      <c r="W830" s="510"/>
      <c r="X830" s="510"/>
      <c r="Y830" s="510"/>
      <c r="Z830" s="510"/>
      <c r="AA830" s="510"/>
      <c r="AB830" s="510"/>
      <c r="AC830" s="510"/>
      <c r="AD830" s="510"/>
    </row>
    <row r="831" ht="28.5" customHeight="1">
      <c r="A831" s="288"/>
      <c r="B831" s="510"/>
      <c r="C831" s="510"/>
      <c r="D831" s="288"/>
      <c r="E831" s="511"/>
      <c r="F831" s="510"/>
      <c r="G831" s="510"/>
      <c r="H831" s="510"/>
      <c r="I831" s="510"/>
      <c r="J831" s="510"/>
      <c r="K831" s="510"/>
      <c r="L831" s="510"/>
      <c r="M831" s="510"/>
      <c r="N831" s="510"/>
      <c r="O831" s="510"/>
      <c r="P831" s="510"/>
      <c r="Q831" s="510"/>
      <c r="R831" s="510"/>
      <c r="S831" s="510"/>
      <c r="T831" s="510"/>
      <c r="U831" s="510"/>
      <c r="V831" s="510"/>
      <c r="W831" s="510"/>
      <c r="X831" s="510"/>
      <c r="Y831" s="510"/>
      <c r="Z831" s="510"/>
      <c r="AA831" s="510"/>
      <c r="AB831" s="510"/>
      <c r="AC831" s="510"/>
      <c r="AD831" s="510"/>
    </row>
    <row r="832" ht="28.5" customHeight="1">
      <c r="A832" s="288"/>
      <c r="B832" s="510"/>
      <c r="C832" s="510"/>
      <c r="D832" s="288"/>
      <c r="E832" s="511"/>
      <c r="F832" s="510"/>
      <c r="G832" s="510"/>
      <c r="H832" s="510"/>
      <c r="I832" s="510"/>
      <c r="J832" s="510"/>
      <c r="K832" s="510"/>
      <c r="L832" s="510"/>
      <c r="M832" s="510"/>
      <c r="N832" s="510"/>
      <c r="O832" s="510"/>
      <c r="P832" s="510"/>
      <c r="Q832" s="510"/>
      <c r="R832" s="510"/>
      <c r="S832" s="510"/>
      <c r="T832" s="510"/>
      <c r="U832" s="510"/>
      <c r="V832" s="510"/>
      <c r="W832" s="510"/>
      <c r="X832" s="510"/>
      <c r="Y832" s="510"/>
      <c r="Z832" s="510"/>
      <c r="AA832" s="510"/>
      <c r="AB832" s="510"/>
      <c r="AC832" s="510"/>
      <c r="AD832" s="510"/>
    </row>
    <row r="833" ht="28.5" customHeight="1">
      <c r="A833" s="288"/>
      <c r="B833" s="510"/>
      <c r="C833" s="510"/>
      <c r="D833" s="288"/>
      <c r="E833" s="511"/>
      <c r="F833" s="510"/>
      <c r="G833" s="510"/>
      <c r="H833" s="510"/>
      <c r="I833" s="510"/>
      <c r="J833" s="510"/>
      <c r="K833" s="510"/>
      <c r="L833" s="510"/>
      <c r="M833" s="510"/>
      <c r="N833" s="510"/>
      <c r="O833" s="510"/>
      <c r="P833" s="510"/>
      <c r="Q833" s="510"/>
      <c r="R833" s="510"/>
      <c r="S833" s="510"/>
      <c r="T833" s="510"/>
      <c r="U833" s="510"/>
      <c r="V833" s="510"/>
      <c r="W833" s="510"/>
      <c r="X833" s="510"/>
      <c r="Y833" s="510"/>
      <c r="Z833" s="510"/>
      <c r="AA833" s="510"/>
      <c r="AB833" s="510"/>
      <c r="AC833" s="510"/>
      <c r="AD833" s="510"/>
    </row>
    <row r="834" ht="28.5" customHeight="1">
      <c r="A834" s="288"/>
      <c r="B834" s="510"/>
      <c r="C834" s="510"/>
      <c r="D834" s="288"/>
      <c r="E834" s="511"/>
      <c r="F834" s="510"/>
      <c r="G834" s="510"/>
      <c r="H834" s="510"/>
      <c r="I834" s="510"/>
      <c r="J834" s="510"/>
      <c r="K834" s="510"/>
      <c r="L834" s="510"/>
      <c r="M834" s="510"/>
      <c r="N834" s="510"/>
      <c r="O834" s="510"/>
      <c r="P834" s="510"/>
      <c r="Q834" s="510"/>
      <c r="R834" s="510"/>
      <c r="S834" s="510"/>
      <c r="T834" s="510"/>
      <c r="U834" s="510"/>
      <c r="V834" s="510"/>
      <c r="W834" s="510"/>
      <c r="X834" s="510"/>
      <c r="Y834" s="510"/>
      <c r="Z834" s="510"/>
      <c r="AA834" s="510"/>
      <c r="AB834" s="510"/>
      <c r="AC834" s="510"/>
      <c r="AD834" s="510"/>
    </row>
    <row r="835" ht="28.5" customHeight="1">
      <c r="A835" s="288"/>
      <c r="B835" s="510"/>
      <c r="C835" s="510"/>
      <c r="D835" s="288"/>
      <c r="E835" s="511"/>
      <c r="F835" s="510"/>
      <c r="G835" s="510"/>
      <c r="H835" s="510"/>
      <c r="I835" s="510"/>
      <c r="J835" s="510"/>
      <c r="K835" s="510"/>
      <c r="L835" s="510"/>
      <c r="M835" s="510"/>
      <c r="N835" s="510"/>
      <c r="O835" s="510"/>
      <c r="P835" s="510"/>
      <c r="Q835" s="510"/>
      <c r="R835" s="510"/>
      <c r="S835" s="510"/>
      <c r="T835" s="510"/>
      <c r="U835" s="510"/>
      <c r="V835" s="510"/>
      <c r="W835" s="510"/>
      <c r="X835" s="510"/>
      <c r="Y835" s="510"/>
      <c r="Z835" s="510"/>
      <c r="AA835" s="510"/>
      <c r="AB835" s="510"/>
      <c r="AC835" s="510"/>
      <c r="AD835" s="510"/>
    </row>
    <row r="836" ht="28.5" customHeight="1">
      <c r="A836" s="288"/>
      <c r="B836" s="510"/>
      <c r="C836" s="510"/>
      <c r="D836" s="288"/>
      <c r="E836" s="511"/>
      <c r="F836" s="510"/>
      <c r="G836" s="510"/>
      <c r="H836" s="510"/>
      <c r="I836" s="510"/>
      <c r="J836" s="510"/>
      <c r="K836" s="510"/>
      <c r="L836" s="510"/>
      <c r="M836" s="510"/>
      <c r="N836" s="510"/>
      <c r="O836" s="510"/>
      <c r="P836" s="510"/>
      <c r="Q836" s="510"/>
      <c r="R836" s="510"/>
      <c r="S836" s="510"/>
      <c r="T836" s="510"/>
      <c r="U836" s="510"/>
      <c r="V836" s="510"/>
      <c r="W836" s="510"/>
      <c r="X836" s="510"/>
      <c r="Y836" s="510"/>
      <c r="Z836" s="510"/>
      <c r="AA836" s="510"/>
      <c r="AB836" s="510"/>
      <c r="AC836" s="510"/>
      <c r="AD836" s="510"/>
    </row>
    <row r="837" ht="28.5" customHeight="1">
      <c r="A837" s="288"/>
      <c r="B837" s="510"/>
      <c r="C837" s="510"/>
      <c r="D837" s="288"/>
      <c r="E837" s="511"/>
      <c r="F837" s="510"/>
      <c r="G837" s="510"/>
      <c r="H837" s="510"/>
      <c r="I837" s="510"/>
      <c r="J837" s="510"/>
      <c r="K837" s="510"/>
      <c r="L837" s="510"/>
      <c r="M837" s="510"/>
      <c r="N837" s="510"/>
      <c r="O837" s="510"/>
      <c r="P837" s="510"/>
      <c r="Q837" s="510"/>
      <c r="R837" s="510"/>
      <c r="S837" s="510"/>
      <c r="T837" s="510"/>
      <c r="U837" s="510"/>
      <c r="V837" s="510"/>
      <c r="W837" s="510"/>
      <c r="X837" s="510"/>
      <c r="Y837" s="510"/>
      <c r="Z837" s="510"/>
      <c r="AA837" s="510"/>
      <c r="AB837" s="510"/>
      <c r="AC837" s="510"/>
      <c r="AD837" s="510"/>
    </row>
    <row r="838" ht="28.5" customHeight="1">
      <c r="A838" s="288"/>
      <c r="B838" s="510"/>
      <c r="C838" s="510"/>
      <c r="D838" s="288"/>
      <c r="E838" s="511"/>
      <c r="F838" s="510"/>
      <c r="G838" s="510"/>
      <c r="H838" s="510"/>
      <c r="I838" s="510"/>
      <c r="J838" s="510"/>
      <c r="K838" s="510"/>
      <c r="L838" s="510"/>
      <c r="M838" s="510"/>
      <c r="N838" s="510"/>
      <c r="O838" s="510"/>
      <c r="P838" s="510"/>
      <c r="Q838" s="510"/>
      <c r="R838" s="510"/>
      <c r="S838" s="510"/>
      <c r="T838" s="510"/>
      <c r="U838" s="510"/>
      <c r="V838" s="510"/>
      <c r="W838" s="510"/>
      <c r="X838" s="510"/>
      <c r="Y838" s="510"/>
      <c r="Z838" s="510"/>
      <c r="AA838" s="510"/>
      <c r="AB838" s="510"/>
      <c r="AC838" s="510"/>
      <c r="AD838" s="510"/>
    </row>
    <row r="839" ht="28.5" customHeight="1">
      <c r="A839" s="288"/>
      <c r="B839" s="510"/>
      <c r="C839" s="510"/>
      <c r="D839" s="288"/>
      <c r="E839" s="511"/>
      <c r="F839" s="510"/>
      <c r="G839" s="510"/>
      <c r="H839" s="510"/>
      <c r="I839" s="510"/>
      <c r="J839" s="510"/>
      <c r="K839" s="510"/>
      <c r="L839" s="510"/>
      <c r="M839" s="510"/>
      <c r="N839" s="510"/>
      <c r="O839" s="510"/>
      <c r="P839" s="510"/>
      <c r="Q839" s="510"/>
      <c r="R839" s="510"/>
      <c r="S839" s="510"/>
      <c r="T839" s="510"/>
      <c r="U839" s="510"/>
      <c r="V839" s="510"/>
      <c r="W839" s="510"/>
      <c r="X839" s="510"/>
      <c r="Y839" s="510"/>
      <c r="Z839" s="510"/>
      <c r="AA839" s="510"/>
      <c r="AB839" s="510"/>
      <c r="AC839" s="510"/>
      <c r="AD839" s="510"/>
    </row>
    <row r="840" ht="28.5" customHeight="1">
      <c r="A840" s="288"/>
      <c r="B840" s="510"/>
      <c r="C840" s="510"/>
      <c r="D840" s="288"/>
      <c r="E840" s="511"/>
      <c r="F840" s="510"/>
      <c r="G840" s="510"/>
      <c r="H840" s="510"/>
      <c r="I840" s="510"/>
      <c r="J840" s="510"/>
      <c r="K840" s="510"/>
      <c r="L840" s="510"/>
      <c r="M840" s="510"/>
      <c r="N840" s="510"/>
      <c r="O840" s="510"/>
      <c r="P840" s="510"/>
      <c r="Q840" s="510"/>
      <c r="R840" s="510"/>
      <c r="S840" s="510"/>
      <c r="T840" s="510"/>
      <c r="U840" s="510"/>
      <c r="V840" s="510"/>
      <c r="W840" s="510"/>
      <c r="X840" s="510"/>
      <c r="Y840" s="510"/>
      <c r="Z840" s="510"/>
      <c r="AA840" s="510"/>
      <c r="AB840" s="510"/>
      <c r="AC840" s="510"/>
      <c r="AD840" s="510"/>
    </row>
    <row r="841" ht="28.5" customHeight="1">
      <c r="A841" s="288"/>
      <c r="B841" s="510"/>
      <c r="C841" s="510"/>
      <c r="D841" s="288"/>
      <c r="E841" s="511"/>
      <c r="F841" s="510"/>
      <c r="G841" s="510"/>
      <c r="H841" s="510"/>
      <c r="I841" s="510"/>
      <c r="J841" s="510"/>
      <c r="K841" s="510"/>
      <c r="L841" s="510"/>
      <c r="M841" s="510"/>
      <c r="N841" s="510"/>
      <c r="O841" s="510"/>
      <c r="P841" s="510"/>
      <c r="Q841" s="510"/>
      <c r="R841" s="510"/>
      <c r="S841" s="510"/>
      <c r="T841" s="510"/>
      <c r="U841" s="510"/>
      <c r="V841" s="510"/>
      <c r="W841" s="510"/>
      <c r="X841" s="510"/>
      <c r="Y841" s="510"/>
      <c r="Z841" s="510"/>
      <c r="AA841" s="510"/>
      <c r="AB841" s="510"/>
      <c r="AC841" s="510"/>
      <c r="AD841" s="510"/>
    </row>
    <row r="842" ht="28.5" customHeight="1">
      <c r="A842" s="288"/>
      <c r="B842" s="510"/>
      <c r="C842" s="510"/>
      <c r="D842" s="288"/>
      <c r="E842" s="511"/>
      <c r="F842" s="510"/>
      <c r="G842" s="510"/>
      <c r="H842" s="510"/>
      <c r="I842" s="510"/>
      <c r="J842" s="510"/>
      <c r="K842" s="510"/>
      <c r="L842" s="510"/>
      <c r="M842" s="510"/>
      <c r="N842" s="510"/>
      <c r="O842" s="510"/>
      <c r="P842" s="510"/>
      <c r="Q842" s="510"/>
      <c r="R842" s="510"/>
      <c r="S842" s="510"/>
      <c r="T842" s="510"/>
      <c r="U842" s="510"/>
      <c r="V842" s="510"/>
      <c r="W842" s="510"/>
      <c r="X842" s="510"/>
      <c r="Y842" s="510"/>
      <c r="Z842" s="510"/>
      <c r="AA842" s="510"/>
      <c r="AB842" s="510"/>
      <c r="AC842" s="510"/>
      <c r="AD842" s="510"/>
    </row>
    <row r="843" ht="28.5" customHeight="1">
      <c r="A843" s="288"/>
      <c r="B843" s="510"/>
      <c r="C843" s="510"/>
      <c r="D843" s="288"/>
      <c r="E843" s="511"/>
      <c r="F843" s="510"/>
      <c r="G843" s="510"/>
      <c r="H843" s="510"/>
      <c r="I843" s="510"/>
      <c r="J843" s="510"/>
      <c r="K843" s="510"/>
      <c r="L843" s="510"/>
      <c r="M843" s="510"/>
      <c r="N843" s="510"/>
      <c r="O843" s="510"/>
      <c r="P843" s="510"/>
      <c r="Q843" s="510"/>
      <c r="R843" s="510"/>
      <c r="S843" s="510"/>
      <c r="T843" s="510"/>
      <c r="U843" s="510"/>
      <c r="V843" s="510"/>
      <c r="W843" s="510"/>
      <c r="X843" s="510"/>
      <c r="Y843" s="510"/>
      <c r="Z843" s="510"/>
      <c r="AA843" s="510"/>
      <c r="AB843" s="510"/>
      <c r="AC843" s="510"/>
      <c r="AD843" s="510"/>
    </row>
    <row r="844" ht="28.5" customHeight="1">
      <c r="A844" s="288"/>
      <c r="B844" s="510"/>
      <c r="C844" s="510"/>
      <c r="D844" s="288"/>
      <c r="E844" s="511"/>
      <c r="F844" s="510"/>
      <c r="G844" s="510"/>
      <c r="H844" s="510"/>
      <c r="I844" s="510"/>
      <c r="J844" s="510"/>
      <c r="K844" s="510"/>
      <c r="L844" s="510"/>
      <c r="M844" s="510"/>
      <c r="N844" s="510"/>
      <c r="O844" s="510"/>
      <c r="P844" s="510"/>
      <c r="Q844" s="510"/>
      <c r="R844" s="510"/>
      <c r="S844" s="510"/>
      <c r="T844" s="510"/>
      <c r="U844" s="510"/>
      <c r="V844" s="510"/>
      <c r="W844" s="510"/>
      <c r="X844" s="510"/>
      <c r="Y844" s="510"/>
      <c r="Z844" s="510"/>
      <c r="AA844" s="510"/>
      <c r="AB844" s="510"/>
      <c r="AC844" s="510"/>
      <c r="AD844" s="510"/>
    </row>
    <row r="845" ht="28.5" customHeight="1">
      <c r="A845" s="288"/>
      <c r="B845" s="510"/>
      <c r="C845" s="510"/>
      <c r="D845" s="288"/>
      <c r="E845" s="511"/>
      <c r="F845" s="510"/>
      <c r="G845" s="510"/>
      <c r="H845" s="510"/>
      <c r="I845" s="510"/>
      <c r="J845" s="510"/>
      <c r="K845" s="510"/>
      <c r="L845" s="510"/>
      <c r="M845" s="510"/>
      <c r="N845" s="510"/>
      <c r="O845" s="510"/>
      <c r="P845" s="510"/>
      <c r="Q845" s="510"/>
      <c r="R845" s="510"/>
      <c r="S845" s="510"/>
      <c r="T845" s="510"/>
      <c r="U845" s="510"/>
      <c r="V845" s="510"/>
      <c r="W845" s="510"/>
      <c r="X845" s="510"/>
      <c r="Y845" s="510"/>
      <c r="Z845" s="510"/>
      <c r="AA845" s="510"/>
      <c r="AB845" s="510"/>
      <c r="AC845" s="510"/>
      <c r="AD845" s="510"/>
    </row>
    <row r="846" ht="28.5" customHeight="1">
      <c r="A846" s="288"/>
      <c r="B846" s="510"/>
      <c r="C846" s="510"/>
      <c r="D846" s="288"/>
      <c r="E846" s="511"/>
      <c r="F846" s="510"/>
      <c r="G846" s="510"/>
      <c r="H846" s="510"/>
      <c r="I846" s="510"/>
      <c r="J846" s="510"/>
      <c r="K846" s="510"/>
      <c r="L846" s="510"/>
      <c r="M846" s="510"/>
      <c r="N846" s="510"/>
      <c r="O846" s="510"/>
      <c r="P846" s="510"/>
      <c r="Q846" s="510"/>
      <c r="R846" s="510"/>
      <c r="S846" s="510"/>
      <c r="T846" s="510"/>
      <c r="U846" s="510"/>
      <c r="V846" s="510"/>
      <c r="W846" s="510"/>
      <c r="X846" s="510"/>
      <c r="Y846" s="510"/>
      <c r="Z846" s="510"/>
      <c r="AA846" s="510"/>
      <c r="AB846" s="510"/>
      <c r="AC846" s="510"/>
      <c r="AD846" s="510"/>
    </row>
    <row r="847" ht="28.5" customHeight="1">
      <c r="A847" s="288"/>
      <c r="B847" s="510"/>
      <c r="C847" s="510"/>
      <c r="D847" s="288"/>
      <c r="E847" s="511"/>
      <c r="F847" s="510"/>
      <c r="G847" s="510"/>
      <c r="H847" s="510"/>
      <c r="I847" s="510"/>
      <c r="J847" s="510"/>
      <c r="K847" s="510"/>
      <c r="L847" s="510"/>
      <c r="M847" s="510"/>
      <c r="N847" s="510"/>
      <c r="O847" s="510"/>
      <c r="P847" s="510"/>
      <c r="Q847" s="510"/>
      <c r="R847" s="510"/>
      <c r="S847" s="510"/>
      <c r="T847" s="510"/>
      <c r="U847" s="510"/>
      <c r="V847" s="510"/>
      <c r="W847" s="510"/>
      <c r="X847" s="510"/>
      <c r="Y847" s="510"/>
      <c r="Z847" s="510"/>
      <c r="AA847" s="510"/>
      <c r="AB847" s="510"/>
      <c r="AC847" s="510"/>
      <c r="AD847" s="510"/>
    </row>
    <row r="848" ht="28.5" customHeight="1">
      <c r="A848" s="288"/>
      <c r="B848" s="510"/>
      <c r="C848" s="510"/>
      <c r="D848" s="288"/>
      <c r="E848" s="511"/>
      <c r="F848" s="510"/>
      <c r="G848" s="510"/>
      <c r="H848" s="510"/>
      <c r="I848" s="510"/>
      <c r="J848" s="510"/>
      <c r="K848" s="510"/>
      <c r="L848" s="510"/>
      <c r="M848" s="510"/>
      <c r="N848" s="510"/>
      <c r="O848" s="510"/>
      <c r="P848" s="510"/>
      <c r="Q848" s="510"/>
      <c r="R848" s="510"/>
      <c r="S848" s="510"/>
      <c r="T848" s="510"/>
      <c r="U848" s="510"/>
      <c r="V848" s="510"/>
      <c r="W848" s="510"/>
      <c r="X848" s="510"/>
      <c r="Y848" s="510"/>
      <c r="Z848" s="510"/>
      <c r="AA848" s="510"/>
      <c r="AB848" s="510"/>
      <c r="AC848" s="510"/>
      <c r="AD848" s="510"/>
    </row>
    <row r="849" ht="28.5" customHeight="1">
      <c r="A849" s="288"/>
      <c r="B849" s="510"/>
      <c r="C849" s="510"/>
      <c r="D849" s="288"/>
      <c r="E849" s="511"/>
      <c r="F849" s="510"/>
      <c r="G849" s="510"/>
      <c r="H849" s="510"/>
      <c r="I849" s="510"/>
      <c r="J849" s="510"/>
      <c r="K849" s="510"/>
      <c r="L849" s="510"/>
      <c r="M849" s="510"/>
      <c r="N849" s="510"/>
      <c r="O849" s="510"/>
      <c r="P849" s="510"/>
      <c r="Q849" s="510"/>
      <c r="R849" s="510"/>
      <c r="S849" s="510"/>
      <c r="T849" s="510"/>
      <c r="U849" s="510"/>
      <c r="V849" s="510"/>
      <c r="W849" s="510"/>
      <c r="X849" s="510"/>
      <c r="Y849" s="510"/>
      <c r="Z849" s="510"/>
      <c r="AA849" s="510"/>
      <c r="AB849" s="510"/>
      <c r="AC849" s="510"/>
      <c r="AD849" s="510"/>
    </row>
    <row r="850" ht="28.5" customHeight="1">
      <c r="A850" s="288"/>
      <c r="B850" s="510"/>
      <c r="C850" s="510"/>
      <c r="D850" s="288"/>
      <c r="E850" s="511"/>
      <c r="F850" s="510"/>
      <c r="G850" s="510"/>
      <c r="H850" s="510"/>
      <c r="I850" s="510"/>
      <c r="J850" s="510"/>
      <c r="K850" s="510"/>
      <c r="L850" s="510"/>
      <c r="M850" s="510"/>
      <c r="N850" s="510"/>
      <c r="O850" s="510"/>
      <c r="P850" s="510"/>
      <c r="Q850" s="510"/>
      <c r="R850" s="510"/>
      <c r="S850" s="510"/>
      <c r="T850" s="510"/>
      <c r="U850" s="510"/>
      <c r="V850" s="510"/>
      <c r="W850" s="510"/>
      <c r="X850" s="510"/>
      <c r="Y850" s="510"/>
      <c r="Z850" s="510"/>
      <c r="AA850" s="510"/>
      <c r="AB850" s="510"/>
      <c r="AC850" s="510"/>
      <c r="AD850" s="510"/>
    </row>
    <row r="851" ht="28.5" customHeight="1">
      <c r="A851" s="288"/>
      <c r="B851" s="510"/>
      <c r="C851" s="510"/>
      <c r="D851" s="288"/>
      <c r="E851" s="511"/>
      <c r="F851" s="510"/>
      <c r="G851" s="510"/>
      <c r="H851" s="510"/>
      <c r="I851" s="510"/>
      <c r="J851" s="510"/>
      <c r="K851" s="510"/>
      <c r="L851" s="510"/>
      <c r="M851" s="510"/>
      <c r="N851" s="510"/>
      <c r="O851" s="510"/>
      <c r="P851" s="510"/>
      <c r="Q851" s="510"/>
      <c r="R851" s="510"/>
      <c r="S851" s="510"/>
      <c r="T851" s="510"/>
      <c r="U851" s="510"/>
      <c r="V851" s="510"/>
      <c r="W851" s="510"/>
      <c r="X851" s="510"/>
      <c r="Y851" s="510"/>
      <c r="Z851" s="510"/>
      <c r="AA851" s="510"/>
      <c r="AB851" s="510"/>
      <c r="AC851" s="510"/>
      <c r="AD851" s="510"/>
    </row>
    <row r="852" ht="28.5" customHeight="1">
      <c r="A852" s="288"/>
      <c r="B852" s="510"/>
      <c r="C852" s="510"/>
      <c r="D852" s="288"/>
      <c r="E852" s="511"/>
      <c r="F852" s="510"/>
      <c r="G852" s="510"/>
      <c r="H852" s="510"/>
      <c r="I852" s="510"/>
      <c r="J852" s="510"/>
      <c r="K852" s="510"/>
      <c r="L852" s="510"/>
      <c r="M852" s="510"/>
      <c r="N852" s="510"/>
      <c r="O852" s="510"/>
      <c r="P852" s="510"/>
      <c r="Q852" s="510"/>
      <c r="R852" s="510"/>
      <c r="S852" s="510"/>
      <c r="T852" s="510"/>
      <c r="U852" s="510"/>
      <c r="V852" s="510"/>
      <c r="W852" s="510"/>
      <c r="X852" s="510"/>
      <c r="Y852" s="510"/>
      <c r="Z852" s="510"/>
      <c r="AA852" s="510"/>
      <c r="AB852" s="510"/>
      <c r="AC852" s="510"/>
      <c r="AD852" s="510"/>
    </row>
    <row r="853" ht="28.5" customHeight="1">
      <c r="A853" s="288"/>
      <c r="B853" s="510"/>
      <c r="C853" s="510"/>
      <c r="D853" s="288"/>
      <c r="E853" s="511"/>
      <c r="F853" s="510"/>
      <c r="G853" s="510"/>
      <c r="H853" s="510"/>
      <c r="I853" s="510"/>
      <c r="J853" s="510"/>
      <c r="K853" s="510"/>
      <c r="L853" s="510"/>
      <c r="M853" s="510"/>
      <c r="N853" s="510"/>
      <c r="O853" s="510"/>
      <c r="P853" s="510"/>
      <c r="Q853" s="510"/>
      <c r="R853" s="510"/>
      <c r="S853" s="510"/>
      <c r="T853" s="510"/>
      <c r="U853" s="510"/>
      <c r="V853" s="510"/>
      <c r="W853" s="510"/>
      <c r="X853" s="510"/>
      <c r="Y853" s="510"/>
      <c r="Z853" s="510"/>
      <c r="AA853" s="510"/>
      <c r="AB853" s="510"/>
      <c r="AC853" s="510"/>
      <c r="AD853" s="510"/>
    </row>
    <row r="854" ht="28.5" customHeight="1">
      <c r="A854" s="288"/>
      <c r="B854" s="510"/>
      <c r="C854" s="510"/>
      <c r="D854" s="288"/>
      <c r="E854" s="511"/>
      <c r="F854" s="510"/>
      <c r="G854" s="510"/>
      <c r="H854" s="510"/>
      <c r="I854" s="510"/>
      <c r="J854" s="510"/>
      <c r="K854" s="510"/>
      <c r="L854" s="510"/>
      <c r="M854" s="510"/>
      <c r="N854" s="510"/>
      <c r="O854" s="510"/>
      <c r="P854" s="510"/>
      <c r="Q854" s="510"/>
      <c r="R854" s="510"/>
      <c r="S854" s="510"/>
      <c r="T854" s="510"/>
      <c r="U854" s="510"/>
      <c r="V854" s="510"/>
      <c r="W854" s="510"/>
      <c r="X854" s="510"/>
      <c r="Y854" s="510"/>
      <c r="Z854" s="510"/>
      <c r="AA854" s="510"/>
      <c r="AB854" s="510"/>
      <c r="AC854" s="510"/>
      <c r="AD854" s="510"/>
    </row>
    <row r="855" ht="28.5" customHeight="1">
      <c r="A855" s="288"/>
      <c r="B855" s="510"/>
      <c r="C855" s="510"/>
      <c r="D855" s="288"/>
      <c r="E855" s="511"/>
      <c r="F855" s="510"/>
      <c r="G855" s="510"/>
      <c r="H855" s="510"/>
      <c r="I855" s="510"/>
      <c r="J855" s="510"/>
      <c r="K855" s="510"/>
      <c r="L855" s="510"/>
      <c r="M855" s="510"/>
      <c r="N855" s="510"/>
      <c r="O855" s="510"/>
      <c r="P855" s="510"/>
      <c r="Q855" s="510"/>
      <c r="R855" s="510"/>
      <c r="S855" s="510"/>
      <c r="T855" s="510"/>
      <c r="U855" s="510"/>
      <c r="V855" s="510"/>
      <c r="W855" s="510"/>
      <c r="X855" s="510"/>
      <c r="Y855" s="510"/>
      <c r="Z855" s="510"/>
      <c r="AA855" s="510"/>
      <c r="AB855" s="510"/>
      <c r="AC855" s="510"/>
      <c r="AD855" s="510"/>
    </row>
    <row r="856" ht="28.5" customHeight="1">
      <c r="A856" s="288"/>
      <c r="B856" s="510"/>
      <c r="C856" s="510"/>
      <c r="D856" s="288"/>
      <c r="E856" s="511"/>
      <c r="F856" s="510"/>
      <c r="G856" s="510"/>
      <c r="H856" s="510"/>
      <c r="I856" s="510"/>
      <c r="J856" s="510"/>
      <c r="K856" s="510"/>
      <c r="L856" s="510"/>
      <c r="M856" s="510"/>
      <c r="N856" s="510"/>
      <c r="O856" s="510"/>
      <c r="P856" s="510"/>
      <c r="Q856" s="510"/>
      <c r="R856" s="510"/>
      <c r="S856" s="510"/>
      <c r="T856" s="510"/>
      <c r="U856" s="510"/>
      <c r="V856" s="510"/>
      <c r="W856" s="510"/>
      <c r="X856" s="510"/>
      <c r="Y856" s="510"/>
      <c r="Z856" s="510"/>
      <c r="AA856" s="510"/>
      <c r="AB856" s="510"/>
      <c r="AC856" s="510"/>
      <c r="AD856" s="510"/>
    </row>
    <row r="857" ht="28.5" customHeight="1">
      <c r="A857" s="288"/>
      <c r="B857" s="510"/>
      <c r="C857" s="510"/>
      <c r="D857" s="288"/>
      <c r="E857" s="511"/>
      <c r="F857" s="510"/>
      <c r="G857" s="510"/>
      <c r="H857" s="510"/>
      <c r="I857" s="510"/>
      <c r="J857" s="510"/>
      <c r="K857" s="510"/>
      <c r="L857" s="510"/>
      <c r="M857" s="510"/>
      <c r="N857" s="510"/>
      <c r="O857" s="510"/>
      <c r="P857" s="510"/>
      <c r="Q857" s="510"/>
      <c r="R857" s="510"/>
      <c r="S857" s="510"/>
      <c r="T857" s="510"/>
      <c r="U857" s="510"/>
      <c r="V857" s="510"/>
      <c r="W857" s="510"/>
      <c r="X857" s="510"/>
      <c r="Y857" s="510"/>
      <c r="Z857" s="510"/>
      <c r="AA857" s="510"/>
      <c r="AB857" s="510"/>
      <c r="AC857" s="510"/>
      <c r="AD857" s="510"/>
    </row>
    <row r="858" ht="28.5" customHeight="1">
      <c r="A858" s="288"/>
      <c r="B858" s="510"/>
      <c r="C858" s="510"/>
      <c r="D858" s="288"/>
      <c r="E858" s="511"/>
      <c r="F858" s="510"/>
      <c r="G858" s="510"/>
      <c r="H858" s="510"/>
      <c r="I858" s="510"/>
      <c r="J858" s="510"/>
      <c r="K858" s="510"/>
      <c r="L858" s="510"/>
      <c r="M858" s="510"/>
      <c r="N858" s="510"/>
      <c r="O858" s="510"/>
      <c r="P858" s="510"/>
      <c r="Q858" s="510"/>
      <c r="R858" s="510"/>
      <c r="S858" s="510"/>
      <c r="T858" s="510"/>
      <c r="U858" s="510"/>
      <c r="V858" s="510"/>
      <c r="W858" s="510"/>
      <c r="X858" s="510"/>
      <c r="Y858" s="510"/>
      <c r="Z858" s="510"/>
      <c r="AA858" s="510"/>
      <c r="AB858" s="510"/>
      <c r="AC858" s="510"/>
      <c r="AD858" s="510"/>
    </row>
    <row r="859" ht="28.5" customHeight="1">
      <c r="A859" s="288"/>
      <c r="B859" s="510"/>
      <c r="C859" s="510"/>
      <c r="D859" s="288"/>
      <c r="E859" s="511"/>
      <c r="F859" s="510"/>
      <c r="G859" s="510"/>
      <c r="H859" s="510"/>
      <c r="I859" s="510"/>
      <c r="J859" s="510"/>
      <c r="K859" s="510"/>
      <c r="L859" s="510"/>
      <c r="M859" s="510"/>
      <c r="N859" s="510"/>
      <c r="O859" s="510"/>
      <c r="P859" s="510"/>
      <c r="Q859" s="510"/>
      <c r="R859" s="510"/>
      <c r="S859" s="510"/>
      <c r="T859" s="510"/>
      <c r="U859" s="510"/>
      <c r="V859" s="510"/>
      <c r="W859" s="510"/>
      <c r="X859" s="510"/>
      <c r="Y859" s="510"/>
      <c r="Z859" s="510"/>
      <c r="AA859" s="510"/>
      <c r="AB859" s="510"/>
      <c r="AC859" s="510"/>
      <c r="AD859" s="510"/>
    </row>
    <row r="860" ht="28.5" customHeight="1">
      <c r="A860" s="288"/>
      <c r="B860" s="510"/>
      <c r="C860" s="510"/>
      <c r="D860" s="288"/>
      <c r="E860" s="511"/>
      <c r="F860" s="510"/>
      <c r="G860" s="510"/>
      <c r="H860" s="510"/>
      <c r="I860" s="510"/>
      <c r="J860" s="510"/>
      <c r="K860" s="510"/>
      <c r="L860" s="510"/>
      <c r="M860" s="510"/>
      <c r="N860" s="510"/>
      <c r="O860" s="510"/>
      <c r="P860" s="510"/>
      <c r="Q860" s="510"/>
      <c r="R860" s="510"/>
      <c r="S860" s="510"/>
      <c r="T860" s="510"/>
      <c r="U860" s="510"/>
      <c r="V860" s="510"/>
      <c r="W860" s="510"/>
      <c r="X860" s="510"/>
      <c r="Y860" s="510"/>
      <c r="Z860" s="510"/>
      <c r="AA860" s="510"/>
      <c r="AB860" s="510"/>
      <c r="AC860" s="510"/>
      <c r="AD860" s="510"/>
    </row>
    <row r="861" ht="28.5" customHeight="1">
      <c r="A861" s="288"/>
      <c r="B861" s="510"/>
      <c r="C861" s="510"/>
      <c r="D861" s="288"/>
      <c r="E861" s="511"/>
      <c r="F861" s="510"/>
      <c r="G861" s="510"/>
      <c r="H861" s="510"/>
      <c r="I861" s="510"/>
      <c r="J861" s="510"/>
      <c r="K861" s="510"/>
      <c r="L861" s="510"/>
      <c r="M861" s="510"/>
      <c r="N861" s="510"/>
      <c r="O861" s="510"/>
      <c r="P861" s="510"/>
      <c r="Q861" s="510"/>
      <c r="R861" s="510"/>
      <c r="S861" s="510"/>
      <c r="T861" s="510"/>
      <c r="U861" s="510"/>
      <c r="V861" s="510"/>
      <c r="W861" s="510"/>
      <c r="X861" s="510"/>
      <c r="Y861" s="510"/>
      <c r="Z861" s="510"/>
      <c r="AA861" s="510"/>
      <c r="AB861" s="510"/>
      <c r="AC861" s="510"/>
      <c r="AD861" s="510"/>
    </row>
    <row r="862" ht="28.5" customHeight="1">
      <c r="A862" s="288"/>
      <c r="B862" s="510"/>
      <c r="C862" s="510"/>
      <c r="D862" s="288"/>
      <c r="E862" s="511"/>
      <c r="F862" s="510"/>
      <c r="G862" s="510"/>
      <c r="H862" s="510"/>
      <c r="I862" s="510"/>
      <c r="J862" s="510"/>
      <c r="K862" s="510"/>
      <c r="L862" s="510"/>
      <c r="M862" s="510"/>
      <c r="N862" s="510"/>
      <c r="O862" s="510"/>
      <c r="P862" s="510"/>
      <c r="Q862" s="510"/>
      <c r="R862" s="510"/>
      <c r="S862" s="510"/>
      <c r="T862" s="510"/>
      <c r="U862" s="510"/>
      <c r="V862" s="510"/>
      <c r="W862" s="510"/>
      <c r="X862" s="510"/>
      <c r="Y862" s="510"/>
      <c r="Z862" s="510"/>
      <c r="AA862" s="510"/>
      <c r="AB862" s="510"/>
      <c r="AC862" s="510"/>
      <c r="AD862" s="510"/>
    </row>
    <row r="863" ht="28.5" customHeight="1">
      <c r="A863" s="288"/>
      <c r="B863" s="510"/>
      <c r="C863" s="510"/>
      <c r="D863" s="288"/>
      <c r="E863" s="511"/>
      <c r="F863" s="510"/>
      <c r="G863" s="510"/>
      <c r="H863" s="510"/>
      <c r="I863" s="510"/>
      <c r="J863" s="510"/>
      <c r="K863" s="510"/>
      <c r="L863" s="510"/>
      <c r="M863" s="510"/>
      <c r="N863" s="510"/>
      <c r="O863" s="510"/>
      <c r="P863" s="510"/>
      <c r="Q863" s="510"/>
      <c r="R863" s="510"/>
      <c r="S863" s="510"/>
      <c r="T863" s="510"/>
      <c r="U863" s="510"/>
      <c r="V863" s="510"/>
      <c r="W863" s="510"/>
      <c r="X863" s="510"/>
      <c r="Y863" s="510"/>
      <c r="Z863" s="510"/>
      <c r="AA863" s="510"/>
      <c r="AB863" s="510"/>
      <c r="AC863" s="510"/>
      <c r="AD863" s="510"/>
    </row>
    <row r="864" ht="28.5" customHeight="1">
      <c r="A864" s="288"/>
      <c r="B864" s="510"/>
      <c r="C864" s="510"/>
      <c r="D864" s="288"/>
      <c r="E864" s="511"/>
      <c r="F864" s="510"/>
      <c r="G864" s="510"/>
      <c r="H864" s="510"/>
      <c r="I864" s="510"/>
      <c r="J864" s="510"/>
      <c r="K864" s="510"/>
      <c r="L864" s="510"/>
      <c r="M864" s="510"/>
      <c r="N864" s="510"/>
      <c r="O864" s="510"/>
      <c r="P864" s="510"/>
      <c r="Q864" s="510"/>
      <c r="R864" s="510"/>
      <c r="S864" s="510"/>
      <c r="T864" s="510"/>
      <c r="U864" s="510"/>
      <c r="V864" s="510"/>
      <c r="W864" s="510"/>
      <c r="X864" s="510"/>
      <c r="Y864" s="510"/>
      <c r="Z864" s="510"/>
      <c r="AA864" s="510"/>
      <c r="AB864" s="510"/>
      <c r="AC864" s="510"/>
      <c r="AD864" s="510"/>
    </row>
    <row r="865" ht="28.5" customHeight="1">
      <c r="A865" s="288"/>
      <c r="B865" s="510"/>
      <c r="C865" s="510"/>
      <c r="D865" s="288"/>
      <c r="E865" s="511"/>
      <c r="F865" s="510"/>
      <c r="G865" s="510"/>
      <c r="H865" s="510"/>
      <c r="I865" s="510"/>
      <c r="J865" s="510"/>
      <c r="K865" s="510"/>
      <c r="L865" s="510"/>
      <c r="M865" s="510"/>
      <c r="N865" s="510"/>
      <c r="O865" s="510"/>
      <c r="P865" s="510"/>
      <c r="Q865" s="510"/>
      <c r="R865" s="510"/>
      <c r="S865" s="510"/>
      <c r="T865" s="510"/>
      <c r="U865" s="510"/>
      <c r="V865" s="510"/>
      <c r="W865" s="510"/>
      <c r="X865" s="510"/>
      <c r="Y865" s="510"/>
      <c r="Z865" s="510"/>
      <c r="AA865" s="510"/>
      <c r="AB865" s="510"/>
      <c r="AC865" s="510"/>
      <c r="AD865" s="510"/>
    </row>
    <row r="866" ht="28.5" customHeight="1">
      <c r="A866" s="288"/>
      <c r="B866" s="510"/>
      <c r="C866" s="510"/>
      <c r="D866" s="288"/>
      <c r="E866" s="511"/>
      <c r="F866" s="510"/>
      <c r="G866" s="510"/>
      <c r="H866" s="510"/>
      <c r="I866" s="510"/>
      <c r="J866" s="510"/>
      <c r="K866" s="510"/>
      <c r="L866" s="510"/>
      <c r="M866" s="510"/>
      <c r="N866" s="510"/>
      <c r="O866" s="510"/>
      <c r="P866" s="510"/>
      <c r="Q866" s="510"/>
      <c r="R866" s="510"/>
      <c r="S866" s="510"/>
      <c r="T866" s="510"/>
      <c r="U866" s="510"/>
      <c r="V866" s="510"/>
      <c r="W866" s="510"/>
      <c r="X866" s="510"/>
      <c r="Y866" s="510"/>
      <c r="Z866" s="510"/>
      <c r="AA866" s="510"/>
      <c r="AB866" s="510"/>
      <c r="AC866" s="510"/>
      <c r="AD866" s="510"/>
    </row>
    <row r="867" ht="28.5" customHeight="1">
      <c r="A867" s="288"/>
      <c r="B867" s="510"/>
      <c r="C867" s="510"/>
      <c r="D867" s="288"/>
      <c r="E867" s="511"/>
      <c r="F867" s="510"/>
      <c r="G867" s="510"/>
      <c r="H867" s="510"/>
      <c r="I867" s="510"/>
      <c r="J867" s="510"/>
      <c r="K867" s="510"/>
      <c r="L867" s="510"/>
      <c r="M867" s="510"/>
      <c r="N867" s="510"/>
      <c r="O867" s="510"/>
      <c r="P867" s="510"/>
      <c r="Q867" s="510"/>
      <c r="R867" s="510"/>
      <c r="S867" s="510"/>
      <c r="T867" s="510"/>
      <c r="U867" s="510"/>
      <c r="V867" s="510"/>
      <c r="W867" s="510"/>
      <c r="X867" s="510"/>
      <c r="Y867" s="510"/>
      <c r="Z867" s="510"/>
      <c r="AA867" s="510"/>
      <c r="AB867" s="510"/>
      <c r="AC867" s="510"/>
      <c r="AD867" s="510"/>
    </row>
    <row r="868" ht="28.5" customHeight="1">
      <c r="A868" s="288"/>
      <c r="B868" s="510"/>
      <c r="C868" s="510"/>
      <c r="D868" s="288"/>
      <c r="E868" s="511"/>
      <c r="F868" s="510"/>
      <c r="G868" s="510"/>
      <c r="H868" s="510"/>
      <c r="I868" s="510"/>
      <c r="J868" s="510"/>
      <c r="K868" s="510"/>
      <c r="L868" s="510"/>
      <c r="M868" s="510"/>
      <c r="N868" s="510"/>
      <c r="O868" s="510"/>
      <c r="P868" s="510"/>
      <c r="Q868" s="510"/>
      <c r="R868" s="510"/>
      <c r="S868" s="510"/>
      <c r="T868" s="510"/>
      <c r="U868" s="510"/>
      <c r="V868" s="510"/>
      <c r="W868" s="510"/>
      <c r="X868" s="510"/>
      <c r="Y868" s="510"/>
      <c r="Z868" s="510"/>
      <c r="AA868" s="510"/>
      <c r="AB868" s="510"/>
      <c r="AC868" s="510"/>
      <c r="AD868" s="510"/>
    </row>
    <row r="869" ht="28.5" customHeight="1">
      <c r="A869" s="288"/>
      <c r="B869" s="510"/>
      <c r="C869" s="510"/>
      <c r="D869" s="288"/>
      <c r="E869" s="511"/>
      <c r="F869" s="510"/>
      <c r="G869" s="510"/>
      <c r="H869" s="510"/>
      <c r="I869" s="510"/>
      <c r="J869" s="510"/>
      <c r="K869" s="510"/>
      <c r="L869" s="510"/>
      <c r="M869" s="510"/>
      <c r="N869" s="510"/>
      <c r="O869" s="510"/>
      <c r="P869" s="510"/>
      <c r="Q869" s="510"/>
      <c r="R869" s="510"/>
      <c r="S869" s="510"/>
      <c r="T869" s="510"/>
      <c r="U869" s="510"/>
      <c r="V869" s="510"/>
      <c r="W869" s="510"/>
      <c r="X869" s="510"/>
      <c r="Y869" s="510"/>
      <c r="Z869" s="510"/>
      <c r="AA869" s="510"/>
      <c r="AB869" s="510"/>
      <c r="AC869" s="510"/>
      <c r="AD869" s="510"/>
    </row>
    <row r="870" ht="28.5" customHeight="1">
      <c r="A870" s="288"/>
      <c r="B870" s="510"/>
      <c r="C870" s="510"/>
      <c r="D870" s="288"/>
      <c r="E870" s="511"/>
      <c r="F870" s="510"/>
      <c r="G870" s="510"/>
      <c r="H870" s="510"/>
      <c r="I870" s="510"/>
      <c r="J870" s="510"/>
      <c r="K870" s="510"/>
      <c r="L870" s="510"/>
      <c r="M870" s="510"/>
      <c r="N870" s="510"/>
      <c r="O870" s="510"/>
      <c r="P870" s="510"/>
      <c r="Q870" s="510"/>
      <c r="R870" s="510"/>
      <c r="S870" s="510"/>
      <c r="T870" s="510"/>
      <c r="U870" s="510"/>
      <c r="V870" s="510"/>
      <c r="W870" s="510"/>
      <c r="X870" s="510"/>
      <c r="Y870" s="510"/>
      <c r="Z870" s="510"/>
      <c r="AA870" s="510"/>
      <c r="AB870" s="510"/>
      <c r="AC870" s="510"/>
      <c r="AD870" s="510"/>
    </row>
    <row r="871" ht="28.5" customHeight="1">
      <c r="A871" s="288"/>
      <c r="B871" s="510"/>
      <c r="C871" s="510"/>
      <c r="D871" s="288"/>
      <c r="E871" s="511"/>
      <c r="F871" s="510"/>
      <c r="G871" s="510"/>
      <c r="H871" s="510"/>
      <c r="I871" s="510"/>
      <c r="J871" s="510"/>
      <c r="K871" s="510"/>
      <c r="L871" s="510"/>
      <c r="M871" s="510"/>
      <c r="N871" s="510"/>
      <c r="O871" s="510"/>
      <c r="P871" s="510"/>
      <c r="Q871" s="510"/>
      <c r="R871" s="510"/>
      <c r="S871" s="510"/>
      <c r="T871" s="510"/>
      <c r="U871" s="510"/>
      <c r="V871" s="510"/>
      <c r="W871" s="510"/>
      <c r="X871" s="510"/>
      <c r="Y871" s="510"/>
      <c r="Z871" s="510"/>
      <c r="AA871" s="510"/>
      <c r="AB871" s="510"/>
      <c r="AC871" s="510"/>
      <c r="AD871" s="510"/>
    </row>
    <row r="872" ht="28.5" customHeight="1">
      <c r="A872" s="288"/>
      <c r="B872" s="510"/>
      <c r="C872" s="510"/>
      <c r="D872" s="288"/>
      <c r="E872" s="511"/>
      <c r="F872" s="510"/>
      <c r="G872" s="510"/>
      <c r="H872" s="510"/>
      <c r="I872" s="510"/>
      <c r="J872" s="510"/>
      <c r="K872" s="510"/>
      <c r="L872" s="510"/>
      <c r="M872" s="510"/>
      <c r="N872" s="510"/>
      <c r="O872" s="510"/>
      <c r="P872" s="510"/>
      <c r="Q872" s="510"/>
      <c r="R872" s="510"/>
      <c r="S872" s="510"/>
      <c r="T872" s="510"/>
      <c r="U872" s="510"/>
      <c r="V872" s="510"/>
      <c r="W872" s="510"/>
      <c r="X872" s="510"/>
      <c r="Y872" s="510"/>
      <c r="Z872" s="510"/>
      <c r="AA872" s="510"/>
      <c r="AB872" s="510"/>
      <c r="AC872" s="510"/>
      <c r="AD872" s="510"/>
    </row>
    <row r="873" ht="28.5" customHeight="1">
      <c r="A873" s="288"/>
      <c r="B873" s="510"/>
      <c r="C873" s="510"/>
      <c r="D873" s="288"/>
      <c r="E873" s="511"/>
      <c r="F873" s="510"/>
      <c r="G873" s="510"/>
      <c r="H873" s="510"/>
      <c r="I873" s="510"/>
      <c r="J873" s="510"/>
      <c r="K873" s="510"/>
      <c r="L873" s="510"/>
      <c r="M873" s="510"/>
      <c r="N873" s="510"/>
      <c r="O873" s="510"/>
      <c r="P873" s="510"/>
      <c r="Q873" s="510"/>
      <c r="R873" s="510"/>
      <c r="S873" s="510"/>
      <c r="T873" s="510"/>
      <c r="U873" s="510"/>
      <c r="V873" s="510"/>
      <c r="W873" s="510"/>
      <c r="X873" s="510"/>
      <c r="Y873" s="510"/>
      <c r="Z873" s="510"/>
      <c r="AA873" s="510"/>
      <c r="AB873" s="510"/>
      <c r="AC873" s="510"/>
      <c r="AD873" s="510"/>
    </row>
    <row r="874" ht="28.5" customHeight="1">
      <c r="A874" s="288"/>
      <c r="B874" s="510"/>
      <c r="C874" s="510"/>
      <c r="D874" s="288"/>
      <c r="E874" s="511"/>
      <c r="F874" s="510"/>
      <c r="G874" s="510"/>
      <c r="H874" s="510"/>
      <c r="I874" s="510"/>
      <c r="J874" s="510"/>
      <c r="K874" s="510"/>
      <c r="L874" s="510"/>
      <c r="M874" s="510"/>
      <c r="N874" s="510"/>
      <c r="O874" s="510"/>
      <c r="P874" s="510"/>
      <c r="Q874" s="510"/>
      <c r="R874" s="510"/>
      <c r="S874" s="510"/>
      <c r="T874" s="510"/>
      <c r="U874" s="510"/>
      <c r="V874" s="510"/>
      <c r="W874" s="510"/>
      <c r="X874" s="510"/>
      <c r="Y874" s="510"/>
      <c r="Z874" s="510"/>
      <c r="AA874" s="510"/>
      <c r="AB874" s="510"/>
      <c r="AC874" s="510"/>
      <c r="AD874" s="510"/>
    </row>
    <row r="875" ht="28.5" customHeight="1">
      <c r="A875" s="288"/>
      <c r="B875" s="510"/>
      <c r="C875" s="510"/>
      <c r="D875" s="288"/>
      <c r="E875" s="511"/>
      <c r="F875" s="510"/>
      <c r="G875" s="510"/>
      <c r="H875" s="510"/>
      <c r="I875" s="510"/>
      <c r="J875" s="510"/>
      <c r="K875" s="510"/>
      <c r="L875" s="510"/>
      <c r="M875" s="510"/>
      <c r="N875" s="510"/>
      <c r="O875" s="510"/>
      <c r="P875" s="510"/>
      <c r="Q875" s="510"/>
      <c r="R875" s="510"/>
      <c r="S875" s="510"/>
      <c r="T875" s="510"/>
      <c r="U875" s="510"/>
      <c r="V875" s="510"/>
      <c r="W875" s="510"/>
      <c r="X875" s="510"/>
      <c r="Y875" s="510"/>
      <c r="Z875" s="510"/>
      <c r="AA875" s="510"/>
      <c r="AB875" s="510"/>
      <c r="AC875" s="510"/>
      <c r="AD875" s="510"/>
    </row>
    <row r="876" ht="28.5" customHeight="1">
      <c r="A876" s="288"/>
      <c r="B876" s="510"/>
      <c r="C876" s="510"/>
      <c r="D876" s="288"/>
      <c r="E876" s="511"/>
      <c r="F876" s="510"/>
      <c r="G876" s="510"/>
      <c r="H876" s="510"/>
      <c r="I876" s="510"/>
      <c r="J876" s="510"/>
      <c r="K876" s="510"/>
      <c r="L876" s="510"/>
      <c r="M876" s="510"/>
      <c r="N876" s="510"/>
      <c r="O876" s="510"/>
      <c r="P876" s="510"/>
      <c r="Q876" s="510"/>
      <c r="R876" s="510"/>
      <c r="S876" s="510"/>
      <c r="T876" s="510"/>
      <c r="U876" s="510"/>
      <c r="V876" s="510"/>
      <c r="W876" s="510"/>
      <c r="X876" s="510"/>
      <c r="Y876" s="510"/>
      <c r="Z876" s="510"/>
      <c r="AA876" s="510"/>
      <c r="AB876" s="510"/>
      <c r="AC876" s="510"/>
      <c r="AD876" s="510"/>
    </row>
    <row r="877" ht="28.5" customHeight="1">
      <c r="A877" s="288"/>
      <c r="B877" s="510"/>
      <c r="C877" s="510"/>
      <c r="D877" s="288"/>
      <c r="E877" s="511"/>
      <c r="F877" s="510"/>
      <c r="G877" s="510"/>
      <c r="H877" s="510"/>
      <c r="I877" s="510"/>
      <c r="J877" s="510"/>
      <c r="K877" s="510"/>
      <c r="L877" s="510"/>
      <c r="M877" s="510"/>
      <c r="N877" s="510"/>
      <c r="O877" s="510"/>
      <c r="P877" s="510"/>
      <c r="Q877" s="510"/>
      <c r="R877" s="510"/>
      <c r="S877" s="510"/>
      <c r="T877" s="510"/>
      <c r="U877" s="510"/>
      <c r="V877" s="510"/>
      <c r="W877" s="510"/>
      <c r="X877" s="510"/>
      <c r="Y877" s="510"/>
      <c r="Z877" s="510"/>
      <c r="AA877" s="510"/>
      <c r="AB877" s="510"/>
      <c r="AC877" s="510"/>
      <c r="AD877" s="510"/>
    </row>
    <row r="878" ht="28.5" customHeight="1">
      <c r="A878" s="288"/>
      <c r="B878" s="510"/>
      <c r="C878" s="510"/>
      <c r="D878" s="288"/>
      <c r="E878" s="511"/>
      <c r="F878" s="510"/>
      <c r="G878" s="510"/>
      <c r="H878" s="510"/>
      <c r="I878" s="510"/>
      <c r="J878" s="510"/>
      <c r="K878" s="510"/>
      <c r="L878" s="510"/>
      <c r="M878" s="510"/>
      <c r="N878" s="510"/>
      <c r="O878" s="510"/>
      <c r="P878" s="510"/>
      <c r="Q878" s="510"/>
      <c r="R878" s="510"/>
      <c r="S878" s="510"/>
      <c r="T878" s="510"/>
      <c r="U878" s="510"/>
      <c r="V878" s="510"/>
      <c r="W878" s="510"/>
      <c r="X878" s="510"/>
      <c r="Y878" s="510"/>
      <c r="Z878" s="510"/>
      <c r="AA878" s="510"/>
      <c r="AB878" s="510"/>
      <c r="AC878" s="510"/>
      <c r="AD878" s="510"/>
    </row>
    <row r="879" ht="28.5" customHeight="1">
      <c r="A879" s="288"/>
      <c r="B879" s="510"/>
      <c r="C879" s="510"/>
      <c r="D879" s="288"/>
      <c r="E879" s="511"/>
      <c r="F879" s="510"/>
      <c r="G879" s="510"/>
      <c r="H879" s="510"/>
      <c r="I879" s="510"/>
      <c r="J879" s="510"/>
      <c r="K879" s="510"/>
      <c r="L879" s="510"/>
      <c r="M879" s="510"/>
      <c r="N879" s="510"/>
      <c r="O879" s="510"/>
      <c r="P879" s="510"/>
      <c r="Q879" s="510"/>
      <c r="R879" s="510"/>
      <c r="S879" s="510"/>
      <c r="T879" s="510"/>
      <c r="U879" s="510"/>
      <c r="V879" s="510"/>
      <c r="W879" s="510"/>
      <c r="X879" s="510"/>
      <c r="Y879" s="510"/>
      <c r="Z879" s="510"/>
      <c r="AA879" s="510"/>
      <c r="AB879" s="510"/>
      <c r="AC879" s="510"/>
      <c r="AD879" s="510"/>
    </row>
    <row r="880" ht="28.5" customHeight="1">
      <c r="A880" s="288"/>
      <c r="B880" s="510"/>
      <c r="C880" s="510"/>
      <c r="D880" s="288"/>
      <c r="E880" s="511"/>
      <c r="F880" s="510"/>
      <c r="G880" s="510"/>
      <c r="H880" s="510"/>
      <c r="I880" s="510"/>
      <c r="J880" s="510"/>
      <c r="K880" s="510"/>
      <c r="L880" s="510"/>
      <c r="M880" s="510"/>
      <c r="N880" s="510"/>
      <c r="O880" s="510"/>
      <c r="P880" s="510"/>
      <c r="Q880" s="510"/>
      <c r="R880" s="510"/>
      <c r="S880" s="510"/>
      <c r="T880" s="510"/>
      <c r="U880" s="510"/>
      <c r="V880" s="510"/>
      <c r="W880" s="510"/>
      <c r="X880" s="510"/>
      <c r="Y880" s="510"/>
      <c r="Z880" s="510"/>
      <c r="AA880" s="510"/>
      <c r="AB880" s="510"/>
      <c r="AC880" s="510"/>
      <c r="AD880" s="510"/>
    </row>
    <row r="881" ht="28.5" customHeight="1">
      <c r="A881" s="288"/>
      <c r="B881" s="510"/>
      <c r="C881" s="510"/>
      <c r="D881" s="288"/>
      <c r="E881" s="511"/>
      <c r="F881" s="510"/>
      <c r="G881" s="510"/>
      <c r="H881" s="510"/>
      <c r="I881" s="510"/>
      <c r="J881" s="510"/>
      <c r="K881" s="510"/>
      <c r="L881" s="510"/>
      <c r="M881" s="510"/>
      <c r="N881" s="510"/>
      <c r="O881" s="510"/>
      <c r="P881" s="510"/>
      <c r="Q881" s="510"/>
      <c r="R881" s="510"/>
      <c r="S881" s="510"/>
      <c r="T881" s="510"/>
      <c r="U881" s="510"/>
      <c r="V881" s="510"/>
      <c r="W881" s="510"/>
      <c r="X881" s="510"/>
      <c r="Y881" s="510"/>
      <c r="Z881" s="510"/>
      <c r="AA881" s="510"/>
      <c r="AB881" s="510"/>
      <c r="AC881" s="510"/>
      <c r="AD881" s="510"/>
    </row>
    <row r="882" ht="28.5" customHeight="1">
      <c r="A882" s="288"/>
      <c r="B882" s="510"/>
      <c r="C882" s="510"/>
      <c r="D882" s="288"/>
      <c r="E882" s="511"/>
      <c r="F882" s="510"/>
      <c r="G882" s="510"/>
      <c r="H882" s="510"/>
      <c r="I882" s="510"/>
      <c r="J882" s="510"/>
      <c r="K882" s="510"/>
      <c r="L882" s="510"/>
      <c r="M882" s="510"/>
      <c r="N882" s="510"/>
      <c r="O882" s="510"/>
      <c r="P882" s="510"/>
      <c r="Q882" s="510"/>
      <c r="R882" s="510"/>
      <c r="S882" s="510"/>
      <c r="T882" s="510"/>
      <c r="U882" s="510"/>
      <c r="V882" s="510"/>
      <c r="W882" s="510"/>
      <c r="X882" s="510"/>
      <c r="Y882" s="510"/>
      <c r="Z882" s="510"/>
      <c r="AA882" s="510"/>
      <c r="AB882" s="510"/>
      <c r="AC882" s="510"/>
      <c r="AD882" s="510"/>
    </row>
    <row r="883" ht="28.5" customHeight="1">
      <c r="A883" s="288"/>
      <c r="B883" s="510"/>
      <c r="C883" s="510"/>
      <c r="D883" s="288"/>
      <c r="E883" s="511"/>
      <c r="F883" s="510"/>
      <c r="G883" s="510"/>
      <c r="H883" s="510"/>
      <c r="I883" s="510"/>
      <c r="J883" s="510"/>
      <c r="K883" s="510"/>
      <c r="L883" s="510"/>
      <c r="M883" s="510"/>
      <c r="N883" s="510"/>
      <c r="O883" s="510"/>
      <c r="P883" s="510"/>
      <c r="Q883" s="510"/>
      <c r="R883" s="510"/>
      <c r="S883" s="510"/>
      <c r="T883" s="510"/>
      <c r="U883" s="510"/>
      <c r="V883" s="510"/>
      <c r="W883" s="510"/>
      <c r="X883" s="510"/>
      <c r="Y883" s="510"/>
      <c r="Z883" s="510"/>
      <c r="AA883" s="510"/>
      <c r="AB883" s="510"/>
      <c r="AC883" s="510"/>
      <c r="AD883" s="510"/>
    </row>
    <row r="884" ht="28.5" customHeight="1">
      <c r="A884" s="288"/>
      <c r="B884" s="510"/>
      <c r="C884" s="510"/>
      <c r="D884" s="288"/>
      <c r="E884" s="511"/>
      <c r="F884" s="510"/>
      <c r="G884" s="510"/>
      <c r="H884" s="510"/>
      <c r="I884" s="510"/>
      <c r="J884" s="510"/>
      <c r="K884" s="510"/>
      <c r="L884" s="510"/>
      <c r="M884" s="510"/>
      <c r="N884" s="510"/>
      <c r="O884" s="510"/>
      <c r="P884" s="510"/>
      <c r="Q884" s="510"/>
      <c r="R884" s="510"/>
      <c r="S884" s="510"/>
      <c r="T884" s="510"/>
      <c r="U884" s="510"/>
      <c r="V884" s="510"/>
      <c r="W884" s="510"/>
      <c r="X884" s="510"/>
      <c r="Y884" s="510"/>
      <c r="Z884" s="510"/>
      <c r="AA884" s="510"/>
      <c r="AB884" s="510"/>
      <c r="AC884" s="510"/>
      <c r="AD884" s="510"/>
    </row>
    <row r="885" ht="28.5" customHeight="1">
      <c r="A885" s="288"/>
      <c r="B885" s="510"/>
      <c r="C885" s="510"/>
      <c r="D885" s="288"/>
      <c r="E885" s="511"/>
      <c r="F885" s="510"/>
      <c r="G885" s="510"/>
      <c r="H885" s="510"/>
      <c r="I885" s="510"/>
      <c r="J885" s="510"/>
      <c r="K885" s="510"/>
      <c r="L885" s="510"/>
      <c r="M885" s="510"/>
      <c r="N885" s="510"/>
      <c r="O885" s="510"/>
      <c r="P885" s="510"/>
      <c r="Q885" s="510"/>
      <c r="R885" s="510"/>
      <c r="S885" s="510"/>
      <c r="T885" s="510"/>
      <c r="U885" s="510"/>
      <c r="V885" s="510"/>
      <c r="W885" s="510"/>
      <c r="X885" s="510"/>
      <c r="Y885" s="510"/>
      <c r="Z885" s="510"/>
      <c r="AA885" s="510"/>
      <c r="AB885" s="510"/>
      <c r="AC885" s="510"/>
      <c r="AD885" s="510"/>
    </row>
    <row r="886" ht="28.5" customHeight="1">
      <c r="A886" s="288"/>
      <c r="B886" s="510"/>
      <c r="C886" s="510"/>
      <c r="D886" s="288"/>
      <c r="E886" s="511"/>
      <c r="F886" s="510"/>
      <c r="G886" s="510"/>
      <c r="H886" s="510"/>
      <c r="I886" s="510"/>
      <c r="J886" s="510"/>
      <c r="K886" s="510"/>
      <c r="L886" s="510"/>
      <c r="M886" s="510"/>
      <c r="N886" s="510"/>
      <c r="O886" s="510"/>
      <c r="P886" s="510"/>
      <c r="Q886" s="510"/>
      <c r="R886" s="510"/>
      <c r="S886" s="510"/>
      <c r="T886" s="510"/>
      <c r="U886" s="510"/>
      <c r="V886" s="510"/>
      <c r="W886" s="510"/>
      <c r="X886" s="510"/>
      <c r="Y886" s="510"/>
      <c r="Z886" s="510"/>
      <c r="AA886" s="510"/>
      <c r="AB886" s="510"/>
      <c r="AC886" s="510"/>
      <c r="AD886" s="510"/>
    </row>
    <row r="887" ht="28.5" customHeight="1">
      <c r="A887" s="288"/>
      <c r="B887" s="510"/>
      <c r="C887" s="510"/>
      <c r="D887" s="288"/>
      <c r="E887" s="511"/>
      <c r="F887" s="510"/>
      <c r="G887" s="510"/>
      <c r="H887" s="510"/>
      <c r="I887" s="510"/>
      <c r="J887" s="510"/>
      <c r="K887" s="510"/>
      <c r="L887" s="510"/>
      <c r="M887" s="510"/>
      <c r="N887" s="510"/>
      <c r="O887" s="510"/>
      <c r="P887" s="510"/>
      <c r="Q887" s="510"/>
      <c r="R887" s="510"/>
      <c r="S887" s="510"/>
      <c r="T887" s="510"/>
      <c r="U887" s="510"/>
      <c r="V887" s="510"/>
      <c r="W887" s="510"/>
      <c r="X887" s="510"/>
      <c r="Y887" s="510"/>
      <c r="Z887" s="510"/>
      <c r="AA887" s="510"/>
      <c r="AB887" s="510"/>
      <c r="AC887" s="510"/>
      <c r="AD887" s="510"/>
    </row>
    <row r="888" ht="28.5" customHeight="1">
      <c r="A888" s="288"/>
      <c r="B888" s="510"/>
      <c r="C888" s="510"/>
      <c r="D888" s="288"/>
      <c r="E888" s="511"/>
      <c r="F888" s="510"/>
      <c r="G888" s="510"/>
      <c r="H888" s="510"/>
      <c r="I888" s="510"/>
      <c r="J888" s="510"/>
      <c r="K888" s="510"/>
      <c r="L888" s="510"/>
      <c r="M888" s="510"/>
      <c r="N888" s="510"/>
      <c r="O888" s="510"/>
      <c r="P888" s="510"/>
      <c r="Q888" s="510"/>
      <c r="R888" s="510"/>
      <c r="S888" s="510"/>
      <c r="T888" s="510"/>
      <c r="U888" s="510"/>
      <c r="V888" s="510"/>
      <c r="W888" s="510"/>
      <c r="X888" s="510"/>
      <c r="Y888" s="510"/>
      <c r="Z888" s="510"/>
      <c r="AA888" s="510"/>
      <c r="AB888" s="510"/>
      <c r="AC888" s="510"/>
      <c r="AD888" s="510"/>
    </row>
    <row r="889" ht="28.5" customHeight="1">
      <c r="A889" s="288"/>
      <c r="B889" s="510"/>
      <c r="C889" s="510"/>
      <c r="D889" s="288"/>
      <c r="E889" s="511"/>
      <c r="F889" s="510"/>
      <c r="G889" s="510"/>
      <c r="H889" s="510"/>
      <c r="I889" s="510"/>
      <c r="J889" s="510"/>
      <c r="K889" s="510"/>
      <c r="L889" s="510"/>
      <c r="M889" s="510"/>
      <c r="N889" s="510"/>
      <c r="O889" s="510"/>
      <c r="P889" s="510"/>
      <c r="Q889" s="510"/>
      <c r="R889" s="510"/>
      <c r="S889" s="510"/>
      <c r="T889" s="510"/>
      <c r="U889" s="510"/>
      <c r="V889" s="510"/>
      <c r="W889" s="510"/>
      <c r="X889" s="510"/>
      <c r="Y889" s="510"/>
      <c r="Z889" s="510"/>
      <c r="AA889" s="510"/>
      <c r="AB889" s="510"/>
      <c r="AC889" s="510"/>
      <c r="AD889" s="510"/>
    </row>
    <row r="890" ht="28.5" customHeight="1">
      <c r="A890" s="288"/>
      <c r="B890" s="510"/>
      <c r="C890" s="510"/>
      <c r="D890" s="288"/>
      <c r="E890" s="511"/>
      <c r="F890" s="510"/>
      <c r="G890" s="510"/>
      <c r="H890" s="510"/>
      <c r="I890" s="510"/>
      <c r="J890" s="510"/>
      <c r="K890" s="510"/>
      <c r="L890" s="510"/>
      <c r="M890" s="510"/>
      <c r="N890" s="510"/>
      <c r="O890" s="510"/>
      <c r="P890" s="510"/>
      <c r="Q890" s="510"/>
      <c r="R890" s="510"/>
      <c r="S890" s="510"/>
      <c r="T890" s="510"/>
      <c r="U890" s="510"/>
      <c r="V890" s="510"/>
      <c r="W890" s="510"/>
      <c r="X890" s="510"/>
      <c r="Y890" s="510"/>
      <c r="Z890" s="510"/>
      <c r="AA890" s="510"/>
      <c r="AB890" s="510"/>
      <c r="AC890" s="510"/>
      <c r="AD890" s="510"/>
    </row>
    <row r="891" ht="28.5" customHeight="1">
      <c r="A891" s="288"/>
      <c r="B891" s="510"/>
      <c r="C891" s="510"/>
      <c r="D891" s="288"/>
      <c r="E891" s="511"/>
      <c r="F891" s="510"/>
      <c r="G891" s="510"/>
      <c r="H891" s="510"/>
      <c r="I891" s="510"/>
      <c r="J891" s="510"/>
      <c r="K891" s="510"/>
      <c r="L891" s="510"/>
      <c r="M891" s="510"/>
      <c r="N891" s="510"/>
      <c r="O891" s="510"/>
      <c r="P891" s="510"/>
      <c r="Q891" s="510"/>
      <c r="R891" s="510"/>
      <c r="S891" s="510"/>
      <c r="T891" s="510"/>
      <c r="U891" s="510"/>
      <c r="V891" s="510"/>
      <c r="W891" s="510"/>
      <c r="X891" s="510"/>
      <c r="Y891" s="510"/>
      <c r="Z891" s="510"/>
      <c r="AA891" s="510"/>
      <c r="AB891" s="510"/>
      <c r="AC891" s="510"/>
      <c r="AD891" s="510"/>
    </row>
    <row r="892" ht="28.5" customHeight="1">
      <c r="A892" s="288"/>
      <c r="B892" s="510"/>
      <c r="C892" s="510"/>
      <c r="D892" s="288"/>
      <c r="E892" s="511"/>
      <c r="F892" s="510"/>
      <c r="G892" s="510"/>
      <c r="H892" s="510"/>
      <c r="I892" s="510"/>
      <c r="J892" s="510"/>
      <c r="K892" s="510"/>
      <c r="L892" s="510"/>
      <c r="M892" s="510"/>
      <c r="N892" s="510"/>
      <c r="O892" s="510"/>
      <c r="P892" s="510"/>
      <c r="Q892" s="510"/>
      <c r="R892" s="510"/>
      <c r="S892" s="510"/>
      <c r="T892" s="510"/>
      <c r="U892" s="510"/>
      <c r="V892" s="510"/>
      <c r="W892" s="510"/>
      <c r="X892" s="510"/>
      <c r="Y892" s="510"/>
      <c r="Z892" s="510"/>
      <c r="AA892" s="510"/>
      <c r="AB892" s="510"/>
      <c r="AC892" s="510"/>
      <c r="AD892" s="510"/>
    </row>
    <row r="893" ht="28.5" customHeight="1">
      <c r="A893" s="288"/>
      <c r="B893" s="510"/>
      <c r="C893" s="510"/>
      <c r="D893" s="288"/>
      <c r="E893" s="511"/>
      <c r="F893" s="510"/>
      <c r="G893" s="510"/>
      <c r="H893" s="510"/>
      <c r="I893" s="510"/>
      <c r="J893" s="510"/>
      <c r="K893" s="510"/>
      <c r="L893" s="510"/>
      <c r="M893" s="510"/>
      <c r="N893" s="510"/>
      <c r="O893" s="510"/>
      <c r="P893" s="510"/>
      <c r="Q893" s="510"/>
      <c r="R893" s="510"/>
      <c r="S893" s="510"/>
      <c r="T893" s="510"/>
      <c r="U893" s="510"/>
      <c r="V893" s="510"/>
      <c r="W893" s="510"/>
      <c r="X893" s="510"/>
      <c r="Y893" s="510"/>
      <c r="Z893" s="510"/>
      <c r="AA893" s="510"/>
      <c r="AB893" s="510"/>
      <c r="AC893" s="510"/>
      <c r="AD893" s="510"/>
    </row>
    <row r="894" ht="28.5" customHeight="1">
      <c r="A894" s="288"/>
      <c r="B894" s="510"/>
      <c r="C894" s="510"/>
      <c r="D894" s="288"/>
      <c r="E894" s="511"/>
      <c r="F894" s="510"/>
      <c r="G894" s="510"/>
      <c r="H894" s="510"/>
      <c r="I894" s="510"/>
      <c r="J894" s="510"/>
      <c r="K894" s="510"/>
      <c r="L894" s="510"/>
      <c r="M894" s="510"/>
      <c r="N894" s="510"/>
      <c r="O894" s="510"/>
      <c r="P894" s="510"/>
      <c r="Q894" s="510"/>
      <c r="R894" s="510"/>
      <c r="S894" s="510"/>
      <c r="T894" s="510"/>
      <c r="U894" s="510"/>
      <c r="V894" s="510"/>
      <c r="W894" s="510"/>
      <c r="X894" s="510"/>
      <c r="Y894" s="510"/>
      <c r="Z894" s="510"/>
      <c r="AA894" s="510"/>
      <c r="AB894" s="510"/>
      <c r="AC894" s="510"/>
      <c r="AD894" s="510"/>
    </row>
    <row r="895" ht="28.5" customHeight="1">
      <c r="A895" s="288"/>
      <c r="B895" s="510"/>
      <c r="C895" s="510"/>
      <c r="D895" s="288"/>
      <c r="E895" s="511"/>
      <c r="F895" s="510"/>
      <c r="G895" s="510"/>
      <c r="H895" s="510"/>
      <c r="I895" s="510"/>
      <c r="J895" s="510"/>
      <c r="K895" s="510"/>
      <c r="L895" s="510"/>
      <c r="M895" s="510"/>
      <c r="N895" s="510"/>
      <c r="O895" s="510"/>
      <c r="P895" s="510"/>
      <c r="Q895" s="510"/>
      <c r="R895" s="510"/>
      <c r="S895" s="510"/>
      <c r="T895" s="510"/>
      <c r="U895" s="510"/>
      <c r="V895" s="510"/>
      <c r="W895" s="510"/>
      <c r="X895" s="510"/>
      <c r="Y895" s="510"/>
      <c r="Z895" s="510"/>
      <c r="AA895" s="510"/>
      <c r="AB895" s="510"/>
      <c r="AC895" s="510"/>
      <c r="AD895" s="510"/>
    </row>
    <row r="896" ht="28.5" customHeight="1">
      <c r="A896" s="288"/>
      <c r="B896" s="510"/>
      <c r="C896" s="510"/>
      <c r="D896" s="288"/>
      <c r="E896" s="511"/>
      <c r="F896" s="510"/>
      <c r="G896" s="510"/>
      <c r="H896" s="510"/>
      <c r="I896" s="510"/>
      <c r="J896" s="510"/>
      <c r="K896" s="510"/>
      <c r="L896" s="510"/>
      <c r="M896" s="510"/>
      <c r="N896" s="510"/>
      <c r="O896" s="510"/>
      <c r="P896" s="510"/>
      <c r="Q896" s="510"/>
      <c r="R896" s="510"/>
      <c r="S896" s="510"/>
      <c r="T896" s="510"/>
      <c r="U896" s="510"/>
      <c r="V896" s="510"/>
      <c r="W896" s="510"/>
      <c r="X896" s="510"/>
      <c r="Y896" s="510"/>
      <c r="Z896" s="510"/>
      <c r="AA896" s="510"/>
      <c r="AB896" s="510"/>
      <c r="AC896" s="510"/>
      <c r="AD896" s="510"/>
    </row>
    <row r="897" ht="28.5" customHeight="1">
      <c r="A897" s="288"/>
      <c r="B897" s="510"/>
      <c r="C897" s="510"/>
      <c r="D897" s="288"/>
      <c r="E897" s="511"/>
      <c r="F897" s="510"/>
      <c r="G897" s="510"/>
      <c r="H897" s="510"/>
      <c r="I897" s="510"/>
      <c r="J897" s="510"/>
      <c r="K897" s="510"/>
      <c r="L897" s="510"/>
      <c r="M897" s="510"/>
      <c r="N897" s="510"/>
      <c r="O897" s="510"/>
      <c r="P897" s="510"/>
      <c r="Q897" s="510"/>
      <c r="R897" s="510"/>
      <c r="S897" s="510"/>
      <c r="T897" s="510"/>
      <c r="U897" s="510"/>
      <c r="V897" s="510"/>
      <c r="W897" s="510"/>
      <c r="X897" s="510"/>
      <c r="Y897" s="510"/>
      <c r="Z897" s="510"/>
      <c r="AA897" s="510"/>
      <c r="AB897" s="510"/>
      <c r="AC897" s="510"/>
      <c r="AD897" s="510"/>
    </row>
    <row r="898" ht="28.5" customHeight="1">
      <c r="A898" s="288"/>
      <c r="B898" s="510"/>
      <c r="C898" s="510"/>
      <c r="D898" s="288"/>
      <c r="E898" s="511"/>
      <c r="F898" s="510"/>
      <c r="G898" s="510"/>
      <c r="H898" s="510"/>
      <c r="I898" s="510"/>
      <c r="J898" s="510"/>
      <c r="K898" s="510"/>
      <c r="L898" s="510"/>
      <c r="M898" s="510"/>
      <c r="N898" s="510"/>
      <c r="O898" s="510"/>
      <c r="P898" s="510"/>
      <c r="Q898" s="510"/>
      <c r="R898" s="510"/>
      <c r="S898" s="510"/>
      <c r="T898" s="510"/>
      <c r="U898" s="510"/>
      <c r="V898" s="510"/>
      <c r="W898" s="510"/>
      <c r="X898" s="510"/>
      <c r="Y898" s="510"/>
      <c r="Z898" s="510"/>
      <c r="AA898" s="510"/>
      <c r="AB898" s="510"/>
      <c r="AC898" s="510"/>
      <c r="AD898" s="510"/>
    </row>
    <row r="899" ht="28.5" customHeight="1">
      <c r="A899" s="288"/>
      <c r="B899" s="510"/>
      <c r="C899" s="510"/>
      <c r="D899" s="288"/>
      <c r="E899" s="511"/>
      <c r="F899" s="510"/>
      <c r="G899" s="510"/>
      <c r="H899" s="510"/>
      <c r="I899" s="510"/>
      <c r="J899" s="510"/>
      <c r="K899" s="510"/>
      <c r="L899" s="510"/>
      <c r="M899" s="510"/>
      <c r="N899" s="510"/>
      <c r="O899" s="510"/>
      <c r="P899" s="510"/>
      <c r="Q899" s="510"/>
      <c r="R899" s="510"/>
      <c r="S899" s="510"/>
      <c r="T899" s="510"/>
      <c r="U899" s="510"/>
      <c r="V899" s="510"/>
      <c r="W899" s="510"/>
      <c r="X899" s="510"/>
      <c r="Y899" s="510"/>
      <c r="Z899" s="510"/>
      <c r="AA899" s="510"/>
      <c r="AB899" s="510"/>
      <c r="AC899" s="510"/>
      <c r="AD899" s="510"/>
    </row>
    <row r="900" ht="28.5" customHeight="1">
      <c r="A900" s="288"/>
      <c r="B900" s="510"/>
      <c r="C900" s="510"/>
      <c r="D900" s="288"/>
      <c r="E900" s="511"/>
      <c r="F900" s="510"/>
      <c r="G900" s="510"/>
      <c r="H900" s="510"/>
      <c r="I900" s="510"/>
      <c r="J900" s="510"/>
      <c r="K900" s="510"/>
      <c r="L900" s="510"/>
      <c r="M900" s="510"/>
      <c r="N900" s="510"/>
      <c r="O900" s="510"/>
      <c r="P900" s="510"/>
      <c r="Q900" s="510"/>
      <c r="R900" s="510"/>
      <c r="S900" s="510"/>
      <c r="T900" s="510"/>
      <c r="U900" s="510"/>
      <c r="V900" s="510"/>
      <c r="W900" s="510"/>
      <c r="X900" s="510"/>
      <c r="Y900" s="510"/>
      <c r="Z900" s="510"/>
      <c r="AA900" s="510"/>
      <c r="AB900" s="510"/>
      <c r="AC900" s="510"/>
      <c r="AD900" s="510"/>
    </row>
    <row r="901" ht="28.5" customHeight="1">
      <c r="A901" s="288"/>
      <c r="B901" s="510"/>
      <c r="C901" s="510"/>
      <c r="D901" s="288"/>
      <c r="E901" s="511"/>
      <c r="F901" s="510"/>
      <c r="G901" s="510"/>
      <c r="H901" s="510"/>
      <c r="I901" s="510"/>
      <c r="J901" s="510"/>
      <c r="K901" s="510"/>
      <c r="L901" s="510"/>
      <c r="M901" s="510"/>
      <c r="N901" s="510"/>
      <c r="O901" s="510"/>
      <c r="P901" s="510"/>
      <c r="Q901" s="510"/>
      <c r="R901" s="510"/>
      <c r="S901" s="510"/>
      <c r="T901" s="510"/>
      <c r="U901" s="510"/>
      <c r="V901" s="510"/>
      <c r="W901" s="510"/>
      <c r="X901" s="510"/>
      <c r="Y901" s="510"/>
      <c r="Z901" s="510"/>
      <c r="AA901" s="510"/>
      <c r="AB901" s="510"/>
      <c r="AC901" s="510"/>
      <c r="AD901" s="510"/>
    </row>
    <row r="902" ht="28.5" customHeight="1">
      <c r="A902" s="288"/>
      <c r="B902" s="510"/>
      <c r="C902" s="510"/>
      <c r="D902" s="288"/>
      <c r="E902" s="511"/>
      <c r="F902" s="510"/>
      <c r="G902" s="510"/>
      <c r="H902" s="510"/>
      <c r="I902" s="510"/>
      <c r="J902" s="510"/>
      <c r="K902" s="510"/>
      <c r="L902" s="510"/>
      <c r="M902" s="510"/>
      <c r="N902" s="510"/>
      <c r="O902" s="510"/>
      <c r="P902" s="510"/>
      <c r="Q902" s="510"/>
      <c r="R902" s="510"/>
      <c r="S902" s="510"/>
      <c r="T902" s="510"/>
      <c r="U902" s="510"/>
      <c r="V902" s="510"/>
      <c r="W902" s="510"/>
      <c r="X902" s="510"/>
      <c r="Y902" s="510"/>
      <c r="Z902" s="510"/>
      <c r="AA902" s="510"/>
      <c r="AB902" s="510"/>
      <c r="AC902" s="510"/>
      <c r="AD902" s="510"/>
    </row>
    <row r="903" ht="28.5" customHeight="1">
      <c r="A903" s="288"/>
      <c r="B903" s="510"/>
      <c r="C903" s="510"/>
      <c r="D903" s="288"/>
      <c r="E903" s="511"/>
      <c r="F903" s="510"/>
      <c r="G903" s="510"/>
      <c r="H903" s="510"/>
      <c r="I903" s="510"/>
      <c r="J903" s="510"/>
      <c r="K903" s="510"/>
      <c r="L903" s="510"/>
      <c r="M903" s="510"/>
      <c r="N903" s="510"/>
      <c r="O903" s="510"/>
      <c r="P903" s="510"/>
      <c r="Q903" s="510"/>
      <c r="R903" s="510"/>
      <c r="S903" s="510"/>
      <c r="T903" s="510"/>
      <c r="U903" s="510"/>
      <c r="V903" s="510"/>
      <c r="W903" s="510"/>
      <c r="X903" s="510"/>
      <c r="Y903" s="510"/>
      <c r="Z903" s="510"/>
      <c r="AA903" s="510"/>
      <c r="AB903" s="510"/>
      <c r="AC903" s="510"/>
      <c r="AD903" s="510"/>
    </row>
    <row r="904" ht="28.5" customHeight="1">
      <c r="A904" s="288"/>
      <c r="B904" s="510"/>
      <c r="C904" s="510"/>
      <c r="D904" s="288"/>
      <c r="E904" s="511"/>
      <c r="F904" s="510"/>
      <c r="G904" s="510"/>
      <c r="H904" s="510"/>
      <c r="I904" s="510"/>
      <c r="J904" s="510"/>
      <c r="K904" s="510"/>
      <c r="L904" s="510"/>
      <c r="M904" s="510"/>
      <c r="N904" s="510"/>
      <c r="O904" s="510"/>
      <c r="P904" s="510"/>
      <c r="Q904" s="510"/>
      <c r="R904" s="510"/>
      <c r="S904" s="510"/>
      <c r="T904" s="510"/>
      <c r="U904" s="510"/>
      <c r="V904" s="510"/>
      <c r="W904" s="510"/>
      <c r="X904" s="510"/>
      <c r="Y904" s="510"/>
      <c r="Z904" s="510"/>
      <c r="AA904" s="510"/>
      <c r="AB904" s="510"/>
      <c r="AC904" s="510"/>
      <c r="AD904" s="510"/>
    </row>
    <row r="905" ht="28.5" customHeight="1">
      <c r="A905" s="288"/>
      <c r="B905" s="510"/>
      <c r="C905" s="510"/>
      <c r="D905" s="288"/>
      <c r="E905" s="511"/>
      <c r="F905" s="510"/>
      <c r="G905" s="510"/>
      <c r="H905" s="510"/>
      <c r="I905" s="510"/>
      <c r="J905" s="510"/>
      <c r="K905" s="510"/>
      <c r="L905" s="510"/>
      <c r="M905" s="510"/>
      <c r="N905" s="510"/>
      <c r="O905" s="510"/>
      <c r="P905" s="510"/>
      <c r="Q905" s="510"/>
      <c r="R905" s="510"/>
      <c r="S905" s="510"/>
      <c r="T905" s="510"/>
      <c r="U905" s="510"/>
      <c r="V905" s="510"/>
      <c r="W905" s="510"/>
      <c r="X905" s="510"/>
      <c r="Y905" s="510"/>
      <c r="Z905" s="510"/>
      <c r="AA905" s="510"/>
      <c r="AB905" s="510"/>
      <c r="AC905" s="510"/>
      <c r="AD905" s="510"/>
    </row>
    <row r="906" ht="28.5" customHeight="1">
      <c r="A906" s="288"/>
      <c r="B906" s="510"/>
      <c r="C906" s="510"/>
      <c r="D906" s="288"/>
      <c r="E906" s="511"/>
      <c r="F906" s="510"/>
      <c r="G906" s="510"/>
      <c r="H906" s="510"/>
      <c r="I906" s="510"/>
      <c r="J906" s="510"/>
      <c r="K906" s="510"/>
      <c r="L906" s="510"/>
      <c r="M906" s="510"/>
      <c r="N906" s="510"/>
      <c r="O906" s="510"/>
      <c r="P906" s="510"/>
      <c r="Q906" s="510"/>
      <c r="R906" s="510"/>
      <c r="S906" s="510"/>
      <c r="T906" s="510"/>
      <c r="U906" s="510"/>
      <c r="V906" s="510"/>
      <c r="W906" s="510"/>
      <c r="X906" s="510"/>
      <c r="Y906" s="510"/>
      <c r="Z906" s="510"/>
      <c r="AA906" s="510"/>
      <c r="AB906" s="510"/>
      <c r="AC906" s="510"/>
      <c r="AD906" s="510"/>
    </row>
    <row r="907" ht="28.5" customHeight="1">
      <c r="A907" s="288"/>
      <c r="B907" s="510"/>
      <c r="C907" s="510"/>
      <c r="D907" s="288"/>
      <c r="E907" s="511"/>
      <c r="F907" s="510"/>
      <c r="G907" s="510"/>
      <c r="H907" s="510"/>
      <c r="I907" s="510"/>
      <c r="J907" s="510"/>
      <c r="K907" s="510"/>
      <c r="L907" s="510"/>
      <c r="M907" s="510"/>
      <c r="N907" s="510"/>
      <c r="O907" s="510"/>
      <c r="P907" s="510"/>
      <c r="Q907" s="510"/>
      <c r="R907" s="510"/>
      <c r="S907" s="510"/>
      <c r="T907" s="510"/>
      <c r="U907" s="510"/>
      <c r="V907" s="510"/>
      <c r="W907" s="510"/>
      <c r="X907" s="510"/>
      <c r="Y907" s="510"/>
      <c r="Z907" s="510"/>
      <c r="AA907" s="510"/>
      <c r="AB907" s="510"/>
      <c r="AC907" s="510"/>
      <c r="AD907" s="510"/>
    </row>
    <row r="908" ht="28.5" customHeight="1">
      <c r="A908" s="288"/>
      <c r="B908" s="510"/>
      <c r="C908" s="510"/>
      <c r="D908" s="288"/>
      <c r="E908" s="511"/>
      <c r="F908" s="510"/>
      <c r="G908" s="510"/>
      <c r="H908" s="510"/>
      <c r="I908" s="510"/>
      <c r="J908" s="510"/>
      <c r="K908" s="510"/>
      <c r="L908" s="510"/>
      <c r="M908" s="510"/>
      <c r="N908" s="510"/>
      <c r="O908" s="510"/>
      <c r="P908" s="510"/>
      <c r="Q908" s="510"/>
      <c r="R908" s="510"/>
      <c r="S908" s="510"/>
      <c r="T908" s="510"/>
      <c r="U908" s="510"/>
      <c r="V908" s="510"/>
      <c r="W908" s="510"/>
      <c r="X908" s="510"/>
      <c r="Y908" s="510"/>
      <c r="Z908" s="510"/>
      <c r="AA908" s="510"/>
      <c r="AB908" s="510"/>
      <c r="AC908" s="510"/>
      <c r="AD908" s="510"/>
    </row>
    <row r="909" ht="28.5" customHeight="1">
      <c r="A909" s="288"/>
      <c r="B909" s="510"/>
      <c r="C909" s="510"/>
      <c r="D909" s="288"/>
      <c r="E909" s="511"/>
      <c r="F909" s="510"/>
      <c r="G909" s="510"/>
      <c r="H909" s="510"/>
      <c r="I909" s="510"/>
      <c r="J909" s="510"/>
      <c r="K909" s="510"/>
      <c r="L909" s="510"/>
      <c r="M909" s="510"/>
      <c r="N909" s="510"/>
      <c r="O909" s="510"/>
      <c r="P909" s="510"/>
      <c r="Q909" s="510"/>
      <c r="R909" s="510"/>
      <c r="S909" s="510"/>
      <c r="T909" s="510"/>
      <c r="U909" s="510"/>
      <c r="V909" s="510"/>
      <c r="W909" s="510"/>
      <c r="X909" s="510"/>
      <c r="Y909" s="510"/>
      <c r="Z909" s="510"/>
      <c r="AA909" s="510"/>
      <c r="AB909" s="510"/>
      <c r="AC909" s="510"/>
      <c r="AD909" s="510"/>
    </row>
    <row r="910" ht="28.5" customHeight="1">
      <c r="A910" s="288"/>
      <c r="B910" s="510"/>
      <c r="C910" s="510"/>
      <c r="D910" s="288"/>
      <c r="E910" s="511"/>
      <c r="F910" s="510"/>
      <c r="G910" s="510"/>
      <c r="H910" s="510"/>
      <c r="I910" s="510"/>
      <c r="J910" s="510"/>
      <c r="K910" s="510"/>
      <c r="L910" s="510"/>
      <c r="M910" s="510"/>
      <c r="N910" s="510"/>
      <c r="O910" s="510"/>
      <c r="P910" s="510"/>
      <c r="Q910" s="510"/>
      <c r="R910" s="510"/>
      <c r="S910" s="510"/>
      <c r="T910" s="510"/>
      <c r="U910" s="510"/>
      <c r="V910" s="510"/>
      <c r="W910" s="510"/>
      <c r="X910" s="510"/>
      <c r="Y910" s="510"/>
      <c r="Z910" s="510"/>
      <c r="AA910" s="510"/>
      <c r="AB910" s="510"/>
      <c r="AC910" s="510"/>
      <c r="AD910" s="510"/>
    </row>
    <row r="911" ht="28.5" customHeight="1">
      <c r="A911" s="288"/>
      <c r="B911" s="510"/>
      <c r="C911" s="510"/>
      <c r="D911" s="288"/>
      <c r="E911" s="511"/>
      <c r="F911" s="510"/>
      <c r="G911" s="510"/>
      <c r="H911" s="510"/>
      <c r="I911" s="510"/>
      <c r="J911" s="510"/>
      <c r="K911" s="510"/>
      <c r="L911" s="510"/>
      <c r="M911" s="510"/>
      <c r="N911" s="510"/>
      <c r="O911" s="510"/>
      <c r="P911" s="510"/>
      <c r="Q911" s="510"/>
      <c r="R911" s="510"/>
      <c r="S911" s="510"/>
      <c r="T911" s="510"/>
      <c r="U911" s="510"/>
      <c r="V911" s="510"/>
      <c r="W911" s="510"/>
      <c r="X911" s="510"/>
      <c r="Y911" s="510"/>
      <c r="Z911" s="510"/>
      <c r="AA911" s="510"/>
      <c r="AB911" s="510"/>
      <c r="AC911" s="510"/>
      <c r="AD911" s="510"/>
    </row>
    <row r="912" ht="28.5" customHeight="1">
      <c r="A912" s="288"/>
      <c r="B912" s="510"/>
      <c r="C912" s="510"/>
      <c r="D912" s="288"/>
      <c r="E912" s="511"/>
      <c r="F912" s="510"/>
      <c r="G912" s="510"/>
      <c r="H912" s="510"/>
      <c r="I912" s="510"/>
      <c r="J912" s="510"/>
      <c r="K912" s="510"/>
      <c r="L912" s="510"/>
      <c r="M912" s="510"/>
      <c r="N912" s="510"/>
      <c r="O912" s="510"/>
      <c r="P912" s="510"/>
      <c r="Q912" s="510"/>
      <c r="R912" s="510"/>
      <c r="S912" s="510"/>
      <c r="T912" s="510"/>
      <c r="U912" s="510"/>
      <c r="V912" s="510"/>
      <c r="W912" s="510"/>
      <c r="X912" s="510"/>
      <c r="Y912" s="510"/>
      <c r="Z912" s="510"/>
      <c r="AA912" s="510"/>
      <c r="AB912" s="510"/>
      <c r="AC912" s="510"/>
      <c r="AD912" s="510"/>
    </row>
    <row r="913" ht="28.5" customHeight="1">
      <c r="A913" s="288"/>
      <c r="B913" s="510"/>
      <c r="C913" s="510"/>
      <c r="D913" s="288"/>
      <c r="E913" s="511"/>
      <c r="F913" s="510"/>
      <c r="G913" s="510"/>
      <c r="H913" s="510"/>
      <c r="I913" s="510"/>
      <c r="J913" s="510"/>
      <c r="K913" s="510"/>
      <c r="L913" s="510"/>
      <c r="M913" s="510"/>
      <c r="N913" s="510"/>
      <c r="O913" s="510"/>
      <c r="P913" s="510"/>
      <c r="Q913" s="510"/>
      <c r="R913" s="510"/>
      <c r="S913" s="510"/>
      <c r="T913" s="510"/>
      <c r="U913" s="510"/>
      <c r="V913" s="510"/>
      <c r="W913" s="510"/>
      <c r="X913" s="510"/>
      <c r="Y913" s="510"/>
      <c r="Z913" s="510"/>
      <c r="AA913" s="510"/>
      <c r="AB913" s="510"/>
      <c r="AC913" s="510"/>
      <c r="AD913" s="510"/>
    </row>
    <row r="914" ht="28.5" customHeight="1">
      <c r="A914" s="288"/>
      <c r="B914" s="510"/>
      <c r="C914" s="510"/>
      <c r="D914" s="288"/>
      <c r="E914" s="511"/>
      <c r="F914" s="510"/>
      <c r="G914" s="510"/>
      <c r="H914" s="510"/>
      <c r="I914" s="510"/>
      <c r="J914" s="510"/>
      <c r="K914" s="510"/>
      <c r="L914" s="510"/>
      <c r="M914" s="510"/>
      <c r="N914" s="510"/>
      <c r="O914" s="510"/>
      <c r="P914" s="510"/>
      <c r="Q914" s="510"/>
      <c r="R914" s="510"/>
      <c r="S914" s="510"/>
      <c r="T914" s="510"/>
      <c r="U914" s="510"/>
      <c r="V914" s="510"/>
      <c r="W914" s="510"/>
      <c r="X914" s="510"/>
      <c r="Y914" s="510"/>
      <c r="Z914" s="510"/>
      <c r="AA914" s="510"/>
      <c r="AB914" s="510"/>
      <c r="AC914" s="510"/>
      <c r="AD914" s="510"/>
    </row>
    <row r="915" ht="28.5" customHeight="1">
      <c r="A915" s="288"/>
      <c r="B915" s="510"/>
      <c r="C915" s="510"/>
      <c r="D915" s="288"/>
      <c r="E915" s="511"/>
      <c r="F915" s="510"/>
      <c r="G915" s="510"/>
      <c r="H915" s="510"/>
      <c r="I915" s="510"/>
      <c r="J915" s="510"/>
      <c r="K915" s="510"/>
      <c r="L915" s="510"/>
      <c r="M915" s="510"/>
      <c r="N915" s="510"/>
      <c r="O915" s="510"/>
      <c r="P915" s="510"/>
      <c r="Q915" s="510"/>
      <c r="R915" s="510"/>
      <c r="S915" s="510"/>
      <c r="T915" s="510"/>
      <c r="U915" s="510"/>
      <c r="V915" s="510"/>
      <c r="W915" s="510"/>
      <c r="X915" s="510"/>
      <c r="Y915" s="510"/>
      <c r="Z915" s="510"/>
      <c r="AA915" s="510"/>
      <c r="AB915" s="510"/>
      <c r="AC915" s="510"/>
      <c r="AD915" s="510"/>
    </row>
    <row r="916" ht="28.5" customHeight="1">
      <c r="A916" s="288"/>
      <c r="B916" s="510"/>
      <c r="C916" s="510"/>
      <c r="D916" s="288"/>
      <c r="E916" s="511"/>
      <c r="F916" s="510"/>
      <c r="G916" s="510"/>
      <c r="H916" s="510"/>
      <c r="I916" s="510"/>
      <c r="J916" s="510"/>
      <c r="K916" s="510"/>
      <c r="L916" s="510"/>
      <c r="M916" s="510"/>
      <c r="N916" s="510"/>
      <c r="O916" s="510"/>
      <c r="P916" s="510"/>
      <c r="Q916" s="510"/>
      <c r="R916" s="510"/>
      <c r="S916" s="510"/>
      <c r="T916" s="510"/>
      <c r="U916" s="510"/>
      <c r="V916" s="510"/>
      <c r="W916" s="510"/>
      <c r="X916" s="510"/>
      <c r="Y916" s="510"/>
      <c r="Z916" s="510"/>
      <c r="AA916" s="510"/>
      <c r="AB916" s="510"/>
      <c r="AC916" s="510"/>
      <c r="AD916" s="510"/>
    </row>
    <row r="917" ht="28.5" customHeight="1">
      <c r="A917" s="288"/>
      <c r="B917" s="510"/>
      <c r="C917" s="510"/>
      <c r="D917" s="288"/>
      <c r="E917" s="511"/>
      <c r="F917" s="510"/>
      <c r="G917" s="510"/>
      <c r="H917" s="510"/>
      <c r="I917" s="510"/>
      <c r="J917" s="510"/>
      <c r="K917" s="510"/>
      <c r="L917" s="510"/>
      <c r="M917" s="510"/>
      <c r="N917" s="510"/>
      <c r="O917" s="510"/>
      <c r="P917" s="510"/>
      <c r="Q917" s="510"/>
      <c r="R917" s="510"/>
      <c r="S917" s="510"/>
      <c r="T917" s="510"/>
      <c r="U917" s="510"/>
      <c r="V917" s="510"/>
      <c r="W917" s="510"/>
      <c r="X917" s="510"/>
      <c r="Y917" s="510"/>
      <c r="Z917" s="510"/>
      <c r="AA917" s="510"/>
      <c r="AB917" s="510"/>
      <c r="AC917" s="510"/>
      <c r="AD917" s="510"/>
    </row>
    <row r="918" ht="28.5" customHeight="1">
      <c r="A918" s="288"/>
      <c r="B918" s="510"/>
      <c r="C918" s="510"/>
      <c r="D918" s="288"/>
      <c r="E918" s="511"/>
      <c r="F918" s="510"/>
      <c r="G918" s="510"/>
      <c r="H918" s="510"/>
      <c r="I918" s="510"/>
      <c r="J918" s="510"/>
      <c r="K918" s="510"/>
      <c r="L918" s="510"/>
      <c r="M918" s="510"/>
      <c r="N918" s="510"/>
      <c r="O918" s="510"/>
      <c r="P918" s="510"/>
      <c r="Q918" s="510"/>
      <c r="R918" s="510"/>
      <c r="S918" s="510"/>
      <c r="T918" s="510"/>
      <c r="U918" s="510"/>
      <c r="V918" s="510"/>
      <c r="W918" s="510"/>
      <c r="X918" s="510"/>
      <c r="Y918" s="510"/>
      <c r="Z918" s="510"/>
      <c r="AA918" s="510"/>
      <c r="AB918" s="510"/>
      <c r="AC918" s="510"/>
      <c r="AD918" s="510"/>
    </row>
    <row r="919" ht="28.5" customHeight="1">
      <c r="A919" s="288"/>
      <c r="B919" s="510"/>
      <c r="C919" s="510"/>
      <c r="D919" s="288"/>
      <c r="E919" s="511"/>
      <c r="F919" s="510"/>
      <c r="G919" s="510"/>
      <c r="H919" s="510"/>
      <c r="I919" s="510"/>
      <c r="J919" s="510"/>
      <c r="K919" s="510"/>
      <c r="L919" s="510"/>
      <c r="M919" s="510"/>
      <c r="N919" s="510"/>
      <c r="O919" s="510"/>
      <c r="P919" s="510"/>
      <c r="Q919" s="510"/>
      <c r="R919" s="510"/>
      <c r="S919" s="510"/>
      <c r="T919" s="510"/>
      <c r="U919" s="510"/>
      <c r="V919" s="510"/>
      <c r="W919" s="510"/>
      <c r="X919" s="510"/>
      <c r="Y919" s="510"/>
      <c r="Z919" s="510"/>
      <c r="AA919" s="510"/>
      <c r="AB919" s="510"/>
      <c r="AC919" s="510"/>
      <c r="AD919" s="510"/>
    </row>
    <row r="920" ht="28.5" customHeight="1">
      <c r="A920" s="288"/>
      <c r="B920" s="510"/>
      <c r="C920" s="510"/>
      <c r="D920" s="288"/>
      <c r="E920" s="511"/>
      <c r="F920" s="510"/>
      <c r="G920" s="510"/>
      <c r="H920" s="510"/>
      <c r="I920" s="510"/>
      <c r="J920" s="510"/>
      <c r="K920" s="510"/>
      <c r="L920" s="510"/>
      <c r="M920" s="510"/>
      <c r="N920" s="510"/>
      <c r="O920" s="510"/>
      <c r="P920" s="510"/>
      <c r="Q920" s="510"/>
      <c r="R920" s="510"/>
      <c r="S920" s="510"/>
      <c r="T920" s="510"/>
      <c r="U920" s="510"/>
      <c r="V920" s="510"/>
      <c r="W920" s="510"/>
      <c r="X920" s="510"/>
      <c r="Y920" s="510"/>
      <c r="Z920" s="510"/>
      <c r="AA920" s="510"/>
      <c r="AB920" s="510"/>
      <c r="AC920" s="510"/>
      <c r="AD920" s="510"/>
    </row>
    <row r="921" ht="28.5" customHeight="1">
      <c r="A921" s="288"/>
      <c r="B921" s="510"/>
      <c r="C921" s="510"/>
      <c r="D921" s="288"/>
      <c r="E921" s="511"/>
      <c r="F921" s="510"/>
      <c r="G921" s="510"/>
      <c r="H921" s="510"/>
      <c r="I921" s="510"/>
      <c r="J921" s="510"/>
      <c r="K921" s="510"/>
      <c r="L921" s="510"/>
      <c r="M921" s="510"/>
      <c r="N921" s="510"/>
      <c r="O921" s="510"/>
      <c r="P921" s="510"/>
      <c r="Q921" s="510"/>
      <c r="R921" s="510"/>
      <c r="S921" s="510"/>
      <c r="T921" s="510"/>
      <c r="U921" s="510"/>
      <c r="V921" s="510"/>
      <c r="W921" s="510"/>
      <c r="X921" s="510"/>
      <c r="Y921" s="510"/>
      <c r="Z921" s="510"/>
      <c r="AA921" s="510"/>
      <c r="AB921" s="510"/>
      <c r="AC921" s="510"/>
      <c r="AD921" s="510"/>
    </row>
    <row r="922" ht="28.5" customHeight="1">
      <c r="A922" s="288"/>
      <c r="B922" s="510"/>
      <c r="C922" s="510"/>
      <c r="D922" s="288"/>
      <c r="E922" s="511"/>
      <c r="F922" s="510"/>
      <c r="G922" s="510"/>
      <c r="H922" s="510"/>
      <c r="I922" s="510"/>
      <c r="J922" s="510"/>
      <c r="K922" s="510"/>
      <c r="L922" s="510"/>
      <c r="M922" s="510"/>
      <c r="N922" s="510"/>
      <c r="O922" s="510"/>
      <c r="P922" s="510"/>
      <c r="Q922" s="510"/>
      <c r="R922" s="510"/>
      <c r="S922" s="510"/>
      <c r="T922" s="510"/>
      <c r="U922" s="510"/>
      <c r="V922" s="510"/>
      <c r="W922" s="510"/>
      <c r="X922" s="510"/>
      <c r="Y922" s="510"/>
      <c r="Z922" s="510"/>
      <c r="AA922" s="510"/>
      <c r="AB922" s="510"/>
      <c r="AC922" s="510"/>
      <c r="AD922" s="510"/>
    </row>
    <row r="923" ht="28.5" customHeight="1">
      <c r="A923" s="288"/>
      <c r="B923" s="510"/>
      <c r="C923" s="510"/>
      <c r="D923" s="288"/>
      <c r="E923" s="511"/>
      <c r="F923" s="510"/>
      <c r="G923" s="510"/>
      <c r="H923" s="510"/>
      <c r="I923" s="510"/>
      <c r="J923" s="510"/>
      <c r="K923" s="510"/>
      <c r="L923" s="510"/>
      <c r="M923" s="510"/>
      <c r="N923" s="510"/>
      <c r="O923" s="510"/>
      <c r="P923" s="510"/>
      <c r="Q923" s="510"/>
      <c r="R923" s="510"/>
      <c r="S923" s="510"/>
      <c r="T923" s="510"/>
      <c r="U923" s="510"/>
      <c r="V923" s="510"/>
      <c r="W923" s="510"/>
      <c r="X923" s="510"/>
      <c r="Y923" s="510"/>
      <c r="Z923" s="510"/>
      <c r="AA923" s="510"/>
      <c r="AB923" s="510"/>
      <c r="AC923" s="510"/>
      <c r="AD923" s="510"/>
    </row>
    <row r="924" ht="28.5" customHeight="1">
      <c r="A924" s="288"/>
      <c r="B924" s="510"/>
      <c r="C924" s="510"/>
      <c r="D924" s="288"/>
      <c r="E924" s="511"/>
      <c r="F924" s="510"/>
      <c r="G924" s="510"/>
      <c r="H924" s="510"/>
      <c r="I924" s="510"/>
      <c r="J924" s="510"/>
      <c r="K924" s="510"/>
      <c r="L924" s="510"/>
      <c r="M924" s="510"/>
      <c r="N924" s="510"/>
      <c r="O924" s="510"/>
      <c r="P924" s="510"/>
      <c r="Q924" s="510"/>
      <c r="R924" s="510"/>
      <c r="S924" s="510"/>
      <c r="T924" s="510"/>
      <c r="U924" s="510"/>
      <c r="V924" s="510"/>
      <c r="W924" s="510"/>
      <c r="X924" s="510"/>
      <c r="Y924" s="510"/>
      <c r="Z924" s="510"/>
      <c r="AA924" s="510"/>
      <c r="AB924" s="510"/>
      <c r="AC924" s="510"/>
      <c r="AD924" s="510"/>
    </row>
    <row r="925" ht="28.5" customHeight="1">
      <c r="A925" s="288"/>
      <c r="B925" s="510"/>
      <c r="C925" s="510"/>
      <c r="D925" s="288"/>
      <c r="E925" s="511"/>
      <c r="F925" s="510"/>
      <c r="G925" s="510"/>
      <c r="H925" s="510"/>
      <c r="I925" s="510"/>
      <c r="J925" s="510"/>
      <c r="K925" s="510"/>
      <c r="L925" s="510"/>
      <c r="M925" s="510"/>
      <c r="N925" s="510"/>
      <c r="O925" s="510"/>
      <c r="P925" s="510"/>
      <c r="Q925" s="510"/>
      <c r="R925" s="510"/>
      <c r="S925" s="510"/>
      <c r="T925" s="510"/>
      <c r="U925" s="510"/>
      <c r="V925" s="510"/>
      <c r="W925" s="510"/>
      <c r="X925" s="510"/>
      <c r="Y925" s="510"/>
      <c r="Z925" s="510"/>
      <c r="AA925" s="510"/>
      <c r="AB925" s="510"/>
      <c r="AC925" s="510"/>
      <c r="AD925" s="510"/>
    </row>
    <row r="926" ht="28.5" customHeight="1">
      <c r="A926" s="288"/>
      <c r="B926" s="510"/>
      <c r="C926" s="510"/>
      <c r="D926" s="288"/>
      <c r="E926" s="511"/>
      <c r="F926" s="510"/>
      <c r="G926" s="510"/>
      <c r="H926" s="510"/>
      <c r="I926" s="510"/>
      <c r="J926" s="510"/>
      <c r="K926" s="510"/>
      <c r="L926" s="510"/>
      <c r="M926" s="510"/>
      <c r="N926" s="510"/>
      <c r="O926" s="510"/>
      <c r="P926" s="510"/>
      <c r="Q926" s="510"/>
      <c r="R926" s="510"/>
      <c r="S926" s="510"/>
      <c r="T926" s="510"/>
      <c r="U926" s="510"/>
      <c r="V926" s="510"/>
      <c r="W926" s="510"/>
      <c r="X926" s="510"/>
      <c r="Y926" s="510"/>
      <c r="Z926" s="510"/>
      <c r="AA926" s="510"/>
      <c r="AB926" s="510"/>
      <c r="AC926" s="510"/>
      <c r="AD926" s="510"/>
    </row>
    <row r="927" ht="28.5" customHeight="1">
      <c r="A927" s="288"/>
      <c r="B927" s="510"/>
      <c r="C927" s="510"/>
      <c r="D927" s="288"/>
      <c r="E927" s="511"/>
      <c r="F927" s="510"/>
      <c r="G927" s="510"/>
      <c r="H927" s="510"/>
      <c r="I927" s="510"/>
      <c r="J927" s="510"/>
      <c r="K927" s="510"/>
      <c r="L927" s="510"/>
      <c r="M927" s="510"/>
      <c r="N927" s="510"/>
      <c r="O927" s="510"/>
      <c r="P927" s="510"/>
      <c r="Q927" s="510"/>
      <c r="R927" s="510"/>
      <c r="S927" s="510"/>
      <c r="T927" s="510"/>
      <c r="U927" s="510"/>
      <c r="V927" s="510"/>
      <c r="W927" s="510"/>
      <c r="X927" s="510"/>
      <c r="Y927" s="510"/>
      <c r="Z927" s="510"/>
      <c r="AA927" s="510"/>
      <c r="AB927" s="510"/>
      <c r="AC927" s="510"/>
      <c r="AD927" s="510"/>
    </row>
    <row r="928" ht="28.5" customHeight="1">
      <c r="A928" s="288"/>
      <c r="B928" s="510"/>
      <c r="C928" s="510"/>
      <c r="D928" s="288"/>
      <c r="E928" s="511"/>
      <c r="F928" s="510"/>
      <c r="G928" s="510"/>
      <c r="H928" s="510"/>
      <c r="I928" s="510"/>
      <c r="J928" s="510"/>
      <c r="K928" s="510"/>
      <c r="L928" s="510"/>
      <c r="M928" s="510"/>
      <c r="N928" s="510"/>
      <c r="O928" s="510"/>
      <c r="P928" s="510"/>
      <c r="Q928" s="510"/>
      <c r="R928" s="510"/>
      <c r="S928" s="510"/>
      <c r="T928" s="510"/>
      <c r="U928" s="510"/>
      <c r="V928" s="510"/>
      <c r="W928" s="510"/>
      <c r="X928" s="510"/>
      <c r="Y928" s="510"/>
      <c r="Z928" s="510"/>
      <c r="AA928" s="510"/>
      <c r="AB928" s="510"/>
      <c r="AC928" s="510"/>
      <c r="AD928" s="510"/>
    </row>
    <row r="929" ht="28.5" customHeight="1">
      <c r="A929" s="288"/>
      <c r="B929" s="510"/>
      <c r="C929" s="510"/>
      <c r="D929" s="288"/>
      <c r="E929" s="511"/>
      <c r="F929" s="510"/>
      <c r="G929" s="510"/>
      <c r="H929" s="510"/>
      <c r="I929" s="510"/>
      <c r="J929" s="510"/>
      <c r="K929" s="510"/>
      <c r="L929" s="510"/>
      <c r="M929" s="510"/>
      <c r="N929" s="510"/>
      <c r="O929" s="510"/>
      <c r="P929" s="510"/>
      <c r="Q929" s="510"/>
      <c r="R929" s="510"/>
      <c r="S929" s="510"/>
      <c r="T929" s="510"/>
      <c r="U929" s="510"/>
      <c r="V929" s="510"/>
      <c r="W929" s="510"/>
      <c r="X929" s="510"/>
      <c r="Y929" s="510"/>
      <c r="Z929" s="510"/>
      <c r="AA929" s="510"/>
      <c r="AB929" s="510"/>
      <c r="AC929" s="510"/>
      <c r="AD929" s="510"/>
    </row>
    <row r="930" ht="28.5" customHeight="1">
      <c r="A930" s="288"/>
      <c r="B930" s="510"/>
      <c r="C930" s="510"/>
      <c r="D930" s="288"/>
      <c r="E930" s="511"/>
      <c r="F930" s="510"/>
      <c r="G930" s="510"/>
      <c r="H930" s="510"/>
      <c r="I930" s="510"/>
      <c r="J930" s="510"/>
      <c r="K930" s="510"/>
      <c r="L930" s="510"/>
      <c r="M930" s="510"/>
      <c r="N930" s="510"/>
      <c r="O930" s="510"/>
      <c r="P930" s="510"/>
      <c r="Q930" s="510"/>
      <c r="R930" s="510"/>
      <c r="S930" s="510"/>
      <c r="T930" s="510"/>
      <c r="U930" s="510"/>
      <c r="V930" s="510"/>
      <c r="W930" s="510"/>
      <c r="X930" s="510"/>
      <c r="Y930" s="510"/>
      <c r="Z930" s="510"/>
      <c r="AA930" s="510"/>
      <c r="AB930" s="510"/>
      <c r="AC930" s="510"/>
      <c r="AD930" s="510"/>
    </row>
    <row r="931" ht="28.5" customHeight="1">
      <c r="A931" s="288"/>
      <c r="B931" s="510"/>
      <c r="C931" s="510"/>
      <c r="D931" s="288"/>
      <c r="E931" s="511"/>
      <c r="F931" s="510"/>
      <c r="G931" s="510"/>
      <c r="H931" s="510"/>
      <c r="I931" s="510"/>
      <c r="J931" s="510"/>
      <c r="K931" s="510"/>
      <c r="L931" s="510"/>
      <c r="M931" s="510"/>
      <c r="N931" s="510"/>
      <c r="O931" s="510"/>
      <c r="P931" s="510"/>
      <c r="Q931" s="510"/>
      <c r="R931" s="510"/>
      <c r="S931" s="510"/>
      <c r="T931" s="510"/>
      <c r="U931" s="510"/>
      <c r="V931" s="510"/>
      <c r="W931" s="510"/>
      <c r="X931" s="510"/>
      <c r="Y931" s="510"/>
      <c r="Z931" s="510"/>
      <c r="AA931" s="510"/>
      <c r="AB931" s="510"/>
      <c r="AC931" s="510"/>
      <c r="AD931" s="510"/>
    </row>
    <row r="932" ht="28.5" customHeight="1">
      <c r="A932" s="288"/>
      <c r="B932" s="510"/>
      <c r="C932" s="510"/>
      <c r="D932" s="288"/>
      <c r="E932" s="511"/>
      <c r="F932" s="510"/>
      <c r="G932" s="510"/>
      <c r="H932" s="510"/>
      <c r="I932" s="510"/>
      <c r="J932" s="510"/>
      <c r="K932" s="510"/>
      <c r="L932" s="510"/>
      <c r="M932" s="510"/>
      <c r="N932" s="510"/>
      <c r="O932" s="510"/>
      <c r="P932" s="510"/>
      <c r="Q932" s="510"/>
      <c r="R932" s="510"/>
      <c r="S932" s="510"/>
      <c r="T932" s="510"/>
      <c r="U932" s="510"/>
      <c r="V932" s="510"/>
      <c r="W932" s="510"/>
      <c r="X932" s="510"/>
      <c r="Y932" s="510"/>
      <c r="Z932" s="510"/>
      <c r="AA932" s="510"/>
      <c r="AB932" s="510"/>
      <c r="AC932" s="510"/>
      <c r="AD932" s="510"/>
    </row>
    <row r="933" ht="28.5" customHeight="1">
      <c r="A933" s="288"/>
      <c r="B933" s="510"/>
      <c r="C933" s="510"/>
      <c r="D933" s="288"/>
      <c r="E933" s="511"/>
      <c r="F933" s="510"/>
      <c r="G933" s="510"/>
      <c r="H933" s="510"/>
      <c r="I933" s="510"/>
      <c r="J933" s="510"/>
      <c r="K933" s="510"/>
      <c r="L933" s="510"/>
      <c r="M933" s="510"/>
      <c r="N933" s="510"/>
      <c r="O933" s="510"/>
      <c r="P933" s="510"/>
      <c r="Q933" s="510"/>
      <c r="R933" s="510"/>
      <c r="S933" s="510"/>
      <c r="T933" s="510"/>
      <c r="U933" s="510"/>
      <c r="V933" s="510"/>
      <c r="W933" s="510"/>
      <c r="X933" s="510"/>
      <c r="Y933" s="510"/>
      <c r="Z933" s="510"/>
      <c r="AA933" s="510"/>
      <c r="AB933" s="510"/>
      <c r="AC933" s="510"/>
      <c r="AD933" s="510"/>
    </row>
    <row r="934" ht="28.5" customHeight="1">
      <c r="A934" s="288"/>
      <c r="B934" s="510"/>
      <c r="C934" s="510"/>
      <c r="D934" s="288"/>
      <c r="E934" s="511"/>
      <c r="F934" s="510"/>
      <c r="G934" s="510"/>
      <c r="H934" s="510"/>
      <c r="I934" s="510"/>
      <c r="J934" s="510"/>
      <c r="K934" s="510"/>
      <c r="L934" s="510"/>
      <c r="M934" s="510"/>
      <c r="N934" s="510"/>
      <c r="O934" s="510"/>
      <c r="P934" s="510"/>
      <c r="Q934" s="510"/>
      <c r="R934" s="510"/>
      <c r="S934" s="510"/>
      <c r="T934" s="510"/>
      <c r="U934" s="510"/>
      <c r="V934" s="510"/>
      <c r="W934" s="510"/>
      <c r="X934" s="510"/>
      <c r="Y934" s="510"/>
      <c r="Z934" s="510"/>
      <c r="AA934" s="510"/>
      <c r="AB934" s="510"/>
      <c r="AC934" s="510"/>
      <c r="AD934" s="510"/>
    </row>
    <row r="935" ht="28.5" customHeight="1">
      <c r="A935" s="288"/>
      <c r="B935" s="510"/>
      <c r="C935" s="510"/>
      <c r="D935" s="288"/>
      <c r="E935" s="511"/>
      <c r="F935" s="510"/>
      <c r="G935" s="510"/>
      <c r="H935" s="510"/>
      <c r="I935" s="510"/>
      <c r="J935" s="510"/>
      <c r="K935" s="510"/>
      <c r="L935" s="510"/>
      <c r="M935" s="510"/>
      <c r="N935" s="510"/>
      <c r="O935" s="510"/>
      <c r="P935" s="510"/>
      <c r="Q935" s="510"/>
      <c r="R935" s="510"/>
      <c r="S935" s="510"/>
      <c r="T935" s="510"/>
      <c r="U935" s="510"/>
      <c r="V935" s="510"/>
      <c r="W935" s="510"/>
      <c r="X935" s="510"/>
      <c r="Y935" s="510"/>
      <c r="Z935" s="510"/>
      <c r="AA935" s="510"/>
      <c r="AB935" s="510"/>
      <c r="AC935" s="510"/>
      <c r="AD935" s="510"/>
    </row>
    <row r="936" ht="28.5" customHeight="1">
      <c r="A936" s="288"/>
      <c r="B936" s="510"/>
      <c r="C936" s="510"/>
      <c r="D936" s="288"/>
      <c r="E936" s="511"/>
      <c r="F936" s="510"/>
      <c r="G936" s="510"/>
      <c r="H936" s="510"/>
      <c r="I936" s="510"/>
      <c r="J936" s="510"/>
      <c r="K936" s="510"/>
      <c r="L936" s="510"/>
      <c r="M936" s="510"/>
      <c r="N936" s="510"/>
      <c r="O936" s="510"/>
      <c r="P936" s="510"/>
      <c r="Q936" s="510"/>
      <c r="R936" s="510"/>
      <c r="S936" s="510"/>
      <c r="T936" s="510"/>
      <c r="U936" s="510"/>
      <c r="V936" s="510"/>
      <c r="W936" s="510"/>
      <c r="X936" s="510"/>
      <c r="Y936" s="510"/>
      <c r="Z936" s="510"/>
      <c r="AA936" s="510"/>
      <c r="AB936" s="510"/>
      <c r="AC936" s="510"/>
      <c r="AD936" s="510"/>
    </row>
    <row r="937" ht="28.5" customHeight="1">
      <c r="A937" s="288"/>
      <c r="B937" s="510"/>
      <c r="C937" s="510"/>
      <c r="D937" s="288"/>
      <c r="E937" s="511"/>
      <c r="F937" s="510"/>
      <c r="G937" s="510"/>
      <c r="H937" s="510"/>
      <c r="I937" s="510"/>
      <c r="J937" s="510"/>
      <c r="K937" s="510"/>
      <c r="L937" s="510"/>
      <c r="M937" s="510"/>
      <c r="N937" s="510"/>
      <c r="O937" s="510"/>
      <c r="P937" s="510"/>
      <c r="Q937" s="510"/>
      <c r="R937" s="510"/>
      <c r="S937" s="510"/>
      <c r="T937" s="510"/>
      <c r="U937" s="510"/>
      <c r="V937" s="510"/>
      <c r="W937" s="510"/>
      <c r="X937" s="510"/>
      <c r="Y937" s="510"/>
      <c r="Z937" s="510"/>
      <c r="AA937" s="510"/>
      <c r="AB937" s="510"/>
      <c r="AC937" s="510"/>
      <c r="AD937" s="510"/>
    </row>
    <row r="938" ht="28.5" customHeight="1">
      <c r="A938" s="288"/>
      <c r="B938" s="510"/>
      <c r="C938" s="510"/>
      <c r="D938" s="288"/>
      <c r="E938" s="511"/>
      <c r="F938" s="510"/>
      <c r="G938" s="510"/>
      <c r="H938" s="510"/>
      <c r="I938" s="510"/>
      <c r="J938" s="510"/>
      <c r="K938" s="510"/>
      <c r="L938" s="510"/>
      <c r="M938" s="510"/>
      <c r="N938" s="510"/>
      <c r="O938" s="510"/>
      <c r="P938" s="510"/>
      <c r="Q938" s="510"/>
      <c r="R938" s="510"/>
      <c r="S938" s="510"/>
      <c r="T938" s="510"/>
      <c r="U938" s="510"/>
      <c r="V938" s="510"/>
      <c r="W938" s="510"/>
      <c r="X938" s="510"/>
      <c r="Y938" s="510"/>
      <c r="Z938" s="510"/>
      <c r="AA938" s="510"/>
      <c r="AB938" s="510"/>
      <c r="AC938" s="510"/>
      <c r="AD938" s="510"/>
    </row>
    <row r="939" ht="28.5" customHeight="1">
      <c r="A939" s="288"/>
      <c r="B939" s="510"/>
      <c r="C939" s="510"/>
      <c r="D939" s="288"/>
      <c r="E939" s="511"/>
      <c r="F939" s="510"/>
      <c r="G939" s="510"/>
      <c r="H939" s="510"/>
      <c r="I939" s="510"/>
      <c r="J939" s="510"/>
      <c r="K939" s="510"/>
      <c r="L939" s="510"/>
      <c r="M939" s="510"/>
      <c r="N939" s="510"/>
      <c r="O939" s="510"/>
      <c r="P939" s="510"/>
      <c r="Q939" s="510"/>
      <c r="R939" s="510"/>
      <c r="S939" s="510"/>
      <c r="T939" s="510"/>
      <c r="U939" s="510"/>
      <c r="V939" s="510"/>
      <c r="W939" s="510"/>
      <c r="X939" s="510"/>
      <c r="Y939" s="510"/>
      <c r="Z939" s="510"/>
      <c r="AA939" s="510"/>
      <c r="AB939" s="510"/>
      <c r="AC939" s="510"/>
      <c r="AD939" s="510"/>
    </row>
    <row r="940" ht="28.5" customHeight="1">
      <c r="A940" s="288"/>
      <c r="B940" s="510"/>
      <c r="C940" s="510"/>
      <c r="D940" s="288"/>
      <c r="E940" s="511"/>
      <c r="F940" s="510"/>
      <c r="G940" s="510"/>
      <c r="H940" s="510"/>
      <c r="I940" s="510"/>
      <c r="J940" s="510"/>
      <c r="K940" s="510"/>
      <c r="L940" s="510"/>
      <c r="M940" s="510"/>
      <c r="N940" s="510"/>
      <c r="O940" s="510"/>
      <c r="P940" s="510"/>
      <c r="Q940" s="510"/>
      <c r="R940" s="510"/>
      <c r="S940" s="510"/>
      <c r="T940" s="510"/>
      <c r="U940" s="510"/>
      <c r="V940" s="510"/>
      <c r="W940" s="510"/>
      <c r="X940" s="510"/>
      <c r="Y940" s="510"/>
      <c r="Z940" s="510"/>
      <c r="AA940" s="510"/>
      <c r="AB940" s="510"/>
      <c r="AC940" s="510"/>
      <c r="AD940" s="510"/>
    </row>
    <row r="941" ht="28.5" customHeight="1">
      <c r="A941" s="288"/>
      <c r="B941" s="510"/>
      <c r="C941" s="510"/>
      <c r="D941" s="288"/>
      <c r="E941" s="511"/>
      <c r="F941" s="510"/>
      <c r="G941" s="510"/>
      <c r="H941" s="510"/>
      <c r="I941" s="510"/>
      <c r="J941" s="510"/>
      <c r="K941" s="510"/>
      <c r="L941" s="510"/>
      <c r="M941" s="510"/>
      <c r="N941" s="510"/>
      <c r="O941" s="510"/>
      <c r="P941" s="510"/>
      <c r="Q941" s="510"/>
      <c r="R941" s="510"/>
      <c r="S941" s="510"/>
      <c r="T941" s="510"/>
      <c r="U941" s="510"/>
      <c r="V941" s="510"/>
      <c r="W941" s="510"/>
      <c r="X941" s="510"/>
      <c r="Y941" s="510"/>
      <c r="Z941" s="510"/>
      <c r="AA941" s="510"/>
      <c r="AB941" s="510"/>
      <c r="AC941" s="510"/>
      <c r="AD941" s="510"/>
    </row>
    <row r="942" ht="28.5" customHeight="1">
      <c r="A942" s="288"/>
      <c r="B942" s="510"/>
      <c r="C942" s="510"/>
      <c r="D942" s="288"/>
      <c r="E942" s="511"/>
      <c r="F942" s="510"/>
      <c r="G942" s="510"/>
      <c r="H942" s="510"/>
      <c r="I942" s="510"/>
      <c r="J942" s="510"/>
      <c r="K942" s="510"/>
      <c r="L942" s="510"/>
      <c r="M942" s="510"/>
      <c r="N942" s="510"/>
      <c r="O942" s="510"/>
      <c r="P942" s="510"/>
      <c r="Q942" s="510"/>
      <c r="R942" s="510"/>
      <c r="S942" s="510"/>
      <c r="T942" s="510"/>
      <c r="U942" s="510"/>
      <c r="V942" s="510"/>
      <c r="W942" s="510"/>
      <c r="X942" s="510"/>
      <c r="Y942" s="510"/>
      <c r="Z942" s="510"/>
      <c r="AA942" s="510"/>
      <c r="AB942" s="510"/>
      <c r="AC942" s="510"/>
      <c r="AD942" s="510"/>
    </row>
    <row r="943" ht="28.5" customHeight="1">
      <c r="A943" s="288"/>
      <c r="B943" s="510"/>
      <c r="C943" s="510"/>
      <c r="D943" s="288"/>
      <c r="E943" s="511"/>
      <c r="F943" s="510"/>
      <c r="G943" s="510"/>
      <c r="H943" s="510"/>
      <c r="I943" s="510"/>
      <c r="J943" s="510"/>
      <c r="K943" s="510"/>
      <c r="L943" s="510"/>
      <c r="M943" s="510"/>
      <c r="N943" s="510"/>
      <c r="O943" s="510"/>
      <c r="P943" s="510"/>
      <c r="Q943" s="510"/>
      <c r="R943" s="510"/>
      <c r="S943" s="510"/>
      <c r="T943" s="510"/>
      <c r="U943" s="510"/>
      <c r="V943" s="510"/>
      <c r="W943" s="510"/>
      <c r="X943" s="510"/>
      <c r="Y943" s="510"/>
      <c r="Z943" s="510"/>
      <c r="AA943" s="510"/>
      <c r="AB943" s="510"/>
      <c r="AC943" s="510"/>
      <c r="AD943" s="510"/>
    </row>
    <row r="944" ht="28.5" customHeight="1">
      <c r="A944" s="288"/>
      <c r="B944" s="510"/>
      <c r="C944" s="510"/>
      <c r="D944" s="288"/>
      <c r="E944" s="511"/>
      <c r="F944" s="510"/>
      <c r="G944" s="510"/>
      <c r="H944" s="510"/>
      <c r="I944" s="510"/>
      <c r="J944" s="510"/>
      <c r="K944" s="510"/>
      <c r="L944" s="510"/>
      <c r="M944" s="510"/>
      <c r="N944" s="510"/>
      <c r="O944" s="510"/>
      <c r="P944" s="510"/>
      <c r="Q944" s="510"/>
      <c r="R944" s="510"/>
      <c r="S944" s="510"/>
      <c r="T944" s="510"/>
      <c r="U944" s="510"/>
      <c r="V944" s="510"/>
      <c r="W944" s="510"/>
      <c r="X944" s="510"/>
      <c r="Y944" s="510"/>
      <c r="Z944" s="510"/>
      <c r="AA944" s="510"/>
      <c r="AB944" s="510"/>
      <c r="AC944" s="510"/>
      <c r="AD944" s="510"/>
    </row>
    <row r="945" ht="28.5" customHeight="1">
      <c r="A945" s="288"/>
      <c r="B945" s="510"/>
      <c r="C945" s="510"/>
      <c r="D945" s="288"/>
      <c r="E945" s="511"/>
      <c r="F945" s="510"/>
      <c r="G945" s="510"/>
      <c r="H945" s="510"/>
      <c r="I945" s="510"/>
      <c r="J945" s="510"/>
      <c r="K945" s="510"/>
      <c r="L945" s="510"/>
      <c r="M945" s="510"/>
      <c r="N945" s="510"/>
      <c r="O945" s="510"/>
      <c r="P945" s="510"/>
      <c r="Q945" s="510"/>
      <c r="R945" s="510"/>
      <c r="S945" s="510"/>
      <c r="T945" s="510"/>
      <c r="U945" s="510"/>
      <c r="V945" s="510"/>
      <c r="W945" s="510"/>
      <c r="X945" s="510"/>
      <c r="Y945" s="510"/>
      <c r="Z945" s="510"/>
      <c r="AA945" s="510"/>
      <c r="AB945" s="510"/>
      <c r="AC945" s="510"/>
      <c r="AD945" s="510"/>
    </row>
    <row r="946" ht="28.5" customHeight="1">
      <c r="A946" s="288"/>
      <c r="B946" s="510"/>
      <c r="C946" s="510"/>
      <c r="D946" s="288"/>
      <c r="E946" s="511"/>
      <c r="F946" s="510"/>
      <c r="G946" s="510"/>
      <c r="H946" s="510"/>
      <c r="I946" s="510"/>
      <c r="J946" s="510"/>
      <c r="K946" s="510"/>
      <c r="L946" s="510"/>
      <c r="M946" s="510"/>
      <c r="N946" s="510"/>
      <c r="O946" s="510"/>
      <c r="P946" s="510"/>
      <c r="Q946" s="510"/>
      <c r="R946" s="510"/>
      <c r="S946" s="510"/>
      <c r="T946" s="510"/>
      <c r="U946" s="510"/>
      <c r="V946" s="510"/>
      <c r="W946" s="510"/>
      <c r="X946" s="510"/>
      <c r="Y946" s="510"/>
      <c r="Z946" s="510"/>
      <c r="AA946" s="510"/>
      <c r="AB946" s="510"/>
      <c r="AC946" s="510"/>
      <c r="AD946" s="510"/>
    </row>
    <row r="947" ht="28.5" customHeight="1">
      <c r="A947" s="288"/>
      <c r="B947" s="510"/>
      <c r="C947" s="510"/>
      <c r="D947" s="288"/>
      <c r="E947" s="511"/>
      <c r="F947" s="510"/>
      <c r="G947" s="510"/>
      <c r="H947" s="510"/>
      <c r="I947" s="510"/>
      <c r="J947" s="510"/>
      <c r="K947" s="510"/>
      <c r="L947" s="510"/>
      <c r="M947" s="510"/>
      <c r="N947" s="510"/>
      <c r="O947" s="510"/>
      <c r="P947" s="510"/>
      <c r="Q947" s="510"/>
      <c r="R947" s="510"/>
      <c r="S947" s="510"/>
      <c r="T947" s="510"/>
      <c r="U947" s="510"/>
      <c r="V947" s="510"/>
      <c r="W947" s="510"/>
      <c r="X947" s="510"/>
      <c r="Y947" s="510"/>
      <c r="Z947" s="510"/>
      <c r="AA947" s="510"/>
      <c r="AB947" s="510"/>
      <c r="AC947" s="510"/>
      <c r="AD947" s="510"/>
    </row>
    <row r="948" ht="28.5" customHeight="1">
      <c r="A948" s="288"/>
      <c r="B948" s="510"/>
      <c r="C948" s="510"/>
      <c r="D948" s="288"/>
      <c r="E948" s="511"/>
      <c r="F948" s="510"/>
      <c r="G948" s="510"/>
      <c r="H948" s="510"/>
      <c r="I948" s="510"/>
      <c r="J948" s="510"/>
      <c r="K948" s="510"/>
      <c r="L948" s="510"/>
      <c r="M948" s="510"/>
      <c r="N948" s="510"/>
      <c r="O948" s="510"/>
      <c r="P948" s="510"/>
      <c r="Q948" s="510"/>
      <c r="R948" s="510"/>
      <c r="S948" s="510"/>
      <c r="T948" s="510"/>
      <c r="U948" s="510"/>
      <c r="V948" s="510"/>
      <c r="W948" s="510"/>
      <c r="X948" s="510"/>
      <c r="Y948" s="510"/>
      <c r="Z948" s="510"/>
      <c r="AA948" s="510"/>
      <c r="AB948" s="510"/>
      <c r="AC948" s="510"/>
      <c r="AD948" s="510"/>
    </row>
    <row r="949" ht="28.5" customHeight="1">
      <c r="A949" s="288"/>
      <c r="B949" s="510"/>
      <c r="C949" s="510"/>
      <c r="D949" s="288"/>
      <c r="E949" s="511"/>
      <c r="F949" s="510"/>
      <c r="G949" s="510"/>
      <c r="H949" s="510"/>
      <c r="I949" s="510"/>
      <c r="J949" s="510"/>
      <c r="K949" s="510"/>
      <c r="L949" s="510"/>
      <c r="M949" s="510"/>
      <c r="N949" s="510"/>
      <c r="O949" s="510"/>
      <c r="P949" s="510"/>
      <c r="Q949" s="510"/>
      <c r="R949" s="510"/>
      <c r="S949" s="510"/>
      <c r="T949" s="510"/>
      <c r="U949" s="510"/>
      <c r="V949" s="510"/>
      <c r="W949" s="510"/>
      <c r="X949" s="510"/>
      <c r="Y949" s="510"/>
      <c r="Z949" s="510"/>
      <c r="AA949" s="510"/>
      <c r="AB949" s="510"/>
      <c r="AC949" s="510"/>
      <c r="AD949" s="510"/>
    </row>
    <row r="950" ht="28.5" customHeight="1">
      <c r="A950" s="288"/>
      <c r="B950" s="510"/>
      <c r="C950" s="510"/>
      <c r="D950" s="288"/>
      <c r="E950" s="511"/>
      <c r="F950" s="510"/>
      <c r="G950" s="510"/>
      <c r="H950" s="510"/>
      <c r="I950" s="510"/>
      <c r="J950" s="510"/>
      <c r="K950" s="510"/>
      <c r="L950" s="510"/>
      <c r="M950" s="510"/>
      <c r="N950" s="510"/>
      <c r="O950" s="510"/>
      <c r="P950" s="510"/>
      <c r="Q950" s="510"/>
      <c r="R950" s="510"/>
      <c r="S950" s="510"/>
      <c r="T950" s="510"/>
      <c r="U950" s="510"/>
      <c r="V950" s="510"/>
      <c r="W950" s="510"/>
      <c r="X950" s="510"/>
      <c r="Y950" s="510"/>
      <c r="Z950" s="510"/>
      <c r="AA950" s="510"/>
      <c r="AB950" s="510"/>
      <c r="AC950" s="510"/>
      <c r="AD950" s="510"/>
    </row>
    <row r="951" ht="28.5" customHeight="1">
      <c r="A951" s="288"/>
      <c r="B951" s="510"/>
      <c r="C951" s="510"/>
      <c r="D951" s="288"/>
      <c r="E951" s="511"/>
      <c r="F951" s="510"/>
      <c r="G951" s="510"/>
      <c r="H951" s="510"/>
      <c r="I951" s="510"/>
      <c r="J951" s="510"/>
      <c r="K951" s="510"/>
      <c r="L951" s="510"/>
      <c r="M951" s="510"/>
      <c r="N951" s="510"/>
      <c r="O951" s="510"/>
      <c r="P951" s="510"/>
      <c r="Q951" s="510"/>
      <c r="R951" s="510"/>
      <c r="S951" s="510"/>
      <c r="T951" s="510"/>
      <c r="U951" s="510"/>
      <c r="V951" s="510"/>
      <c r="W951" s="510"/>
      <c r="X951" s="510"/>
      <c r="Y951" s="510"/>
      <c r="Z951" s="510"/>
      <c r="AA951" s="510"/>
      <c r="AB951" s="510"/>
      <c r="AC951" s="510"/>
      <c r="AD951" s="510"/>
    </row>
    <row r="952" ht="28.5" customHeight="1">
      <c r="A952" s="288"/>
      <c r="B952" s="510"/>
      <c r="C952" s="510"/>
      <c r="D952" s="288"/>
      <c r="E952" s="511"/>
      <c r="F952" s="510"/>
      <c r="G952" s="510"/>
      <c r="H952" s="510"/>
      <c r="I952" s="510"/>
      <c r="J952" s="510"/>
      <c r="K952" s="510"/>
      <c r="L952" s="510"/>
      <c r="M952" s="510"/>
      <c r="N952" s="510"/>
      <c r="O952" s="510"/>
      <c r="P952" s="510"/>
      <c r="Q952" s="510"/>
      <c r="R952" s="510"/>
      <c r="S952" s="510"/>
      <c r="T952" s="510"/>
      <c r="U952" s="510"/>
      <c r="V952" s="510"/>
      <c r="W952" s="510"/>
      <c r="X952" s="510"/>
      <c r="Y952" s="510"/>
      <c r="Z952" s="510"/>
      <c r="AA952" s="510"/>
      <c r="AB952" s="510"/>
      <c r="AC952" s="510"/>
      <c r="AD952" s="510"/>
    </row>
    <row r="953" ht="28.5" customHeight="1">
      <c r="A953" s="288"/>
      <c r="B953" s="510"/>
      <c r="C953" s="510"/>
      <c r="D953" s="288"/>
      <c r="E953" s="511"/>
      <c r="F953" s="510"/>
      <c r="G953" s="510"/>
      <c r="H953" s="510"/>
      <c r="I953" s="510"/>
      <c r="J953" s="510"/>
      <c r="K953" s="510"/>
      <c r="L953" s="510"/>
      <c r="M953" s="510"/>
      <c r="N953" s="510"/>
      <c r="O953" s="510"/>
      <c r="P953" s="510"/>
      <c r="Q953" s="510"/>
      <c r="R953" s="510"/>
      <c r="S953" s="510"/>
      <c r="T953" s="510"/>
      <c r="U953" s="510"/>
      <c r="V953" s="510"/>
      <c r="W953" s="510"/>
      <c r="X953" s="510"/>
      <c r="Y953" s="510"/>
      <c r="Z953" s="510"/>
      <c r="AA953" s="510"/>
      <c r="AB953" s="510"/>
      <c r="AC953" s="510"/>
      <c r="AD953" s="510"/>
    </row>
    <row r="954" ht="28.5" customHeight="1">
      <c r="A954" s="288"/>
      <c r="B954" s="510"/>
      <c r="C954" s="510"/>
      <c r="D954" s="288"/>
      <c r="E954" s="511"/>
      <c r="F954" s="510"/>
      <c r="G954" s="510"/>
      <c r="H954" s="510"/>
      <c r="I954" s="510"/>
      <c r="J954" s="510"/>
      <c r="K954" s="510"/>
      <c r="L954" s="510"/>
      <c r="M954" s="510"/>
      <c r="N954" s="510"/>
      <c r="O954" s="510"/>
      <c r="P954" s="510"/>
      <c r="Q954" s="510"/>
      <c r="R954" s="510"/>
      <c r="S954" s="510"/>
      <c r="T954" s="510"/>
      <c r="U954" s="510"/>
      <c r="V954" s="510"/>
      <c r="W954" s="510"/>
      <c r="X954" s="510"/>
      <c r="Y954" s="510"/>
      <c r="Z954" s="510"/>
      <c r="AA954" s="510"/>
      <c r="AB954" s="510"/>
      <c r="AC954" s="510"/>
      <c r="AD954" s="510"/>
    </row>
    <row r="955" ht="28.5" customHeight="1">
      <c r="A955" s="288"/>
      <c r="B955" s="510"/>
      <c r="C955" s="510"/>
      <c r="D955" s="288"/>
      <c r="E955" s="511"/>
      <c r="F955" s="510"/>
      <c r="G955" s="510"/>
      <c r="H955" s="510"/>
      <c r="I955" s="510"/>
      <c r="J955" s="510"/>
      <c r="K955" s="510"/>
      <c r="L955" s="510"/>
      <c r="M955" s="510"/>
      <c r="N955" s="510"/>
      <c r="O955" s="510"/>
      <c r="P955" s="510"/>
      <c r="Q955" s="510"/>
      <c r="R955" s="510"/>
      <c r="S955" s="510"/>
      <c r="T955" s="510"/>
      <c r="U955" s="510"/>
      <c r="V955" s="510"/>
      <c r="W955" s="510"/>
      <c r="X955" s="510"/>
      <c r="Y955" s="510"/>
      <c r="Z955" s="510"/>
      <c r="AA955" s="510"/>
      <c r="AB955" s="510"/>
      <c r="AC955" s="510"/>
      <c r="AD955" s="510"/>
    </row>
    <row r="956" ht="28.5" customHeight="1">
      <c r="A956" s="288"/>
      <c r="B956" s="510"/>
      <c r="C956" s="510"/>
      <c r="D956" s="288"/>
      <c r="E956" s="511"/>
      <c r="F956" s="510"/>
      <c r="G956" s="510"/>
      <c r="H956" s="510"/>
      <c r="I956" s="510"/>
      <c r="J956" s="510"/>
      <c r="K956" s="510"/>
      <c r="L956" s="510"/>
      <c r="M956" s="510"/>
      <c r="N956" s="510"/>
      <c r="O956" s="510"/>
      <c r="P956" s="510"/>
      <c r="Q956" s="510"/>
      <c r="R956" s="510"/>
      <c r="S956" s="510"/>
      <c r="T956" s="510"/>
      <c r="U956" s="510"/>
      <c r="V956" s="510"/>
      <c r="W956" s="510"/>
      <c r="X956" s="510"/>
      <c r="Y956" s="510"/>
      <c r="Z956" s="510"/>
      <c r="AA956" s="510"/>
      <c r="AB956" s="510"/>
      <c r="AC956" s="510"/>
      <c r="AD956" s="510"/>
    </row>
    <row r="957" ht="28.5" customHeight="1">
      <c r="A957" s="288"/>
      <c r="B957" s="510"/>
      <c r="C957" s="510"/>
      <c r="D957" s="288"/>
      <c r="E957" s="511"/>
      <c r="F957" s="510"/>
      <c r="G957" s="510"/>
      <c r="H957" s="510"/>
      <c r="I957" s="510"/>
      <c r="J957" s="510"/>
      <c r="K957" s="510"/>
      <c r="L957" s="510"/>
      <c r="M957" s="510"/>
      <c r="N957" s="510"/>
      <c r="O957" s="510"/>
      <c r="P957" s="510"/>
      <c r="Q957" s="510"/>
      <c r="R957" s="510"/>
      <c r="S957" s="510"/>
      <c r="T957" s="510"/>
      <c r="U957" s="510"/>
      <c r="V957" s="510"/>
      <c r="W957" s="510"/>
      <c r="X957" s="510"/>
      <c r="Y957" s="510"/>
      <c r="Z957" s="510"/>
      <c r="AA957" s="510"/>
      <c r="AB957" s="510"/>
      <c r="AC957" s="510"/>
      <c r="AD957" s="510"/>
    </row>
    <row r="958" ht="28.5" customHeight="1">
      <c r="A958" s="288"/>
      <c r="B958" s="510"/>
      <c r="C958" s="510"/>
      <c r="D958" s="288"/>
      <c r="E958" s="511"/>
      <c r="F958" s="510"/>
      <c r="G958" s="510"/>
      <c r="H958" s="510"/>
      <c r="I958" s="510"/>
      <c r="J958" s="510"/>
      <c r="K958" s="510"/>
      <c r="L958" s="510"/>
      <c r="M958" s="510"/>
      <c r="N958" s="510"/>
      <c r="O958" s="510"/>
      <c r="P958" s="510"/>
      <c r="Q958" s="510"/>
      <c r="R958" s="510"/>
      <c r="S958" s="510"/>
      <c r="T958" s="510"/>
      <c r="U958" s="510"/>
      <c r="V958" s="510"/>
      <c r="W958" s="510"/>
      <c r="X958" s="510"/>
      <c r="Y958" s="510"/>
      <c r="Z958" s="510"/>
      <c r="AA958" s="510"/>
      <c r="AB958" s="510"/>
      <c r="AC958" s="510"/>
      <c r="AD958" s="510"/>
    </row>
    <row r="959" ht="28.5" customHeight="1">
      <c r="A959" s="288"/>
      <c r="B959" s="510"/>
      <c r="C959" s="510"/>
      <c r="D959" s="288"/>
      <c r="E959" s="511"/>
      <c r="F959" s="510"/>
      <c r="G959" s="510"/>
      <c r="H959" s="510"/>
      <c r="I959" s="510"/>
      <c r="J959" s="510"/>
      <c r="K959" s="510"/>
      <c r="L959" s="510"/>
      <c r="M959" s="510"/>
      <c r="N959" s="510"/>
      <c r="O959" s="510"/>
      <c r="P959" s="510"/>
      <c r="Q959" s="510"/>
      <c r="R959" s="510"/>
      <c r="S959" s="510"/>
      <c r="T959" s="510"/>
      <c r="U959" s="510"/>
      <c r="V959" s="510"/>
      <c r="W959" s="510"/>
      <c r="X959" s="510"/>
      <c r="Y959" s="510"/>
      <c r="Z959" s="510"/>
      <c r="AA959" s="510"/>
      <c r="AB959" s="510"/>
      <c r="AC959" s="510"/>
      <c r="AD959" s="510"/>
    </row>
    <row r="960" ht="28.5" customHeight="1">
      <c r="A960" s="288"/>
      <c r="B960" s="510"/>
      <c r="C960" s="510"/>
      <c r="D960" s="288"/>
      <c r="E960" s="511"/>
      <c r="F960" s="510"/>
      <c r="G960" s="510"/>
      <c r="H960" s="510"/>
      <c r="I960" s="510"/>
      <c r="J960" s="510"/>
      <c r="K960" s="510"/>
      <c r="L960" s="510"/>
      <c r="M960" s="510"/>
      <c r="N960" s="510"/>
      <c r="O960" s="510"/>
      <c r="P960" s="510"/>
      <c r="Q960" s="510"/>
      <c r="R960" s="510"/>
      <c r="S960" s="510"/>
      <c r="T960" s="510"/>
      <c r="U960" s="510"/>
      <c r="V960" s="510"/>
      <c r="W960" s="510"/>
      <c r="X960" s="510"/>
      <c r="Y960" s="510"/>
      <c r="Z960" s="510"/>
      <c r="AA960" s="510"/>
      <c r="AB960" s="510"/>
      <c r="AC960" s="510"/>
      <c r="AD960" s="510"/>
    </row>
    <row r="961" ht="28.5" customHeight="1">
      <c r="A961" s="288"/>
      <c r="B961" s="510"/>
      <c r="C961" s="510"/>
      <c r="D961" s="288"/>
      <c r="E961" s="511"/>
      <c r="F961" s="510"/>
      <c r="G961" s="510"/>
      <c r="H961" s="510"/>
      <c r="I961" s="510"/>
      <c r="J961" s="510"/>
      <c r="K961" s="510"/>
      <c r="L961" s="510"/>
      <c r="M961" s="510"/>
      <c r="N961" s="510"/>
      <c r="O961" s="510"/>
      <c r="P961" s="510"/>
      <c r="Q961" s="510"/>
      <c r="R961" s="510"/>
      <c r="S961" s="510"/>
      <c r="T961" s="510"/>
      <c r="U961" s="510"/>
      <c r="V961" s="510"/>
      <c r="W961" s="510"/>
      <c r="X961" s="510"/>
      <c r="Y961" s="510"/>
      <c r="Z961" s="510"/>
      <c r="AA961" s="510"/>
      <c r="AB961" s="510"/>
      <c r="AC961" s="510"/>
      <c r="AD961" s="510"/>
    </row>
    <row r="962" ht="28.5" customHeight="1">
      <c r="A962" s="288"/>
      <c r="B962" s="510"/>
      <c r="C962" s="510"/>
      <c r="D962" s="288"/>
      <c r="E962" s="511"/>
      <c r="F962" s="510"/>
      <c r="G962" s="510"/>
      <c r="H962" s="510"/>
      <c r="I962" s="510"/>
      <c r="J962" s="510"/>
      <c r="K962" s="510"/>
      <c r="L962" s="510"/>
      <c r="M962" s="510"/>
      <c r="N962" s="510"/>
      <c r="O962" s="510"/>
      <c r="P962" s="510"/>
      <c r="Q962" s="510"/>
      <c r="R962" s="510"/>
      <c r="S962" s="510"/>
      <c r="T962" s="510"/>
      <c r="U962" s="510"/>
      <c r="V962" s="510"/>
      <c r="W962" s="510"/>
      <c r="X962" s="510"/>
      <c r="Y962" s="510"/>
      <c r="Z962" s="510"/>
      <c r="AA962" s="510"/>
      <c r="AB962" s="510"/>
      <c r="AC962" s="510"/>
      <c r="AD962" s="510"/>
    </row>
    <row r="963" ht="28.5" customHeight="1">
      <c r="A963" s="288"/>
      <c r="B963" s="510"/>
      <c r="C963" s="510"/>
      <c r="D963" s="288"/>
      <c r="E963" s="511"/>
      <c r="F963" s="510"/>
      <c r="G963" s="510"/>
      <c r="H963" s="510"/>
      <c r="I963" s="510"/>
      <c r="J963" s="510"/>
      <c r="K963" s="510"/>
      <c r="L963" s="510"/>
      <c r="M963" s="510"/>
      <c r="N963" s="510"/>
      <c r="O963" s="510"/>
      <c r="P963" s="510"/>
      <c r="Q963" s="510"/>
      <c r="R963" s="510"/>
      <c r="S963" s="510"/>
      <c r="T963" s="510"/>
      <c r="U963" s="510"/>
      <c r="V963" s="510"/>
      <c r="W963" s="510"/>
      <c r="X963" s="510"/>
      <c r="Y963" s="510"/>
      <c r="Z963" s="510"/>
      <c r="AA963" s="510"/>
      <c r="AB963" s="510"/>
      <c r="AC963" s="510"/>
      <c r="AD963" s="510"/>
    </row>
    <row r="964" ht="28.5" customHeight="1">
      <c r="A964" s="288"/>
      <c r="B964" s="510"/>
      <c r="C964" s="510"/>
      <c r="D964" s="288"/>
      <c r="E964" s="511"/>
      <c r="F964" s="510"/>
      <c r="G964" s="510"/>
      <c r="H964" s="510"/>
      <c r="I964" s="510"/>
      <c r="J964" s="510"/>
      <c r="K964" s="510"/>
      <c r="L964" s="510"/>
      <c r="M964" s="510"/>
      <c r="N964" s="510"/>
      <c r="O964" s="510"/>
      <c r="P964" s="510"/>
      <c r="Q964" s="510"/>
      <c r="R964" s="510"/>
      <c r="S964" s="510"/>
      <c r="T964" s="510"/>
      <c r="U964" s="510"/>
      <c r="V964" s="510"/>
      <c r="W964" s="510"/>
      <c r="X964" s="510"/>
      <c r="Y964" s="510"/>
      <c r="Z964" s="510"/>
      <c r="AA964" s="510"/>
      <c r="AB964" s="510"/>
      <c r="AC964" s="510"/>
      <c r="AD964" s="510"/>
    </row>
    <row r="965" ht="28.5" customHeight="1">
      <c r="A965" s="288"/>
      <c r="B965" s="510"/>
      <c r="C965" s="510"/>
      <c r="D965" s="288"/>
      <c r="E965" s="511"/>
      <c r="F965" s="510"/>
      <c r="G965" s="510"/>
      <c r="H965" s="510"/>
      <c r="I965" s="510"/>
      <c r="J965" s="510"/>
      <c r="K965" s="510"/>
      <c r="L965" s="510"/>
      <c r="M965" s="510"/>
      <c r="N965" s="510"/>
      <c r="O965" s="510"/>
      <c r="P965" s="510"/>
      <c r="Q965" s="510"/>
      <c r="R965" s="510"/>
      <c r="S965" s="510"/>
      <c r="T965" s="510"/>
      <c r="U965" s="510"/>
      <c r="V965" s="510"/>
      <c r="W965" s="510"/>
      <c r="X965" s="510"/>
      <c r="Y965" s="510"/>
      <c r="Z965" s="510"/>
      <c r="AA965" s="510"/>
      <c r="AB965" s="510"/>
      <c r="AC965" s="510"/>
      <c r="AD965" s="510"/>
    </row>
    <row r="966" ht="28.5" customHeight="1">
      <c r="A966" s="288"/>
      <c r="B966" s="510"/>
      <c r="C966" s="510"/>
      <c r="D966" s="288"/>
      <c r="E966" s="511"/>
      <c r="F966" s="510"/>
      <c r="G966" s="510"/>
      <c r="H966" s="510"/>
      <c r="I966" s="510"/>
      <c r="J966" s="510"/>
      <c r="K966" s="510"/>
      <c r="L966" s="510"/>
      <c r="M966" s="510"/>
      <c r="N966" s="510"/>
      <c r="O966" s="510"/>
      <c r="P966" s="510"/>
      <c r="Q966" s="510"/>
      <c r="R966" s="510"/>
      <c r="S966" s="510"/>
      <c r="T966" s="510"/>
      <c r="U966" s="510"/>
      <c r="V966" s="510"/>
      <c r="W966" s="510"/>
      <c r="X966" s="510"/>
      <c r="Y966" s="510"/>
      <c r="Z966" s="510"/>
      <c r="AA966" s="510"/>
      <c r="AB966" s="510"/>
      <c r="AC966" s="510"/>
      <c r="AD966" s="510"/>
    </row>
    <row r="967" ht="28.5" customHeight="1">
      <c r="A967" s="288"/>
      <c r="B967" s="510"/>
      <c r="C967" s="510"/>
      <c r="D967" s="288"/>
      <c r="E967" s="511"/>
      <c r="F967" s="510"/>
      <c r="G967" s="510"/>
      <c r="H967" s="510"/>
      <c r="I967" s="510"/>
      <c r="J967" s="510"/>
      <c r="K967" s="510"/>
      <c r="L967" s="510"/>
      <c r="M967" s="510"/>
      <c r="N967" s="510"/>
      <c r="O967" s="510"/>
      <c r="P967" s="510"/>
      <c r="Q967" s="510"/>
      <c r="R967" s="510"/>
      <c r="S967" s="510"/>
      <c r="T967" s="510"/>
      <c r="U967" s="510"/>
      <c r="V967" s="510"/>
      <c r="W967" s="510"/>
      <c r="X967" s="510"/>
      <c r="Y967" s="510"/>
      <c r="Z967" s="510"/>
      <c r="AA967" s="510"/>
      <c r="AB967" s="510"/>
      <c r="AC967" s="510"/>
      <c r="AD967" s="510"/>
    </row>
    <row r="968" ht="28.5" customHeight="1">
      <c r="A968" s="288"/>
      <c r="B968" s="510"/>
      <c r="C968" s="510"/>
      <c r="D968" s="288"/>
      <c r="E968" s="511"/>
      <c r="F968" s="510"/>
      <c r="G968" s="510"/>
      <c r="H968" s="510"/>
      <c r="I968" s="510"/>
      <c r="J968" s="510"/>
      <c r="K968" s="510"/>
      <c r="L968" s="510"/>
      <c r="M968" s="510"/>
      <c r="N968" s="510"/>
      <c r="O968" s="510"/>
      <c r="P968" s="510"/>
      <c r="Q968" s="510"/>
      <c r="R968" s="510"/>
      <c r="S968" s="510"/>
      <c r="T968" s="510"/>
      <c r="U968" s="510"/>
      <c r="V968" s="510"/>
      <c r="W968" s="510"/>
      <c r="X968" s="510"/>
      <c r="Y968" s="510"/>
      <c r="Z968" s="510"/>
      <c r="AA968" s="510"/>
      <c r="AB968" s="510"/>
      <c r="AC968" s="510"/>
      <c r="AD968" s="510"/>
    </row>
    <row r="969" ht="28.5" customHeight="1">
      <c r="A969" s="288"/>
      <c r="B969" s="510"/>
      <c r="C969" s="510"/>
      <c r="D969" s="288"/>
      <c r="E969" s="511"/>
      <c r="F969" s="510"/>
      <c r="G969" s="510"/>
      <c r="H969" s="510"/>
      <c r="I969" s="510"/>
      <c r="J969" s="510"/>
      <c r="K969" s="510"/>
      <c r="L969" s="510"/>
      <c r="M969" s="510"/>
      <c r="N969" s="510"/>
      <c r="O969" s="510"/>
      <c r="P969" s="510"/>
      <c r="Q969" s="510"/>
      <c r="R969" s="510"/>
      <c r="S969" s="510"/>
      <c r="T969" s="510"/>
      <c r="U969" s="510"/>
      <c r="V969" s="510"/>
      <c r="W969" s="510"/>
      <c r="X969" s="510"/>
      <c r="Y969" s="510"/>
      <c r="Z969" s="510"/>
      <c r="AA969" s="510"/>
      <c r="AB969" s="510"/>
      <c r="AC969" s="510"/>
      <c r="AD969" s="510"/>
    </row>
    <row r="970" ht="28.5" customHeight="1">
      <c r="A970" s="288"/>
      <c r="B970" s="510"/>
      <c r="C970" s="510"/>
      <c r="D970" s="288"/>
      <c r="E970" s="511"/>
      <c r="F970" s="510"/>
      <c r="G970" s="510"/>
      <c r="H970" s="510"/>
      <c r="I970" s="510"/>
      <c r="J970" s="510"/>
      <c r="K970" s="510"/>
      <c r="L970" s="510"/>
      <c r="M970" s="510"/>
      <c r="N970" s="510"/>
      <c r="O970" s="510"/>
      <c r="P970" s="510"/>
      <c r="Q970" s="510"/>
      <c r="R970" s="510"/>
      <c r="S970" s="510"/>
      <c r="T970" s="510"/>
      <c r="U970" s="510"/>
      <c r="V970" s="510"/>
      <c r="W970" s="510"/>
      <c r="X970" s="510"/>
      <c r="Y970" s="510"/>
      <c r="Z970" s="510"/>
      <c r="AA970" s="510"/>
      <c r="AB970" s="510"/>
      <c r="AC970" s="510"/>
      <c r="AD970" s="510"/>
    </row>
    <row r="971" ht="28.5" customHeight="1">
      <c r="A971" s="288"/>
      <c r="B971" s="510"/>
      <c r="C971" s="510"/>
      <c r="D971" s="288"/>
      <c r="E971" s="511"/>
      <c r="F971" s="510"/>
      <c r="G971" s="510"/>
      <c r="H971" s="510"/>
      <c r="I971" s="510"/>
      <c r="J971" s="510"/>
      <c r="K971" s="510"/>
      <c r="L971" s="510"/>
      <c r="M971" s="510"/>
      <c r="N971" s="510"/>
      <c r="O971" s="510"/>
      <c r="P971" s="510"/>
      <c r="Q971" s="510"/>
      <c r="R971" s="510"/>
      <c r="S971" s="510"/>
      <c r="T971" s="510"/>
      <c r="U971" s="510"/>
      <c r="V971" s="510"/>
      <c r="W971" s="510"/>
      <c r="X971" s="510"/>
      <c r="Y971" s="510"/>
      <c r="Z971" s="510"/>
      <c r="AA971" s="510"/>
      <c r="AB971" s="510"/>
      <c r="AC971" s="510"/>
      <c r="AD971" s="510"/>
    </row>
    <row r="972" ht="28.5" customHeight="1">
      <c r="A972" s="288"/>
      <c r="B972" s="510"/>
      <c r="C972" s="510"/>
      <c r="D972" s="288"/>
      <c r="E972" s="511"/>
      <c r="F972" s="510"/>
      <c r="G972" s="510"/>
      <c r="H972" s="510"/>
      <c r="I972" s="510"/>
      <c r="J972" s="510"/>
      <c r="K972" s="510"/>
      <c r="L972" s="510"/>
      <c r="M972" s="510"/>
      <c r="N972" s="510"/>
      <c r="O972" s="510"/>
      <c r="P972" s="510"/>
      <c r="Q972" s="510"/>
      <c r="R972" s="510"/>
      <c r="S972" s="510"/>
      <c r="T972" s="510"/>
      <c r="U972" s="510"/>
      <c r="V972" s="510"/>
      <c r="W972" s="510"/>
      <c r="X972" s="510"/>
      <c r="Y972" s="510"/>
      <c r="Z972" s="510"/>
      <c r="AA972" s="510"/>
      <c r="AB972" s="510"/>
      <c r="AC972" s="510"/>
      <c r="AD972" s="510"/>
    </row>
    <row r="973" ht="28.5" customHeight="1">
      <c r="A973" s="288"/>
      <c r="B973" s="510"/>
      <c r="C973" s="510"/>
      <c r="D973" s="288"/>
      <c r="E973" s="511"/>
      <c r="F973" s="510"/>
      <c r="G973" s="510"/>
      <c r="H973" s="510"/>
      <c r="I973" s="510"/>
      <c r="J973" s="510"/>
      <c r="K973" s="510"/>
      <c r="L973" s="510"/>
      <c r="M973" s="510"/>
      <c r="N973" s="510"/>
      <c r="O973" s="510"/>
      <c r="P973" s="510"/>
      <c r="Q973" s="510"/>
      <c r="R973" s="510"/>
      <c r="S973" s="510"/>
      <c r="T973" s="510"/>
      <c r="U973" s="510"/>
      <c r="V973" s="510"/>
      <c r="W973" s="510"/>
      <c r="X973" s="510"/>
      <c r="Y973" s="510"/>
      <c r="Z973" s="510"/>
      <c r="AA973" s="510"/>
      <c r="AB973" s="510"/>
      <c r="AC973" s="510"/>
      <c r="AD973" s="510"/>
    </row>
    <row r="974" ht="28.5" customHeight="1">
      <c r="A974" s="288"/>
      <c r="B974" s="510"/>
      <c r="C974" s="510"/>
      <c r="D974" s="288"/>
      <c r="E974" s="511"/>
      <c r="F974" s="510"/>
      <c r="G974" s="510"/>
      <c r="H974" s="510"/>
      <c r="I974" s="510"/>
      <c r="J974" s="510"/>
      <c r="K974" s="510"/>
      <c r="L974" s="510"/>
      <c r="M974" s="510"/>
      <c r="N974" s="510"/>
      <c r="O974" s="510"/>
      <c r="P974" s="510"/>
      <c r="Q974" s="510"/>
      <c r="R974" s="510"/>
      <c r="S974" s="510"/>
      <c r="T974" s="510"/>
      <c r="U974" s="510"/>
      <c r="V974" s="510"/>
      <c r="W974" s="510"/>
      <c r="X974" s="510"/>
      <c r="Y974" s="510"/>
      <c r="Z974" s="510"/>
      <c r="AA974" s="510"/>
      <c r="AB974" s="510"/>
      <c r="AC974" s="510"/>
      <c r="AD974" s="510"/>
    </row>
    <row r="975" ht="28.5" customHeight="1">
      <c r="A975" s="288"/>
      <c r="B975" s="510"/>
      <c r="C975" s="510"/>
      <c r="D975" s="288"/>
      <c r="E975" s="511"/>
      <c r="F975" s="510"/>
      <c r="G975" s="510"/>
      <c r="H975" s="510"/>
      <c r="I975" s="510"/>
      <c r="J975" s="510"/>
      <c r="K975" s="510"/>
      <c r="L975" s="510"/>
      <c r="M975" s="510"/>
      <c r="N975" s="510"/>
      <c r="O975" s="510"/>
      <c r="P975" s="510"/>
      <c r="Q975" s="510"/>
      <c r="R975" s="510"/>
      <c r="S975" s="510"/>
      <c r="T975" s="510"/>
      <c r="U975" s="510"/>
      <c r="V975" s="510"/>
      <c r="W975" s="510"/>
      <c r="X975" s="510"/>
      <c r="Y975" s="510"/>
      <c r="Z975" s="510"/>
      <c r="AA975" s="510"/>
      <c r="AB975" s="510"/>
      <c r="AC975" s="510"/>
      <c r="AD975" s="510"/>
    </row>
    <row r="976" ht="28.5" customHeight="1">
      <c r="A976" s="288"/>
      <c r="B976" s="510"/>
      <c r="C976" s="510"/>
      <c r="D976" s="288"/>
      <c r="E976" s="511"/>
      <c r="F976" s="510"/>
      <c r="G976" s="510"/>
      <c r="H976" s="510"/>
      <c r="I976" s="510"/>
      <c r="J976" s="510"/>
      <c r="K976" s="510"/>
      <c r="L976" s="510"/>
      <c r="M976" s="510"/>
      <c r="N976" s="510"/>
      <c r="O976" s="510"/>
      <c r="P976" s="510"/>
      <c r="Q976" s="510"/>
      <c r="R976" s="510"/>
      <c r="S976" s="510"/>
      <c r="T976" s="510"/>
      <c r="U976" s="510"/>
      <c r="V976" s="510"/>
      <c r="W976" s="510"/>
      <c r="X976" s="510"/>
      <c r="Y976" s="510"/>
      <c r="Z976" s="510"/>
      <c r="AA976" s="510"/>
      <c r="AB976" s="510"/>
      <c r="AC976" s="510"/>
      <c r="AD976" s="510"/>
    </row>
    <row r="977" ht="28.5" customHeight="1">
      <c r="A977" s="288"/>
      <c r="B977" s="510"/>
      <c r="C977" s="510"/>
      <c r="D977" s="288"/>
      <c r="E977" s="511"/>
      <c r="F977" s="510"/>
      <c r="G977" s="510"/>
      <c r="H977" s="510"/>
      <c r="I977" s="510"/>
      <c r="J977" s="510"/>
      <c r="K977" s="510"/>
      <c r="L977" s="510"/>
      <c r="M977" s="510"/>
      <c r="N977" s="510"/>
      <c r="O977" s="510"/>
      <c r="P977" s="510"/>
      <c r="Q977" s="510"/>
      <c r="R977" s="510"/>
      <c r="S977" s="510"/>
      <c r="T977" s="510"/>
      <c r="U977" s="510"/>
      <c r="V977" s="510"/>
      <c r="W977" s="510"/>
      <c r="X977" s="510"/>
      <c r="Y977" s="510"/>
      <c r="Z977" s="510"/>
      <c r="AA977" s="510"/>
      <c r="AB977" s="510"/>
      <c r="AC977" s="510"/>
      <c r="AD977" s="510"/>
    </row>
    <row r="978" ht="28.5" customHeight="1">
      <c r="A978" s="288"/>
      <c r="B978" s="510"/>
      <c r="C978" s="510"/>
      <c r="D978" s="288"/>
      <c r="E978" s="511"/>
      <c r="F978" s="510"/>
      <c r="G978" s="510"/>
      <c r="H978" s="510"/>
      <c r="I978" s="510"/>
      <c r="J978" s="510"/>
      <c r="K978" s="510"/>
      <c r="L978" s="510"/>
      <c r="M978" s="510"/>
      <c r="N978" s="510"/>
      <c r="O978" s="510"/>
      <c r="P978" s="510"/>
      <c r="Q978" s="510"/>
      <c r="R978" s="510"/>
      <c r="S978" s="510"/>
      <c r="T978" s="510"/>
      <c r="U978" s="510"/>
      <c r="V978" s="510"/>
      <c r="W978" s="510"/>
      <c r="X978" s="510"/>
      <c r="Y978" s="510"/>
      <c r="Z978" s="510"/>
      <c r="AA978" s="510"/>
      <c r="AB978" s="510"/>
      <c r="AC978" s="510"/>
      <c r="AD978" s="510"/>
    </row>
    <row r="979" ht="28.5" customHeight="1">
      <c r="A979" s="288"/>
      <c r="B979" s="510"/>
      <c r="C979" s="510"/>
      <c r="D979" s="288"/>
      <c r="E979" s="511"/>
      <c r="F979" s="510"/>
      <c r="G979" s="510"/>
      <c r="H979" s="510"/>
      <c r="I979" s="510"/>
      <c r="J979" s="510"/>
      <c r="K979" s="510"/>
      <c r="L979" s="510"/>
      <c r="M979" s="510"/>
      <c r="N979" s="510"/>
      <c r="O979" s="510"/>
      <c r="P979" s="510"/>
      <c r="Q979" s="510"/>
      <c r="R979" s="510"/>
      <c r="S979" s="510"/>
      <c r="T979" s="510"/>
      <c r="U979" s="510"/>
      <c r="V979" s="510"/>
      <c r="W979" s="510"/>
      <c r="X979" s="510"/>
      <c r="Y979" s="510"/>
      <c r="Z979" s="510"/>
      <c r="AA979" s="510"/>
      <c r="AB979" s="510"/>
      <c r="AC979" s="510"/>
      <c r="AD979" s="510"/>
    </row>
    <row r="980" ht="28.5" customHeight="1">
      <c r="A980" s="288"/>
      <c r="B980" s="510"/>
      <c r="C980" s="510"/>
      <c r="D980" s="288"/>
      <c r="E980" s="511"/>
      <c r="F980" s="510"/>
      <c r="G980" s="510"/>
      <c r="H980" s="510"/>
      <c r="I980" s="510"/>
      <c r="J980" s="510"/>
      <c r="K980" s="510"/>
      <c r="L980" s="510"/>
      <c r="M980" s="510"/>
      <c r="N980" s="510"/>
      <c r="O980" s="510"/>
      <c r="P980" s="510"/>
      <c r="Q980" s="510"/>
      <c r="R980" s="510"/>
      <c r="S980" s="510"/>
      <c r="T980" s="510"/>
      <c r="U980" s="510"/>
      <c r="V980" s="510"/>
      <c r="W980" s="510"/>
      <c r="X980" s="510"/>
      <c r="Y980" s="510"/>
      <c r="Z980" s="510"/>
      <c r="AA980" s="510"/>
      <c r="AB980" s="510"/>
      <c r="AC980" s="510"/>
      <c r="AD980" s="510"/>
    </row>
    <row r="981" ht="28.5" customHeight="1">
      <c r="A981" s="288"/>
      <c r="B981" s="510"/>
      <c r="C981" s="510"/>
      <c r="D981" s="288"/>
      <c r="E981" s="511"/>
      <c r="F981" s="510"/>
      <c r="G981" s="510"/>
      <c r="H981" s="510"/>
      <c r="I981" s="510"/>
      <c r="J981" s="510"/>
      <c r="K981" s="510"/>
      <c r="L981" s="510"/>
      <c r="M981" s="510"/>
      <c r="N981" s="510"/>
      <c r="O981" s="510"/>
      <c r="P981" s="510"/>
      <c r="Q981" s="510"/>
      <c r="R981" s="510"/>
      <c r="S981" s="510"/>
      <c r="T981" s="510"/>
      <c r="U981" s="510"/>
      <c r="V981" s="510"/>
      <c r="W981" s="510"/>
      <c r="X981" s="510"/>
      <c r="Y981" s="510"/>
      <c r="Z981" s="510"/>
      <c r="AA981" s="510"/>
      <c r="AB981" s="510"/>
      <c r="AC981" s="510"/>
      <c r="AD981" s="510"/>
    </row>
    <row r="982" ht="28.5" customHeight="1">
      <c r="A982" s="288"/>
      <c r="B982" s="510"/>
      <c r="C982" s="510"/>
      <c r="D982" s="288"/>
      <c r="E982" s="511"/>
      <c r="F982" s="510"/>
      <c r="G982" s="510"/>
      <c r="H982" s="510"/>
      <c r="I982" s="510"/>
      <c r="J982" s="510"/>
      <c r="K982" s="510"/>
      <c r="L982" s="510"/>
      <c r="M982" s="510"/>
      <c r="N982" s="510"/>
      <c r="O982" s="510"/>
      <c r="P982" s="510"/>
      <c r="Q982" s="510"/>
      <c r="R982" s="510"/>
      <c r="S982" s="510"/>
      <c r="T982" s="510"/>
      <c r="U982" s="510"/>
      <c r="V982" s="510"/>
      <c r="W982" s="510"/>
      <c r="X982" s="510"/>
      <c r="Y982" s="510"/>
      <c r="Z982" s="510"/>
      <c r="AA982" s="510"/>
      <c r="AB982" s="510"/>
      <c r="AC982" s="510"/>
      <c r="AD982" s="510"/>
    </row>
    <row r="983" ht="28.5" customHeight="1">
      <c r="A983" s="288"/>
      <c r="B983" s="510"/>
      <c r="C983" s="510"/>
      <c r="D983" s="288"/>
      <c r="E983" s="511"/>
      <c r="F983" s="510"/>
      <c r="G983" s="510"/>
      <c r="H983" s="510"/>
      <c r="I983" s="510"/>
      <c r="J983" s="510"/>
      <c r="K983" s="510"/>
      <c r="L983" s="510"/>
      <c r="M983" s="510"/>
      <c r="N983" s="510"/>
      <c r="O983" s="510"/>
      <c r="P983" s="510"/>
      <c r="Q983" s="510"/>
      <c r="R983" s="510"/>
      <c r="S983" s="510"/>
      <c r="T983" s="510"/>
      <c r="U983" s="510"/>
      <c r="V983" s="510"/>
      <c r="W983" s="510"/>
      <c r="X983" s="510"/>
      <c r="Y983" s="510"/>
      <c r="Z983" s="510"/>
      <c r="AA983" s="510"/>
      <c r="AB983" s="510"/>
      <c r="AC983" s="510"/>
      <c r="AD983" s="510"/>
    </row>
    <row r="984" ht="28.5" customHeight="1">
      <c r="A984" s="288"/>
      <c r="B984" s="510"/>
      <c r="C984" s="510"/>
      <c r="D984" s="288"/>
      <c r="E984" s="511"/>
      <c r="F984" s="510"/>
      <c r="G984" s="510"/>
      <c r="H984" s="510"/>
      <c r="I984" s="510"/>
      <c r="J984" s="510"/>
      <c r="K984" s="510"/>
      <c r="L984" s="510"/>
      <c r="M984" s="510"/>
      <c r="N984" s="510"/>
      <c r="O984" s="510"/>
      <c r="P984" s="510"/>
      <c r="Q984" s="510"/>
      <c r="R984" s="510"/>
      <c r="S984" s="510"/>
      <c r="T984" s="510"/>
      <c r="U984" s="510"/>
      <c r="V984" s="510"/>
      <c r="W984" s="510"/>
      <c r="X984" s="510"/>
      <c r="Y984" s="510"/>
      <c r="Z984" s="510"/>
      <c r="AA984" s="510"/>
      <c r="AB984" s="510"/>
      <c r="AC984" s="510"/>
      <c r="AD984" s="510"/>
    </row>
    <row r="985" ht="28.5" customHeight="1">
      <c r="A985" s="288"/>
      <c r="B985" s="510"/>
      <c r="C985" s="510"/>
      <c r="D985" s="288"/>
      <c r="E985" s="511"/>
      <c r="F985" s="510"/>
      <c r="G985" s="510"/>
      <c r="H985" s="510"/>
      <c r="I985" s="510"/>
      <c r="J985" s="510"/>
      <c r="K985" s="510"/>
      <c r="L985" s="510"/>
      <c r="M985" s="510"/>
      <c r="N985" s="510"/>
      <c r="O985" s="510"/>
      <c r="P985" s="510"/>
      <c r="Q985" s="510"/>
      <c r="R985" s="510"/>
      <c r="S985" s="510"/>
      <c r="T985" s="510"/>
      <c r="U985" s="510"/>
      <c r="V985" s="510"/>
      <c r="W985" s="510"/>
      <c r="X985" s="510"/>
      <c r="Y985" s="510"/>
      <c r="Z985" s="510"/>
      <c r="AA985" s="510"/>
      <c r="AB985" s="510"/>
      <c r="AC985" s="510"/>
      <c r="AD985" s="510"/>
    </row>
    <row r="986" ht="28.5" customHeight="1">
      <c r="A986" s="288"/>
      <c r="B986" s="510"/>
      <c r="C986" s="510"/>
      <c r="D986" s="288"/>
      <c r="E986" s="511"/>
      <c r="F986" s="510"/>
      <c r="G986" s="510"/>
      <c r="H986" s="510"/>
      <c r="I986" s="510"/>
      <c r="J986" s="510"/>
      <c r="K986" s="510"/>
      <c r="L986" s="510"/>
      <c r="M986" s="510"/>
      <c r="N986" s="510"/>
      <c r="O986" s="510"/>
      <c r="P986" s="510"/>
      <c r="Q986" s="510"/>
      <c r="R986" s="510"/>
      <c r="S986" s="510"/>
      <c r="T986" s="510"/>
      <c r="U986" s="510"/>
      <c r="V986" s="510"/>
      <c r="W986" s="510"/>
      <c r="X986" s="510"/>
      <c r="Y986" s="510"/>
      <c r="Z986" s="510"/>
      <c r="AA986" s="510"/>
      <c r="AB986" s="510"/>
      <c r="AC986" s="510"/>
      <c r="AD986" s="510"/>
    </row>
    <row r="987" ht="28.5" customHeight="1">
      <c r="A987" s="288"/>
      <c r="B987" s="510"/>
      <c r="C987" s="510"/>
      <c r="D987" s="288"/>
      <c r="E987" s="511"/>
      <c r="F987" s="510"/>
      <c r="G987" s="510"/>
      <c r="H987" s="510"/>
      <c r="I987" s="510"/>
      <c r="J987" s="510"/>
      <c r="K987" s="510"/>
      <c r="L987" s="510"/>
      <c r="M987" s="510"/>
      <c r="N987" s="510"/>
      <c r="O987" s="510"/>
      <c r="P987" s="510"/>
      <c r="Q987" s="510"/>
      <c r="R987" s="510"/>
      <c r="S987" s="510"/>
      <c r="T987" s="510"/>
      <c r="U987" s="510"/>
      <c r="V987" s="510"/>
      <c r="W987" s="510"/>
      <c r="X987" s="510"/>
      <c r="Y987" s="510"/>
      <c r="Z987" s="510"/>
      <c r="AA987" s="510"/>
      <c r="AB987" s="510"/>
      <c r="AC987" s="510"/>
      <c r="AD987" s="510"/>
    </row>
    <row r="988" ht="28.5" customHeight="1">
      <c r="A988" s="288"/>
      <c r="B988" s="510"/>
      <c r="C988" s="510"/>
      <c r="D988" s="288"/>
      <c r="E988" s="511"/>
      <c r="F988" s="510"/>
      <c r="G988" s="510"/>
      <c r="H988" s="510"/>
      <c r="I988" s="510"/>
      <c r="J988" s="510"/>
      <c r="K988" s="510"/>
      <c r="L988" s="510"/>
      <c r="M988" s="510"/>
      <c r="N988" s="510"/>
      <c r="O988" s="510"/>
      <c r="P988" s="510"/>
      <c r="Q988" s="510"/>
      <c r="R988" s="510"/>
      <c r="S988" s="510"/>
      <c r="T988" s="510"/>
      <c r="U988" s="510"/>
      <c r="V988" s="510"/>
      <c r="W988" s="510"/>
      <c r="X988" s="510"/>
      <c r="Y988" s="510"/>
      <c r="Z988" s="510"/>
      <c r="AA988" s="510"/>
      <c r="AB988" s="510"/>
      <c r="AC988" s="510"/>
      <c r="AD988" s="510"/>
    </row>
    <row r="989" ht="28.5" customHeight="1">
      <c r="A989" s="288"/>
      <c r="B989" s="510"/>
      <c r="C989" s="510"/>
      <c r="D989" s="288"/>
      <c r="E989" s="511"/>
      <c r="F989" s="510"/>
      <c r="G989" s="510"/>
      <c r="H989" s="510"/>
      <c r="I989" s="510"/>
      <c r="J989" s="510"/>
      <c r="K989" s="510"/>
      <c r="L989" s="510"/>
      <c r="M989" s="510"/>
      <c r="N989" s="510"/>
      <c r="O989" s="510"/>
      <c r="P989" s="510"/>
      <c r="Q989" s="510"/>
      <c r="R989" s="510"/>
      <c r="S989" s="510"/>
      <c r="T989" s="510"/>
      <c r="U989" s="510"/>
      <c r="V989" s="510"/>
      <c r="W989" s="510"/>
      <c r="X989" s="510"/>
      <c r="Y989" s="510"/>
      <c r="Z989" s="510"/>
      <c r="AA989" s="510"/>
      <c r="AB989" s="510"/>
      <c r="AC989" s="510"/>
      <c r="AD989" s="510"/>
    </row>
    <row r="990" ht="28.5" customHeight="1">
      <c r="A990" s="288"/>
      <c r="B990" s="510"/>
      <c r="C990" s="510"/>
      <c r="D990" s="288"/>
      <c r="E990" s="511"/>
      <c r="F990" s="510"/>
      <c r="G990" s="510"/>
      <c r="H990" s="510"/>
      <c r="I990" s="510"/>
      <c r="J990" s="510"/>
      <c r="K990" s="510"/>
      <c r="L990" s="510"/>
      <c r="M990" s="510"/>
      <c r="N990" s="510"/>
      <c r="O990" s="510"/>
      <c r="P990" s="510"/>
      <c r="Q990" s="510"/>
      <c r="R990" s="510"/>
      <c r="S990" s="510"/>
      <c r="T990" s="510"/>
      <c r="U990" s="510"/>
      <c r="V990" s="510"/>
      <c r="W990" s="510"/>
      <c r="X990" s="510"/>
      <c r="Y990" s="510"/>
      <c r="Z990" s="510"/>
      <c r="AA990" s="510"/>
      <c r="AB990" s="510"/>
      <c r="AC990" s="510"/>
      <c r="AD990" s="510"/>
    </row>
    <row r="991" ht="28.5" customHeight="1">
      <c r="A991" s="288"/>
      <c r="B991" s="510"/>
      <c r="C991" s="510"/>
      <c r="D991" s="288"/>
      <c r="E991" s="511"/>
      <c r="F991" s="510"/>
      <c r="G991" s="510"/>
      <c r="H991" s="510"/>
      <c r="I991" s="510"/>
      <c r="J991" s="510"/>
      <c r="K991" s="510"/>
      <c r="L991" s="510"/>
      <c r="M991" s="510"/>
      <c r="N991" s="510"/>
      <c r="O991" s="510"/>
      <c r="P991" s="510"/>
      <c r="Q991" s="510"/>
      <c r="R991" s="510"/>
      <c r="S991" s="510"/>
      <c r="T991" s="510"/>
      <c r="U991" s="510"/>
      <c r="V991" s="510"/>
      <c r="W991" s="510"/>
      <c r="X991" s="510"/>
      <c r="Y991" s="510"/>
      <c r="Z991" s="510"/>
      <c r="AA991" s="510"/>
      <c r="AB991" s="510"/>
      <c r="AC991" s="510"/>
      <c r="AD991" s="510"/>
    </row>
    <row r="992" ht="28.5" customHeight="1">
      <c r="A992" s="288"/>
      <c r="B992" s="510"/>
      <c r="C992" s="510"/>
      <c r="D992" s="288"/>
      <c r="E992" s="511"/>
      <c r="F992" s="510"/>
      <c r="G992" s="510"/>
      <c r="H992" s="510"/>
      <c r="I992" s="510"/>
      <c r="J992" s="510"/>
      <c r="K992" s="510"/>
      <c r="L992" s="510"/>
      <c r="M992" s="510"/>
      <c r="N992" s="510"/>
      <c r="O992" s="510"/>
      <c r="P992" s="510"/>
      <c r="Q992" s="510"/>
      <c r="R992" s="510"/>
      <c r="S992" s="510"/>
      <c r="T992" s="510"/>
      <c r="U992" s="510"/>
      <c r="V992" s="510"/>
      <c r="W992" s="510"/>
      <c r="X992" s="510"/>
      <c r="Y992" s="510"/>
      <c r="Z992" s="510"/>
      <c r="AA992" s="510"/>
      <c r="AB992" s="510"/>
      <c r="AC992" s="510"/>
      <c r="AD992" s="510"/>
    </row>
    <row r="993" ht="28.5" customHeight="1">
      <c r="A993" s="288"/>
      <c r="B993" s="510"/>
      <c r="C993" s="510"/>
      <c r="D993" s="288"/>
      <c r="E993" s="511"/>
      <c r="F993" s="510"/>
      <c r="G993" s="510"/>
      <c r="H993" s="510"/>
      <c r="I993" s="510"/>
      <c r="J993" s="510"/>
      <c r="K993" s="510"/>
      <c r="L993" s="510"/>
      <c r="M993" s="510"/>
      <c r="N993" s="510"/>
      <c r="O993" s="510"/>
      <c r="P993" s="510"/>
      <c r="Q993" s="510"/>
      <c r="R993" s="510"/>
      <c r="S993" s="510"/>
      <c r="T993" s="510"/>
      <c r="U993" s="510"/>
      <c r="V993" s="510"/>
      <c r="W993" s="510"/>
      <c r="X993" s="510"/>
      <c r="Y993" s="510"/>
      <c r="Z993" s="510"/>
      <c r="AA993" s="510"/>
      <c r="AB993" s="510"/>
      <c r="AC993" s="510"/>
      <c r="AD993" s="510"/>
    </row>
    <row r="994" ht="28.5" customHeight="1">
      <c r="A994" s="288"/>
      <c r="B994" s="510"/>
      <c r="C994" s="510"/>
      <c r="D994" s="288"/>
      <c r="E994" s="511"/>
      <c r="F994" s="510"/>
      <c r="G994" s="510"/>
      <c r="H994" s="510"/>
      <c r="I994" s="510"/>
      <c r="J994" s="510"/>
      <c r="K994" s="510"/>
      <c r="L994" s="510"/>
      <c r="M994" s="510"/>
      <c r="N994" s="510"/>
      <c r="O994" s="510"/>
      <c r="P994" s="510"/>
      <c r="Q994" s="510"/>
      <c r="R994" s="510"/>
      <c r="S994" s="510"/>
      <c r="T994" s="510"/>
      <c r="U994" s="510"/>
      <c r="V994" s="510"/>
      <c r="W994" s="510"/>
      <c r="X994" s="510"/>
      <c r="Y994" s="510"/>
      <c r="Z994" s="510"/>
      <c r="AA994" s="510"/>
      <c r="AB994" s="510"/>
      <c r="AC994" s="510"/>
      <c r="AD994" s="510"/>
    </row>
    <row r="995" ht="28.5" customHeight="1">
      <c r="A995" s="288"/>
      <c r="B995" s="510"/>
      <c r="C995" s="510"/>
      <c r="D995" s="288"/>
      <c r="E995" s="511"/>
      <c r="F995" s="510"/>
      <c r="G995" s="510"/>
      <c r="H995" s="510"/>
      <c r="I995" s="510"/>
      <c r="J995" s="510"/>
      <c r="K995" s="510"/>
      <c r="L995" s="510"/>
      <c r="M995" s="510"/>
      <c r="N995" s="510"/>
      <c r="O995" s="510"/>
      <c r="P995" s="510"/>
      <c r="Q995" s="510"/>
      <c r="R995" s="510"/>
      <c r="S995" s="510"/>
      <c r="T995" s="510"/>
      <c r="U995" s="510"/>
      <c r="V995" s="510"/>
      <c r="W995" s="510"/>
      <c r="X995" s="510"/>
      <c r="Y995" s="510"/>
      <c r="Z995" s="510"/>
      <c r="AA995" s="510"/>
      <c r="AB995" s="510"/>
      <c r="AC995" s="510"/>
      <c r="AD995" s="510"/>
    </row>
    <row r="996" ht="28.5" customHeight="1">
      <c r="A996" s="288"/>
      <c r="B996" s="510"/>
      <c r="C996" s="510"/>
      <c r="D996" s="288"/>
      <c r="E996" s="511"/>
      <c r="F996" s="510"/>
      <c r="G996" s="510"/>
      <c r="H996" s="510"/>
      <c r="I996" s="510"/>
      <c r="J996" s="510"/>
      <c r="K996" s="510"/>
      <c r="L996" s="510"/>
      <c r="M996" s="510"/>
      <c r="N996" s="510"/>
      <c r="O996" s="510"/>
      <c r="P996" s="510"/>
      <c r="Q996" s="510"/>
      <c r="R996" s="510"/>
      <c r="S996" s="510"/>
      <c r="T996" s="510"/>
      <c r="U996" s="510"/>
      <c r="V996" s="510"/>
      <c r="W996" s="510"/>
      <c r="X996" s="510"/>
      <c r="Y996" s="510"/>
      <c r="Z996" s="510"/>
      <c r="AA996" s="510"/>
      <c r="AB996" s="510"/>
      <c r="AC996" s="510"/>
      <c r="AD996" s="510"/>
    </row>
    <row r="997" ht="28.5" customHeight="1">
      <c r="A997" s="288"/>
      <c r="B997" s="510"/>
      <c r="C997" s="510"/>
      <c r="D997" s="288"/>
      <c r="E997" s="511"/>
      <c r="F997" s="510"/>
      <c r="G997" s="510"/>
      <c r="H997" s="510"/>
      <c r="I997" s="510"/>
      <c r="J997" s="510"/>
      <c r="K997" s="510"/>
      <c r="L997" s="510"/>
      <c r="M997" s="510"/>
      <c r="N997" s="510"/>
      <c r="O997" s="510"/>
      <c r="P997" s="510"/>
      <c r="Q997" s="510"/>
      <c r="R997" s="510"/>
      <c r="S997" s="510"/>
      <c r="T997" s="510"/>
      <c r="U997" s="510"/>
      <c r="V997" s="510"/>
      <c r="W997" s="510"/>
      <c r="X997" s="510"/>
      <c r="Y997" s="510"/>
      <c r="Z997" s="510"/>
      <c r="AA997" s="510"/>
      <c r="AB997" s="510"/>
      <c r="AC997" s="510"/>
      <c r="AD997" s="510"/>
    </row>
    <row r="998" ht="28.5" customHeight="1">
      <c r="A998" s="288"/>
      <c r="B998" s="510"/>
      <c r="C998" s="510"/>
      <c r="D998" s="288"/>
      <c r="E998" s="511"/>
      <c r="F998" s="510"/>
      <c r="G998" s="510"/>
      <c r="H998" s="510"/>
      <c r="I998" s="510"/>
      <c r="J998" s="510"/>
      <c r="K998" s="510"/>
      <c r="L998" s="510"/>
      <c r="M998" s="510"/>
      <c r="N998" s="510"/>
      <c r="O998" s="510"/>
      <c r="P998" s="510"/>
      <c r="Q998" s="510"/>
      <c r="R998" s="510"/>
      <c r="S998" s="510"/>
      <c r="T998" s="510"/>
      <c r="U998" s="510"/>
      <c r="V998" s="510"/>
      <c r="W998" s="510"/>
      <c r="X998" s="510"/>
      <c r="Y998" s="510"/>
      <c r="Z998" s="510"/>
      <c r="AA998" s="510"/>
      <c r="AB998" s="510"/>
      <c r="AC998" s="510"/>
      <c r="AD998" s="510"/>
    </row>
    <row r="999" ht="28.5" customHeight="1">
      <c r="A999" s="288"/>
      <c r="B999" s="510"/>
      <c r="C999" s="510"/>
      <c r="D999" s="288"/>
      <c r="E999" s="511"/>
      <c r="F999" s="510"/>
      <c r="G999" s="510"/>
      <c r="H999" s="510"/>
      <c r="I999" s="510"/>
      <c r="J999" s="510"/>
      <c r="K999" s="510"/>
      <c r="L999" s="510"/>
      <c r="M999" s="510"/>
      <c r="N999" s="510"/>
      <c r="O999" s="510"/>
      <c r="P999" s="510"/>
      <c r="Q999" s="510"/>
      <c r="R999" s="510"/>
      <c r="S999" s="510"/>
      <c r="T999" s="510"/>
      <c r="U999" s="510"/>
      <c r="V999" s="510"/>
      <c r="W999" s="510"/>
      <c r="X999" s="510"/>
      <c r="Y999" s="510"/>
      <c r="Z999" s="510"/>
      <c r="AA999" s="510"/>
      <c r="AB999" s="510"/>
      <c r="AC999" s="510"/>
      <c r="AD999" s="510"/>
    </row>
    <row r="1000" ht="28.5" customHeight="1">
      <c r="A1000" s="288"/>
      <c r="B1000" s="510"/>
      <c r="C1000" s="510"/>
      <c r="D1000" s="288"/>
      <c r="E1000" s="511"/>
      <c r="F1000" s="510"/>
      <c r="G1000" s="510"/>
      <c r="H1000" s="510"/>
      <c r="I1000" s="510"/>
      <c r="J1000" s="510"/>
      <c r="K1000" s="510"/>
      <c r="L1000" s="510"/>
      <c r="M1000" s="510"/>
      <c r="N1000" s="510"/>
      <c r="O1000" s="510"/>
      <c r="P1000" s="510"/>
      <c r="Q1000" s="510"/>
      <c r="R1000" s="510"/>
      <c r="S1000" s="510"/>
      <c r="T1000" s="510"/>
      <c r="U1000" s="510"/>
      <c r="V1000" s="510"/>
      <c r="W1000" s="510"/>
      <c r="X1000" s="510"/>
      <c r="Y1000" s="510"/>
      <c r="Z1000" s="510"/>
      <c r="AA1000" s="510"/>
      <c r="AB1000" s="510"/>
      <c r="AC1000" s="510"/>
      <c r="AD1000" s="510"/>
    </row>
    <row r="1001" ht="28.5" customHeight="1">
      <c r="A1001" s="288"/>
      <c r="B1001" s="510"/>
      <c r="C1001" s="510"/>
      <c r="D1001" s="288"/>
      <c r="E1001" s="511"/>
      <c r="F1001" s="510"/>
      <c r="G1001" s="510"/>
      <c r="H1001" s="510"/>
      <c r="I1001" s="510"/>
      <c r="J1001" s="510"/>
      <c r="K1001" s="510"/>
      <c r="L1001" s="510"/>
      <c r="M1001" s="510"/>
      <c r="N1001" s="510"/>
      <c r="O1001" s="510"/>
      <c r="P1001" s="510"/>
      <c r="Q1001" s="510"/>
      <c r="R1001" s="510"/>
      <c r="S1001" s="510"/>
      <c r="T1001" s="510"/>
      <c r="U1001" s="510"/>
      <c r="V1001" s="510"/>
      <c r="W1001" s="510"/>
      <c r="X1001" s="510"/>
      <c r="Y1001" s="510"/>
      <c r="Z1001" s="510"/>
      <c r="AA1001" s="510"/>
      <c r="AB1001" s="510"/>
      <c r="AC1001" s="510"/>
      <c r="AD1001" s="510"/>
    </row>
    <row r="1002" ht="28.5" customHeight="1">
      <c r="A1002" s="288"/>
      <c r="B1002" s="510"/>
      <c r="C1002" s="510"/>
      <c r="D1002" s="288"/>
      <c r="E1002" s="511"/>
      <c r="F1002" s="510"/>
      <c r="G1002" s="510"/>
      <c r="H1002" s="510"/>
      <c r="I1002" s="510"/>
      <c r="J1002" s="510"/>
      <c r="K1002" s="510"/>
      <c r="L1002" s="510"/>
      <c r="M1002" s="510"/>
      <c r="N1002" s="510"/>
      <c r="O1002" s="510"/>
      <c r="P1002" s="510"/>
      <c r="Q1002" s="510"/>
      <c r="R1002" s="510"/>
      <c r="S1002" s="510"/>
      <c r="T1002" s="510"/>
      <c r="U1002" s="510"/>
      <c r="V1002" s="510"/>
      <c r="W1002" s="510"/>
      <c r="X1002" s="510"/>
      <c r="Y1002" s="510"/>
      <c r="Z1002" s="510"/>
      <c r="AA1002" s="510"/>
      <c r="AB1002" s="510"/>
      <c r="AC1002" s="510"/>
      <c r="AD1002" s="510"/>
    </row>
    <row r="1003" ht="28.5" customHeight="1">
      <c r="A1003" s="288"/>
      <c r="B1003" s="510"/>
      <c r="C1003" s="510"/>
      <c r="D1003" s="288"/>
      <c r="E1003" s="511"/>
      <c r="F1003" s="510"/>
      <c r="G1003" s="510"/>
      <c r="H1003" s="510"/>
      <c r="I1003" s="510"/>
      <c r="J1003" s="510"/>
      <c r="K1003" s="510"/>
      <c r="L1003" s="510"/>
      <c r="M1003" s="510"/>
      <c r="N1003" s="510"/>
      <c r="O1003" s="510"/>
      <c r="P1003" s="510"/>
      <c r="Q1003" s="510"/>
      <c r="R1003" s="510"/>
      <c r="S1003" s="510"/>
      <c r="T1003" s="510"/>
      <c r="U1003" s="510"/>
      <c r="V1003" s="510"/>
      <c r="W1003" s="510"/>
      <c r="X1003" s="510"/>
      <c r="Y1003" s="510"/>
      <c r="Z1003" s="510"/>
      <c r="AA1003" s="510"/>
      <c r="AB1003" s="510"/>
      <c r="AC1003" s="510"/>
      <c r="AD1003" s="510"/>
    </row>
    <row r="1004" ht="28.5" customHeight="1">
      <c r="A1004" s="288"/>
      <c r="B1004" s="510"/>
      <c r="C1004" s="510"/>
      <c r="D1004" s="288"/>
      <c r="E1004" s="511"/>
      <c r="F1004" s="510"/>
      <c r="G1004" s="510"/>
      <c r="H1004" s="510"/>
      <c r="I1004" s="510"/>
      <c r="J1004" s="510"/>
      <c r="K1004" s="510"/>
      <c r="L1004" s="510"/>
      <c r="M1004" s="510"/>
      <c r="N1004" s="510"/>
      <c r="O1004" s="510"/>
      <c r="P1004" s="510"/>
      <c r="Q1004" s="510"/>
      <c r="R1004" s="510"/>
      <c r="S1004" s="510"/>
      <c r="T1004" s="510"/>
      <c r="U1004" s="510"/>
      <c r="V1004" s="510"/>
      <c r="W1004" s="510"/>
      <c r="X1004" s="510"/>
      <c r="Y1004" s="510"/>
      <c r="Z1004" s="510"/>
      <c r="AA1004" s="510"/>
      <c r="AB1004" s="510"/>
      <c r="AC1004" s="510"/>
      <c r="AD1004" s="510"/>
    </row>
    <row r="1005" ht="28.5" customHeight="1">
      <c r="A1005" s="288"/>
      <c r="B1005" s="510"/>
      <c r="C1005" s="510"/>
      <c r="D1005" s="288"/>
      <c r="E1005" s="511"/>
      <c r="F1005" s="510"/>
      <c r="G1005" s="510"/>
      <c r="H1005" s="510"/>
      <c r="I1005" s="510"/>
      <c r="J1005" s="510"/>
      <c r="K1005" s="510"/>
      <c r="L1005" s="510"/>
      <c r="M1005" s="510"/>
      <c r="N1005" s="510"/>
      <c r="O1005" s="510"/>
      <c r="P1005" s="510"/>
      <c r="Q1005" s="510"/>
      <c r="R1005" s="510"/>
      <c r="S1005" s="510"/>
      <c r="T1005" s="510"/>
      <c r="U1005" s="510"/>
      <c r="V1005" s="510"/>
      <c r="W1005" s="510"/>
      <c r="X1005" s="510"/>
      <c r="Y1005" s="510"/>
      <c r="Z1005" s="510"/>
      <c r="AA1005" s="510"/>
      <c r="AB1005" s="510"/>
      <c r="AC1005" s="510"/>
      <c r="AD1005" s="510"/>
    </row>
    <row r="1006" ht="28.5" customHeight="1">
      <c r="A1006" s="288"/>
      <c r="B1006" s="510"/>
      <c r="C1006" s="510"/>
      <c r="D1006" s="288"/>
      <c r="E1006" s="511"/>
      <c r="F1006" s="510"/>
      <c r="G1006" s="510"/>
      <c r="H1006" s="510"/>
      <c r="I1006" s="510"/>
      <c r="J1006" s="510"/>
      <c r="K1006" s="510"/>
      <c r="L1006" s="510"/>
      <c r="M1006" s="510"/>
      <c r="N1006" s="510"/>
      <c r="O1006" s="510"/>
      <c r="P1006" s="510"/>
      <c r="Q1006" s="510"/>
      <c r="R1006" s="510"/>
      <c r="S1006" s="510"/>
      <c r="T1006" s="510"/>
      <c r="U1006" s="510"/>
      <c r="V1006" s="510"/>
      <c r="W1006" s="510"/>
      <c r="X1006" s="510"/>
      <c r="Y1006" s="510"/>
      <c r="Z1006" s="510"/>
      <c r="AA1006" s="510"/>
      <c r="AB1006" s="510"/>
      <c r="AC1006" s="510"/>
      <c r="AD1006" s="510"/>
    </row>
    <row r="1007" ht="28.5" customHeight="1">
      <c r="A1007" s="288"/>
      <c r="B1007" s="510"/>
      <c r="C1007" s="510"/>
      <c r="D1007" s="288"/>
      <c r="E1007" s="511"/>
      <c r="F1007" s="510"/>
      <c r="G1007" s="510"/>
      <c r="H1007" s="510"/>
      <c r="I1007" s="510"/>
      <c r="J1007" s="510"/>
      <c r="K1007" s="510"/>
      <c r="L1007" s="510"/>
      <c r="M1007" s="510"/>
      <c r="N1007" s="510"/>
      <c r="O1007" s="510"/>
      <c r="P1007" s="510"/>
      <c r="Q1007" s="510"/>
      <c r="R1007" s="510"/>
      <c r="S1007" s="510"/>
      <c r="T1007" s="510"/>
      <c r="U1007" s="510"/>
      <c r="V1007" s="510"/>
      <c r="W1007" s="510"/>
      <c r="X1007" s="510"/>
      <c r="Y1007" s="510"/>
      <c r="Z1007" s="510"/>
      <c r="AA1007" s="510"/>
      <c r="AB1007" s="510"/>
      <c r="AC1007" s="510"/>
      <c r="AD1007" s="510"/>
    </row>
    <row r="1008" ht="28.5" customHeight="1">
      <c r="A1008" s="288"/>
      <c r="B1008" s="510"/>
      <c r="C1008" s="510"/>
      <c r="D1008" s="288"/>
      <c r="E1008" s="511"/>
      <c r="F1008" s="510"/>
      <c r="G1008" s="510"/>
      <c r="H1008" s="510"/>
      <c r="I1008" s="510"/>
      <c r="J1008" s="510"/>
      <c r="K1008" s="510"/>
      <c r="L1008" s="510"/>
      <c r="M1008" s="510"/>
      <c r="N1008" s="510"/>
      <c r="O1008" s="510"/>
      <c r="P1008" s="510"/>
      <c r="Q1008" s="510"/>
      <c r="R1008" s="510"/>
      <c r="S1008" s="510"/>
      <c r="T1008" s="510"/>
      <c r="U1008" s="510"/>
      <c r="V1008" s="510"/>
      <c r="W1008" s="510"/>
      <c r="X1008" s="510"/>
      <c r="Y1008" s="510"/>
      <c r="Z1008" s="510"/>
      <c r="AA1008" s="510"/>
      <c r="AB1008" s="510"/>
      <c r="AC1008" s="510"/>
      <c r="AD1008" s="510"/>
    </row>
    <row r="1009" ht="28.5" customHeight="1">
      <c r="A1009" s="288"/>
      <c r="B1009" s="510"/>
      <c r="C1009" s="510"/>
      <c r="D1009" s="288"/>
      <c r="E1009" s="511"/>
      <c r="F1009" s="510"/>
      <c r="G1009" s="510"/>
      <c r="H1009" s="510"/>
      <c r="I1009" s="510"/>
      <c r="J1009" s="510"/>
      <c r="K1009" s="510"/>
      <c r="L1009" s="510"/>
      <c r="M1009" s="510"/>
      <c r="N1009" s="510"/>
      <c r="O1009" s="510"/>
      <c r="P1009" s="510"/>
      <c r="Q1009" s="510"/>
      <c r="R1009" s="510"/>
      <c r="S1009" s="510"/>
      <c r="T1009" s="510"/>
      <c r="U1009" s="510"/>
      <c r="V1009" s="510"/>
      <c r="W1009" s="510"/>
      <c r="X1009" s="510"/>
      <c r="Y1009" s="510"/>
      <c r="Z1009" s="510"/>
      <c r="AA1009" s="510"/>
      <c r="AB1009" s="510"/>
      <c r="AC1009" s="510"/>
      <c r="AD1009" s="510"/>
    </row>
    <row r="1010" ht="28.5" customHeight="1">
      <c r="A1010" s="288"/>
      <c r="B1010" s="510"/>
      <c r="C1010" s="510"/>
      <c r="D1010" s="288"/>
      <c r="E1010" s="511"/>
      <c r="F1010" s="510"/>
      <c r="G1010" s="510"/>
      <c r="H1010" s="510"/>
      <c r="I1010" s="510"/>
      <c r="J1010" s="510"/>
      <c r="K1010" s="510"/>
      <c r="L1010" s="510"/>
      <c r="M1010" s="510"/>
      <c r="N1010" s="510"/>
      <c r="O1010" s="510"/>
      <c r="P1010" s="510"/>
      <c r="Q1010" s="510"/>
      <c r="R1010" s="510"/>
      <c r="S1010" s="510"/>
      <c r="T1010" s="510"/>
      <c r="U1010" s="510"/>
      <c r="V1010" s="510"/>
      <c r="W1010" s="510"/>
      <c r="X1010" s="510"/>
      <c r="Y1010" s="510"/>
      <c r="Z1010" s="510"/>
      <c r="AA1010" s="510"/>
      <c r="AB1010" s="510"/>
      <c r="AC1010" s="510"/>
      <c r="AD1010" s="510"/>
    </row>
    <row r="1011" ht="28.5" customHeight="1">
      <c r="A1011" s="288"/>
      <c r="B1011" s="510"/>
      <c r="C1011" s="510"/>
      <c r="D1011" s="288"/>
      <c r="E1011" s="511"/>
      <c r="F1011" s="510"/>
      <c r="G1011" s="510"/>
      <c r="H1011" s="510"/>
      <c r="I1011" s="510"/>
      <c r="J1011" s="510"/>
      <c r="K1011" s="510"/>
      <c r="L1011" s="510"/>
      <c r="M1011" s="510"/>
      <c r="N1011" s="510"/>
      <c r="O1011" s="510"/>
      <c r="P1011" s="510"/>
      <c r="Q1011" s="510"/>
      <c r="R1011" s="510"/>
      <c r="S1011" s="510"/>
      <c r="T1011" s="510"/>
      <c r="U1011" s="510"/>
      <c r="V1011" s="510"/>
      <c r="W1011" s="510"/>
      <c r="X1011" s="510"/>
      <c r="Y1011" s="510"/>
      <c r="Z1011" s="510"/>
      <c r="AA1011" s="510"/>
      <c r="AB1011" s="510"/>
      <c r="AC1011" s="510"/>
      <c r="AD1011" s="510"/>
    </row>
    <row r="1012" ht="28.5" customHeight="1">
      <c r="A1012" s="288"/>
      <c r="B1012" s="510"/>
      <c r="C1012" s="510"/>
      <c r="D1012" s="288"/>
      <c r="E1012" s="511"/>
      <c r="F1012" s="510"/>
      <c r="G1012" s="510"/>
      <c r="H1012" s="510"/>
      <c r="I1012" s="510"/>
      <c r="J1012" s="510"/>
      <c r="K1012" s="510"/>
      <c r="L1012" s="510"/>
      <c r="M1012" s="510"/>
      <c r="N1012" s="510"/>
      <c r="O1012" s="510"/>
      <c r="P1012" s="510"/>
      <c r="Q1012" s="510"/>
      <c r="R1012" s="510"/>
      <c r="S1012" s="510"/>
      <c r="T1012" s="510"/>
      <c r="U1012" s="510"/>
      <c r="V1012" s="510"/>
      <c r="W1012" s="510"/>
      <c r="X1012" s="510"/>
      <c r="Y1012" s="510"/>
      <c r="Z1012" s="510"/>
      <c r="AA1012" s="510"/>
      <c r="AB1012" s="510"/>
      <c r="AC1012" s="510"/>
      <c r="AD1012" s="510"/>
    </row>
    <row r="1013" ht="28.5" customHeight="1">
      <c r="A1013" s="288"/>
      <c r="B1013" s="510"/>
      <c r="C1013" s="510"/>
      <c r="D1013" s="288"/>
      <c r="E1013" s="511"/>
      <c r="F1013" s="510"/>
      <c r="G1013" s="510"/>
      <c r="H1013" s="510"/>
      <c r="I1013" s="510"/>
      <c r="J1013" s="510"/>
      <c r="K1013" s="510"/>
      <c r="L1013" s="510"/>
      <c r="M1013" s="510"/>
      <c r="N1013" s="510"/>
      <c r="O1013" s="510"/>
      <c r="P1013" s="510"/>
      <c r="Q1013" s="510"/>
      <c r="R1013" s="510"/>
      <c r="S1013" s="510"/>
      <c r="T1013" s="510"/>
      <c r="U1013" s="510"/>
      <c r="V1013" s="510"/>
      <c r="W1013" s="510"/>
      <c r="X1013" s="510"/>
      <c r="Y1013" s="510"/>
      <c r="Z1013" s="510"/>
      <c r="AA1013" s="510"/>
      <c r="AB1013" s="510"/>
      <c r="AC1013" s="510"/>
      <c r="AD1013" s="510"/>
    </row>
    <row r="1014" ht="28.5" customHeight="1">
      <c r="A1014" s="288"/>
      <c r="B1014" s="510"/>
      <c r="C1014" s="510"/>
      <c r="D1014" s="288"/>
      <c r="E1014" s="511"/>
      <c r="F1014" s="510"/>
      <c r="G1014" s="510"/>
      <c r="H1014" s="510"/>
      <c r="I1014" s="510"/>
      <c r="J1014" s="510"/>
      <c r="K1014" s="510"/>
      <c r="L1014" s="510"/>
      <c r="M1014" s="510"/>
      <c r="N1014" s="510"/>
      <c r="O1014" s="510"/>
      <c r="P1014" s="510"/>
      <c r="Q1014" s="510"/>
      <c r="R1014" s="510"/>
      <c r="S1014" s="510"/>
      <c r="T1014" s="510"/>
      <c r="U1014" s="510"/>
      <c r="V1014" s="510"/>
      <c r="W1014" s="510"/>
      <c r="X1014" s="510"/>
      <c r="Y1014" s="510"/>
      <c r="Z1014" s="510"/>
      <c r="AA1014" s="510"/>
      <c r="AB1014" s="510"/>
      <c r="AC1014" s="510"/>
      <c r="AD1014" s="510"/>
    </row>
    <row r="1015" ht="28.5" customHeight="1">
      <c r="A1015" s="288"/>
      <c r="B1015" s="510"/>
      <c r="C1015" s="510"/>
      <c r="D1015" s="288"/>
      <c r="E1015" s="511"/>
      <c r="F1015" s="510"/>
      <c r="G1015" s="510"/>
      <c r="H1015" s="510"/>
      <c r="I1015" s="510"/>
      <c r="J1015" s="510"/>
      <c r="K1015" s="510"/>
      <c r="L1015" s="510"/>
      <c r="M1015" s="510"/>
      <c r="N1015" s="510"/>
      <c r="O1015" s="510"/>
      <c r="P1015" s="510"/>
      <c r="Q1015" s="510"/>
      <c r="R1015" s="510"/>
      <c r="S1015" s="510"/>
      <c r="T1015" s="510"/>
      <c r="U1015" s="510"/>
      <c r="V1015" s="510"/>
      <c r="W1015" s="510"/>
      <c r="X1015" s="510"/>
      <c r="Y1015" s="510"/>
      <c r="Z1015" s="510"/>
      <c r="AA1015" s="510"/>
      <c r="AB1015" s="510"/>
      <c r="AC1015" s="510"/>
      <c r="AD1015" s="510"/>
    </row>
    <row r="1016" ht="28.5" customHeight="1">
      <c r="A1016" s="288"/>
      <c r="B1016" s="510"/>
      <c r="C1016" s="510"/>
      <c r="D1016" s="288"/>
      <c r="E1016" s="511"/>
      <c r="F1016" s="510"/>
      <c r="G1016" s="510"/>
      <c r="H1016" s="510"/>
      <c r="I1016" s="510"/>
      <c r="J1016" s="510"/>
      <c r="K1016" s="510"/>
      <c r="L1016" s="510"/>
      <c r="M1016" s="510"/>
      <c r="N1016" s="510"/>
      <c r="O1016" s="510"/>
      <c r="P1016" s="510"/>
      <c r="Q1016" s="510"/>
      <c r="R1016" s="510"/>
      <c r="S1016" s="510"/>
      <c r="T1016" s="510"/>
      <c r="U1016" s="510"/>
      <c r="V1016" s="510"/>
      <c r="W1016" s="510"/>
      <c r="X1016" s="510"/>
      <c r="Y1016" s="510"/>
      <c r="Z1016" s="510"/>
      <c r="AA1016" s="510"/>
      <c r="AB1016" s="510"/>
      <c r="AC1016" s="510"/>
      <c r="AD1016" s="510"/>
    </row>
    <row r="1017" ht="28.5" customHeight="1">
      <c r="A1017" s="288"/>
      <c r="B1017" s="510"/>
      <c r="C1017" s="510"/>
      <c r="D1017" s="288"/>
      <c r="E1017" s="511"/>
      <c r="F1017" s="510"/>
      <c r="G1017" s="510"/>
      <c r="H1017" s="510"/>
      <c r="I1017" s="510"/>
      <c r="J1017" s="510"/>
      <c r="K1017" s="510"/>
      <c r="L1017" s="510"/>
      <c r="M1017" s="510"/>
      <c r="N1017" s="510"/>
      <c r="O1017" s="510"/>
      <c r="P1017" s="510"/>
      <c r="Q1017" s="510"/>
      <c r="R1017" s="510"/>
      <c r="S1017" s="510"/>
      <c r="T1017" s="510"/>
      <c r="U1017" s="510"/>
      <c r="V1017" s="510"/>
      <c r="W1017" s="510"/>
      <c r="X1017" s="510"/>
      <c r="Y1017" s="510"/>
      <c r="Z1017" s="510"/>
      <c r="AA1017" s="510"/>
      <c r="AB1017" s="510"/>
      <c r="AC1017" s="510"/>
      <c r="AD1017" s="510"/>
    </row>
    <row r="1018" ht="28.5" customHeight="1">
      <c r="A1018" s="288"/>
      <c r="B1018" s="510"/>
      <c r="C1018" s="510"/>
      <c r="D1018" s="288"/>
      <c r="E1018" s="511"/>
      <c r="F1018" s="510"/>
      <c r="G1018" s="510"/>
      <c r="H1018" s="510"/>
      <c r="I1018" s="510"/>
      <c r="J1018" s="510"/>
      <c r="K1018" s="510"/>
      <c r="L1018" s="510"/>
      <c r="M1018" s="510"/>
      <c r="N1018" s="510"/>
      <c r="O1018" s="510"/>
      <c r="P1018" s="510"/>
      <c r="Q1018" s="510"/>
      <c r="R1018" s="510"/>
      <c r="S1018" s="510"/>
      <c r="T1018" s="510"/>
      <c r="U1018" s="510"/>
      <c r="V1018" s="510"/>
      <c r="W1018" s="510"/>
      <c r="X1018" s="510"/>
      <c r="Y1018" s="510"/>
      <c r="Z1018" s="510"/>
      <c r="AA1018" s="510"/>
      <c r="AB1018" s="510"/>
      <c r="AC1018" s="510"/>
      <c r="AD1018" s="510"/>
    </row>
    <row r="1019" ht="28.5" customHeight="1">
      <c r="A1019" s="288"/>
      <c r="B1019" s="510"/>
      <c r="C1019" s="510"/>
      <c r="D1019" s="288"/>
      <c r="E1019" s="511"/>
      <c r="F1019" s="510"/>
      <c r="G1019" s="510"/>
      <c r="H1019" s="510"/>
      <c r="I1019" s="510"/>
      <c r="J1019" s="510"/>
      <c r="K1019" s="510"/>
      <c r="L1019" s="510"/>
      <c r="M1019" s="510"/>
      <c r="N1019" s="510"/>
      <c r="O1019" s="510"/>
      <c r="P1019" s="510"/>
      <c r="Q1019" s="510"/>
      <c r="R1019" s="510"/>
      <c r="S1019" s="510"/>
      <c r="T1019" s="510"/>
      <c r="U1019" s="510"/>
      <c r="V1019" s="510"/>
      <c r="W1019" s="510"/>
      <c r="X1019" s="510"/>
      <c r="Y1019" s="510"/>
      <c r="Z1019" s="510"/>
      <c r="AA1019" s="510"/>
      <c r="AB1019" s="510"/>
      <c r="AC1019" s="510"/>
      <c r="AD1019" s="510"/>
    </row>
    <row r="1020" ht="28.5" customHeight="1">
      <c r="A1020" s="288"/>
      <c r="B1020" s="510"/>
      <c r="C1020" s="510"/>
      <c r="D1020" s="288"/>
      <c r="E1020" s="511"/>
      <c r="F1020" s="510"/>
      <c r="G1020" s="510"/>
      <c r="H1020" s="510"/>
      <c r="I1020" s="510"/>
      <c r="J1020" s="510"/>
      <c r="K1020" s="510"/>
      <c r="L1020" s="510"/>
      <c r="M1020" s="510"/>
      <c r="N1020" s="510"/>
      <c r="O1020" s="510"/>
      <c r="P1020" s="510"/>
      <c r="Q1020" s="510"/>
      <c r="R1020" s="510"/>
      <c r="S1020" s="510"/>
      <c r="T1020" s="510"/>
      <c r="U1020" s="510"/>
      <c r="V1020" s="510"/>
      <c r="W1020" s="510"/>
      <c r="X1020" s="510"/>
      <c r="Y1020" s="510"/>
      <c r="Z1020" s="510"/>
      <c r="AA1020" s="510"/>
      <c r="AB1020" s="510"/>
      <c r="AC1020" s="510"/>
      <c r="AD1020" s="510"/>
    </row>
    <row r="1021" ht="28.5" customHeight="1">
      <c r="A1021" s="288"/>
      <c r="B1021" s="510"/>
      <c r="C1021" s="510"/>
      <c r="D1021" s="288"/>
      <c r="E1021" s="511"/>
      <c r="F1021" s="510"/>
      <c r="G1021" s="510"/>
      <c r="H1021" s="510"/>
      <c r="I1021" s="510"/>
      <c r="J1021" s="510"/>
      <c r="K1021" s="510"/>
      <c r="L1021" s="510"/>
      <c r="M1021" s="510"/>
      <c r="N1021" s="510"/>
      <c r="O1021" s="510"/>
      <c r="P1021" s="510"/>
      <c r="Q1021" s="510"/>
      <c r="R1021" s="510"/>
      <c r="S1021" s="510"/>
      <c r="T1021" s="510"/>
      <c r="U1021" s="510"/>
      <c r="V1021" s="510"/>
      <c r="W1021" s="510"/>
      <c r="X1021" s="510"/>
      <c r="Y1021" s="510"/>
      <c r="Z1021" s="510"/>
      <c r="AA1021" s="510"/>
      <c r="AB1021" s="510"/>
      <c r="AC1021" s="510"/>
      <c r="AD1021" s="510"/>
    </row>
    <row r="1022" ht="28.5" customHeight="1">
      <c r="A1022" s="288"/>
      <c r="B1022" s="510"/>
      <c r="C1022" s="510"/>
      <c r="D1022" s="288"/>
      <c r="E1022" s="511"/>
      <c r="F1022" s="510"/>
      <c r="G1022" s="510"/>
      <c r="H1022" s="510"/>
      <c r="I1022" s="510"/>
      <c r="J1022" s="510"/>
      <c r="K1022" s="510"/>
      <c r="L1022" s="510"/>
      <c r="M1022" s="510"/>
      <c r="N1022" s="510"/>
      <c r="O1022" s="510"/>
      <c r="P1022" s="510"/>
      <c r="Q1022" s="510"/>
      <c r="R1022" s="510"/>
      <c r="S1022" s="510"/>
      <c r="T1022" s="510"/>
      <c r="U1022" s="510"/>
      <c r="V1022" s="510"/>
      <c r="W1022" s="510"/>
      <c r="X1022" s="510"/>
      <c r="Y1022" s="510"/>
      <c r="Z1022" s="510"/>
      <c r="AA1022" s="510"/>
      <c r="AB1022" s="510"/>
      <c r="AC1022" s="510"/>
      <c r="AD1022" s="510"/>
    </row>
    <row r="1023" ht="28.5" customHeight="1">
      <c r="A1023" s="288"/>
      <c r="B1023" s="510"/>
      <c r="C1023" s="510"/>
      <c r="D1023" s="288"/>
      <c r="E1023" s="511"/>
      <c r="F1023" s="510"/>
      <c r="G1023" s="510"/>
      <c r="H1023" s="510"/>
      <c r="I1023" s="510"/>
      <c r="J1023" s="510"/>
      <c r="K1023" s="510"/>
      <c r="L1023" s="510"/>
      <c r="M1023" s="510"/>
      <c r="N1023" s="510"/>
      <c r="O1023" s="510"/>
      <c r="P1023" s="510"/>
      <c r="Q1023" s="510"/>
      <c r="R1023" s="510"/>
      <c r="S1023" s="510"/>
      <c r="T1023" s="510"/>
      <c r="U1023" s="510"/>
      <c r="V1023" s="510"/>
      <c r="W1023" s="510"/>
      <c r="X1023" s="510"/>
      <c r="Y1023" s="510"/>
      <c r="Z1023" s="510"/>
      <c r="AA1023" s="510"/>
      <c r="AB1023" s="510"/>
      <c r="AC1023" s="510"/>
      <c r="AD1023" s="510"/>
    </row>
    <row r="1024" ht="28.5" customHeight="1">
      <c r="A1024" s="288"/>
      <c r="B1024" s="510"/>
      <c r="C1024" s="510"/>
      <c r="D1024" s="288"/>
      <c r="E1024" s="511"/>
      <c r="F1024" s="510"/>
      <c r="G1024" s="510"/>
      <c r="H1024" s="510"/>
      <c r="I1024" s="510"/>
      <c r="J1024" s="510"/>
      <c r="K1024" s="510"/>
      <c r="L1024" s="510"/>
      <c r="M1024" s="510"/>
      <c r="N1024" s="510"/>
      <c r="O1024" s="510"/>
      <c r="P1024" s="510"/>
      <c r="Q1024" s="510"/>
      <c r="R1024" s="510"/>
      <c r="S1024" s="510"/>
      <c r="T1024" s="510"/>
      <c r="U1024" s="510"/>
      <c r="V1024" s="510"/>
      <c r="W1024" s="510"/>
      <c r="X1024" s="510"/>
      <c r="Y1024" s="510"/>
      <c r="Z1024" s="510"/>
      <c r="AA1024" s="510"/>
      <c r="AB1024" s="510"/>
      <c r="AC1024" s="510"/>
      <c r="AD1024" s="510"/>
    </row>
    <row r="1025" ht="28.5" customHeight="1">
      <c r="A1025" s="288"/>
      <c r="B1025" s="510"/>
      <c r="C1025" s="510"/>
      <c r="D1025" s="288"/>
      <c r="E1025" s="511"/>
      <c r="F1025" s="510"/>
      <c r="G1025" s="510"/>
      <c r="H1025" s="510"/>
      <c r="I1025" s="510"/>
      <c r="J1025" s="510"/>
      <c r="K1025" s="510"/>
      <c r="L1025" s="510"/>
      <c r="M1025" s="510"/>
      <c r="N1025" s="510"/>
      <c r="O1025" s="510"/>
      <c r="P1025" s="510"/>
      <c r="Q1025" s="510"/>
      <c r="R1025" s="510"/>
      <c r="S1025" s="510"/>
      <c r="T1025" s="510"/>
      <c r="U1025" s="510"/>
      <c r="V1025" s="510"/>
      <c r="W1025" s="510"/>
      <c r="X1025" s="510"/>
      <c r="Y1025" s="510"/>
      <c r="Z1025" s="510"/>
      <c r="AA1025" s="510"/>
      <c r="AB1025" s="510"/>
      <c r="AC1025" s="510"/>
      <c r="AD1025" s="510"/>
    </row>
    <row r="1026" ht="28.5" customHeight="1">
      <c r="A1026" s="288"/>
      <c r="B1026" s="510"/>
      <c r="C1026" s="510"/>
      <c r="D1026" s="288"/>
      <c r="E1026" s="511"/>
      <c r="F1026" s="510"/>
      <c r="G1026" s="510"/>
      <c r="H1026" s="510"/>
      <c r="I1026" s="510"/>
      <c r="J1026" s="510"/>
      <c r="K1026" s="510"/>
      <c r="L1026" s="510"/>
      <c r="M1026" s="510"/>
      <c r="N1026" s="510"/>
      <c r="O1026" s="510"/>
      <c r="P1026" s="510"/>
      <c r="Q1026" s="510"/>
      <c r="R1026" s="510"/>
      <c r="S1026" s="510"/>
      <c r="T1026" s="510"/>
      <c r="U1026" s="510"/>
      <c r="V1026" s="510"/>
      <c r="W1026" s="510"/>
      <c r="X1026" s="510"/>
      <c r="Y1026" s="510"/>
      <c r="Z1026" s="510"/>
      <c r="AA1026" s="510"/>
      <c r="AB1026" s="510"/>
      <c r="AC1026" s="510"/>
      <c r="AD1026" s="510"/>
    </row>
    <row r="1027" ht="28.5" customHeight="1">
      <c r="A1027" s="288"/>
      <c r="B1027" s="510"/>
      <c r="C1027" s="510"/>
      <c r="D1027" s="288"/>
      <c r="E1027" s="511"/>
      <c r="F1027" s="510"/>
      <c r="G1027" s="510"/>
      <c r="H1027" s="510"/>
      <c r="I1027" s="510"/>
      <c r="J1027" s="510"/>
      <c r="K1027" s="510"/>
      <c r="L1027" s="510"/>
      <c r="M1027" s="510"/>
      <c r="N1027" s="510"/>
      <c r="O1027" s="510"/>
      <c r="P1027" s="510"/>
      <c r="Q1027" s="510"/>
      <c r="R1027" s="510"/>
      <c r="S1027" s="510"/>
      <c r="T1027" s="510"/>
      <c r="U1027" s="510"/>
      <c r="V1027" s="510"/>
      <c r="W1027" s="510"/>
      <c r="X1027" s="510"/>
      <c r="Y1027" s="510"/>
      <c r="Z1027" s="510"/>
      <c r="AA1027" s="510"/>
      <c r="AB1027" s="510"/>
      <c r="AC1027" s="510"/>
      <c r="AD1027" s="510"/>
    </row>
    <row r="1028" ht="28.5" customHeight="1">
      <c r="A1028" s="288"/>
      <c r="B1028" s="510"/>
      <c r="C1028" s="510"/>
      <c r="D1028" s="288"/>
      <c r="E1028" s="511"/>
      <c r="F1028" s="510"/>
      <c r="G1028" s="510"/>
      <c r="H1028" s="510"/>
      <c r="I1028" s="510"/>
      <c r="J1028" s="510"/>
      <c r="K1028" s="510"/>
      <c r="L1028" s="510"/>
      <c r="M1028" s="510"/>
      <c r="N1028" s="510"/>
      <c r="O1028" s="510"/>
      <c r="P1028" s="510"/>
      <c r="Q1028" s="510"/>
      <c r="R1028" s="510"/>
      <c r="S1028" s="510"/>
      <c r="T1028" s="510"/>
      <c r="U1028" s="510"/>
      <c r="V1028" s="510"/>
      <c r="W1028" s="510"/>
      <c r="X1028" s="510"/>
      <c r="Y1028" s="510"/>
      <c r="Z1028" s="510"/>
      <c r="AA1028" s="510"/>
      <c r="AB1028" s="510"/>
      <c r="AC1028" s="510"/>
      <c r="AD1028" s="510"/>
    </row>
    <row r="1029" ht="28.5" customHeight="1">
      <c r="A1029" s="288"/>
      <c r="B1029" s="510"/>
      <c r="C1029" s="510"/>
      <c r="D1029" s="288"/>
      <c r="E1029" s="511"/>
      <c r="F1029" s="510"/>
      <c r="G1029" s="510"/>
      <c r="H1029" s="510"/>
      <c r="I1029" s="510"/>
      <c r="J1029" s="510"/>
      <c r="K1029" s="510"/>
      <c r="L1029" s="510"/>
      <c r="M1029" s="510"/>
      <c r="N1029" s="510"/>
      <c r="O1029" s="510"/>
      <c r="P1029" s="510"/>
      <c r="Q1029" s="510"/>
      <c r="R1029" s="510"/>
      <c r="S1029" s="510"/>
      <c r="T1029" s="510"/>
      <c r="U1029" s="510"/>
      <c r="V1029" s="510"/>
      <c r="W1029" s="510"/>
      <c r="X1029" s="510"/>
      <c r="Y1029" s="510"/>
      <c r="Z1029" s="510"/>
      <c r="AA1029" s="510"/>
      <c r="AB1029" s="510"/>
      <c r="AC1029" s="510"/>
      <c r="AD1029" s="510"/>
    </row>
    <row r="1030" ht="28.5" customHeight="1">
      <c r="A1030" s="288"/>
      <c r="B1030" s="510"/>
      <c r="C1030" s="510"/>
      <c r="D1030" s="288"/>
      <c r="E1030" s="511"/>
      <c r="F1030" s="510"/>
      <c r="G1030" s="510"/>
      <c r="H1030" s="510"/>
      <c r="I1030" s="510"/>
      <c r="J1030" s="510"/>
      <c r="K1030" s="510"/>
      <c r="L1030" s="510"/>
      <c r="M1030" s="510"/>
      <c r="N1030" s="510"/>
      <c r="O1030" s="510"/>
      <c r="P1030" s="510"/>
      <c r="Q1030" s="510"/>
      <c r="R1030" s="510"/>
      <c r="S1030" s="510"/>
      <c r="T1030" s="510"/>
      <c r="U1030" s="510"/>
      <c r="V1030" s="510"/>
      <c r="W1030" s="510"/>
      <c r="X1030" s="510"/>
      <c r="Y1030" s="510"/>
      <c r="Z1030" s="510"/>
      <c r="AA1030" s="510"/>
      <c r="AB1030" s="510"/>
      <c r="AC1030" s="510"/>
      <c r="AD1030" s="510"/>
    </row>
    <row r="1031" ht="28.5" customHeight="1">
      <c r="A1031" s="288"/>
      <c r="B1031" s="510"/>
      <c r="C1031" s="510"/>
      <c r="D1031" s="288"/>
      <c r="E1031" s="511"/>
      <c r="F1031" s="510"/>
      <c r="G1031" s="510"/>
      <c r="H1031" s="510"/>
      <c r="I1031" s="510"/>
      <c r="J1031" s="510"/>
      <c r="K1031" s="510"/>
      <c r="L1031" s="510"/>
      <c r="M1031" s="510"/>
      <c r="N1031" s="510"/>
      <c r="O1031" s="510"/>
      <c r="P1031" s="510"/>
      <c r="Q1031" s="510"/>
      <c r="R1031" s="510"/>
      <c r="S1031" s="510"/>
      <c r="T1031" s="510"/>
      <c r="U1031" s="510"/>
      <c r="V1031" s="510"/>
      <c r="W1031" s="510"/>
      <c r="X1031" s="510"/>
      <c r="Y1031" s="510"/>
      <c r="Z1031" s="510"/>
      <c r="AA1031" s="510"/>
      <c r="AB1031" s="510"/>
      <c r="AC1031" s="510"/>
      <c r="AD1031" s="510"/>
    </row>
    <row r="1032" ht="28.5" customHeight="1">
      <c r="A1032" s="288"/>
      <c r="B1032" s="510"/>
      <c r="C1032" s="510"/>
      <c r="D1032" s="288"/>
      <c r="E1032" s="511"/>
      <c r="F1032" s="510"/>
      <c r="G1032" s="510"/>
      <c r="H1032" s="510"/>
      <c r="I1032" s="510"/>
      <c r="J1032" s="510"/>
      <c r="K1032" s="510"/>
      <c r="L1032" s="510"/>
      <c r="M1032" s="510"/>
      <c r="N1032" s="510"/>
      <c r="O1032" s="510"/>
      <c r="P1032" s="510"/>
      <c r="Q1032" s="510"/>
      <c r="R1032" s="510"/>
      <c r="S1032" s="510"/>
      <c r="T1032" s="510"/>
      <c r="U1032" s="510"/>
      <c r="V1032" s="510"/>
      <c r="W1032" s="510"/>
      <c r="X1032" s="510"/>
      <c r="Y1032" s="510"/>
      <c r="Z1032" s="510"/>
      <c r="AA1032" s="510"/>
      <c r="AB1032" s="510"/>
      <c r="AC1032" s="510"/>
      <c r="AD1032" s="510"/>
    </row>
    <row r="1033" ht="28.5" customHeight="1">
      <c r="A1033" s="288"/>
      <c r="B1033" s="510"/>
      <c r="C1033" s="510"/>
      <c r="D1033" s="288"/>
      <c r="E1033" s="511"/>
      <c r="F1033" s="510"/>
      <c r="G1033" s="510"/>
      <c r="H1033" s="510"/>
      <c r="I1033" s="510"/>
      <c r="J1033" s="510"/>
      <c r="K1033" s="510"/>
      <c r="L1033" s="510"/>
      <c r="M1033" s="510"/>
      <c r="N1033" s="510"/>
      <c r="O1033" s="510"/>
      <c r="P1033" s="510"/>
      <c r="Q1033" s="510"/>
      <c r="R1033" s="510"/>
      <c r="S1033" s="510"/>
      <c r="T1033" s="510"/>
      <c r="U1033" s="510"/>
      <c r="V1033" s="510"/>
      <c r="W1033" s="510"/>
      <c r="X1033" s="510"/>
      <c r="Y1033" s="510"/>
      <c r="Z1033" s="510"/>
      <c r="AA1033" s="510"/>
      <c r="AB1033" s="510"/>
      <c r="AC1033" s="510"/>
      <c r="AD1033" s="510"/>
    </row>
    <row r="1034" ht="28.5" customHeight="1">
      <c r="A1034" s="288"/>
      <c r="B1034" s="510"/>
      <c r="C1034" s="510"/>
      <c r="D1034" s="288"/>
      <c r="E1034" s="511"/>
      <c r="F1034" s="510"/>
      <c r="G1034" s="510"/>
      <c r="H1034" s="510"/>
      <c r="I1034" s="510"/>
      <c r="J1034" s="510"/>
      <c r="K1034" s="510"/>
      <c r="L1034" s="510"/>
      <c r="M1034" s="510"/>
      <c r="N1034" s="510"/>
      <c r="O1034" s="510"/>
      <c r="P1034" s="510"/>
      <c r="Q1034" s="510"/>
      <c r="R1034" s="510"/>
      <c r="S1034" s="510"/>
      <c r="T1034" s="510"/>
      <c r="U1034" s="510"/>
      <c r="V1034" s="510"/>
      <c r="W1034" s="510"/>
      <c r="X1034" s="510"/>
      <c r="Y1034" s="510"/>
      <c r="Z1034" s="510"/>
      <c r="AA1034" s="510"/>
      <c r="AB1034" s="510"/>
      <c r="AC1034" s="510"/>
      <c r="AD1034" s="510"/>
    </row>
    <row r="1035" ht="28.5" customHeight="1">
      <c r="A1035" s="288"/>
      <c r="B1035" s="510"/>
      <c r="C1035" s="510"/>
      <c r="D1035" s="288"/>
      <c r="E1035" s="511"/>
      <c r="F1035" s="510"/>
      <c r="G1035" s="510"/>
      <c r="H1035" s="510"/>
      <c r="I1035" s="510"/>
      <c r="J1035" s="510"/>
      <c r="K1035" s="510"/>
      <c r="L1035" s="510"/>
      <c r="M1035" s="510"/>
      <c r="N1035" s="510"/>
      <c r="O1035" s="510"/>
      <c r="P1035" s="510"/>
      <c r="Q1035" s="510"/>
      <c r="R1035" s="510"/>
      <c r="S1035" s="510"/>
      <c r="T1035" s="510"/>
      <c r="U1035" s="510"/>
      <c r="V1035" s="510"/>
      <c r="W1035" s="510"/>
      <c r="X1035" s="510"/>
      <c r="Y1035" s="510"/>
      <c r="Z1035" s="510"/>
      <c r="AA1035" s="510"/>
      <c r="AB1035" s="510"/>
      <c r="AC1035" s="510"/>
      <c r="AD1035" s="510"/>
    </row>
    <row r="1036" ht="28.5" customHeight="1">
      <c r="A1036" s="288"/>
      <c r="B1036" s="510"/>
      <c r="C1036" s="510"/>
      <c r="D1036" s="288"/>
      <c r="E1036" s="511"/>
      <c r="F1036" s="510"/>
      <c r="G1036" s="510"/>
      <c r="H1036" s="510"/>
      <c r="I1036" s="510"/>
      <c r="J1036" s="510"/>
      <c r="K1036" s="510"/>
      <c r="L1036" s="510"/>
      <c r="M1036" s="510"/>
      <c r="N1036" s="510"/>
      <c r="O1036" s="510"/>
      <c r="P1036" s="510"/>
      <c r="Q1036" s="510"/>
      <c r="R1036" s="510"/>
      <c r="S1036" s="510"/>
      <c r="T1036" s="510"/>
      <c r="U1036" s="510"/>
      <c r="V1036" s="510"/>
      <c r="W1036" s="510"/>
      <c r="X1036" s="510"/>
      <c r="Y1036" s="510"/>
      <c r="Z1036" s="510"/>
      <c r="AA1036" s="510"/>
      <c r="AB1036" s="510"/>
      <c r="AC1036" s="510"/>
      <c r="AD1036" s="510"/>
    </row>
  </sheetData>
  <hyperlinks>
    <hyperlink r:id="rId1" ref="J3"/>
    <hyperlink r:id="rId2" ref="J4"/>
    <hyperlink r:id="rId3" ref="J5"/>
    <hyperlink r:id="rId4" ref="J7"/>
    <hyperlink r:id="rId5" ref="J8"/>
    <hyperlink r:id="rId6" ref="J9"/>
    <hyperlink r:id="rId7" ref="J10"/>
    <hyperlink r:id="rId8" ref="J11"/>
    <hyperlink r:id="rId9" ref="J12"/>
    <hyperlink r:id="rId10" ref="J15"/>
    <hyperlink r:id="rId11" ref="J16"/>
    <hyperlink r:id="rId12" ref="J21"/>
    <hyperlink r:id="rId13" ref="J26"/>
    <hyperlink r:id="rId14" ref="J27"/>
    <hyperlink r:id="rId15" ref="J29"/>
    <hyperlink r:id="rId16" ref="J31"/>
    <hyperlink r:id="rId17" ref="J32"/>
    <hyperlink r:id="rId18" ref="J33"/>
    <hyperlink r:id="rId19" ref="J34"/>
    <hyperlink r:id="rId20" ref="J35"/>
    <hyperlink r:id="rId21" ref="J36"/>
    <hyperlink r:id="rId22" ref="J38"/>
    <hyperlink r:id="rId23" ref="J39"/>
    <hyperlink r:id="rId24" ref="J40"/>
    <hyperlink r:id="rId25" ref="J41"/>
    <hyperlink r:id="rId26" ref="J42"/>
    <hyperlink r:id="rId27" ref="J43"/>
    <hyperlink r:id="rId28" ref="J47"/>
    <hyperlink r:id="rId29" ref="J48"/>
    <hyperlink r:id="rId30" ref="J49"/>
    <hyperlink r:id="rId31" ref="J50"/>
    <hyperlink r:id="rId32" ref="J51"/>
    <hyperlink r:id="rId33" ref="J52"/>
    <hyperlink r:id="rId34" ref="J54"/>
    <hyperlink r:id="rId35" ref="J56"/>
    <hyperlink r:id="rId36" ref="J67"/>
    <hyperlink r:id="rId37" ref="J74"/>
    <hyperlink r:id="rId38" ref="J77"/>
    <hyperlink r:id="rId39" ref="J78"/>
    <hyperlink r:id="rId40" ref="J79"/>
    <hyperlink r:id="rId41" ref="J80"/>
    <hyperlink r:id="rId42" ref="J81"/>
    <hyperlink r:id="rId43" ref="J82"/>
    <hyperlink r:id="rId44" ref="J83"/>
    <hyperlink r:id="rId45" ref="J84"/>
    <hyperlink r:id="rId46" ref="J85"/>
    <hyperlink r:id="rId47" ref="J87"/>
    <hyperlink r:id="rId48" ref="J88"/>
    <hyperlink r:id="rId49" ref="J89"/>
    <hyperlink r:id="rId50" ref="J90"/>
    <hyperlink r:id="rId51" ref="J92"/>
    <hyperlink r:id="rId52" ref="J93"/>
    <hyperlink r:id="rId53" ref="J94"/>
    <hyperlink r:id="rId54" ref="J95"/>
    <hyperlink r:id="rId55" ref="J96"/>
    <hyperlink r:id="rId56" ref="J97"/>
    <hyperlink r:id="rId57" ref="J98"/>
    <hyperlink r:id="rId58" ref="J99"/>
    <hyperlink r:id="rId59" ref="J100"/>
    <hyperlink r:id="rId60" ref="J101"/>
    <hyperlink r:id="rId61" ref="J102"/>
    <hyperlink r:id="rId62" ref="J103"/>
    <hyperlink r:id="rId63" ref="J104"/>
    <hyperlink r:id="rId64" ref="J105"/>
    <hyperlink r:id="rId65" ref="J106"/>
    <hyperlink r:id="rId66" ref="J107"/>
    <hyperlink r:id="rId67" ref="J108"/>
    <hyperlink r:id="rId68" ref="J114"/>
    <hyperlink r:id="rId69" ref="J131"/>
    <hyperlink r:id="rId70" ref="J133"/>
    <hyperlink r:id="rId71" ref="J134"/>
    <hyperlink r:id="rId72" ref="J135"/>
    <hyperlink r:id="rId73" ref="J139"/>
    <hyperlink r:id="rId74" ref="J142"/>
    <hyperlink r:id="rId75" ref="J148"/>
    <hyperlink r:id="rId76" ref="J150"/>
  </hyperlinks>
  <printOptions gridLines="1"/>
  <pageMargins bottom="0.75" footer="0.0" header="0.0" left="0.7" right="0.7" top="0.75"/>
  <pageSetup paperSize="9" scale="38" orientation="landscape"/>
  <headerFooter>
    <oddHeader>&amp;CUMAPS Alumni Contact list and Details (Sorted by Institution) 2008/2009 -- 2012/2013&amp;R&amp;P</oddHeader>
  </headerFooter>
  <drawing r:id="rId7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5.71"/>
    <col customWidth="1" min="3" max="3" width="32.57"/>
    <col customWidth="1" min="4" max="4" width="40.57"/>
  </cols>
  <sheetData>
    <row r="1" ht="27.75" customHeight="1">
      <c r="A1" s="512" t="s">
        <v>3158</v>
      </c>
      <c r="B1" s="513"/>
      <c r="C1" s="513"/>
      <c r="D1" s="513"/>
      <c r="E1" s="513"/>
      <c r="F1" s="513"/>
      <c r="G1" s="513"/>
      <c r="H1" s="513"/>
      <c r="I1" s="513"/>
      <c r="J1" s="513"/>
      <c r="K1" s="513"/>
      <c r="L1" s="513"/>
      <c r="M1" s="513"/>
      <c r="N1" s="513"/>
      <c r="O1" s="513"/>
      <c r="P1" s="513"/>
      <c r="Q1" s="513"/>
      <c r="R1" s="513"/>
      <c r="S1" s="513"/>
      <c r="T1" s="513"/>
      <c r="U1" s="513"/>
      <c r="V1" s="513"/>
      <c r="W1" s="513"/>
      <c r="X1" s="513"/>
      <c r="Y1" s="513"/>
    </row>
    <row r="2">
      <c r="A2" s="514" t="s">
        <v>3159</v>
      </c>
      <c r="B2" s="515"/>
      <c r="C2" s="515"/>
      <c r="D2" s="516"/>
    </row>
    <row r="3">
      <c r="A3" s="517" t="s">
        <v>0</v>
      </c>
      <c r="B3" s="261" t="s">
        <v>3160</v>
      </c>
      <c r="C3" s="261" t="s">
        <v>3161</v>
      </c>
      <c r="D3" s="297"/>
    </row>
    <row r="4" ht="34.5" customHeight="1">
      <c r="A4" s="518">
        <v>1.0</v>
      </c>
      <c r="B4" s="516" t="s">
        <v>2623</v>
      </c>
      <c r="C4" s="515" t="s">
        <v>3162</v>
      </c>
      <c r="D4" s="297"/>
    </row>
    <row r="5">
      <c r="A5" s="518">
        <v>2.0</v>
      </c>
      <c r="B5" s="519" t="s">
        <v>2934</v>
      </c>
      <c r="C5" s="515" t="s">
        <v>3163</v>
      </c>
      <c r="D5" s="297"/>
    </row>
    <row r="6">
      <c r="A6" s="518">
        <v>3.0</v>
      </c>
      <c r="B6" s="520" t="s">
        <v>1744</v>
      </c>
      <c r="C6" s="515" t="s">
        <v>3164</v>
      </c>
      <c r="D6" s="297"/>
    </row>
    <row r="7">
      <c r="A7" s="517">
        <v>4.0</v>
      </c>
      <c r="B7" s="516" t="s">
        <v>3098</v>
      </c>
      <c r="C7" s="515" t="s">
        <v>3165</v>
      </c>
      <c r="D7" s="297"/>
    </row>
    <row r="8">
      <c r="A8" s="517">
        <v>5.0</v>
      </c>
      <c r="B8" s="516" t="s">
        <v>3135</v>
      </c>
      <c r="C8" s="515" t="s">
        <v>3166</v>
      </c>
      <c r="D8" s="297"/>
    </row>
    <row r="9">
      <c r="A9" s="518">
        <v>6.0</v>
      </c>
      <c r="B9" s="283" t="s">
        <v>3152</v>
      </c>
      <c r="C9" s="520" t="s">
        <v>3167</v>
      </c>
      <c r="D9" s="297"/>
    </row>
    <row r="10">
      <c r="A10" s="518">
        <v>7.0</v>
      </c>
      <c r="B10" s="521" t="s">
        <v>1867</v>
      </c>
      <c r="C10" s="520" t="s">
        <v>3168</v>
      </c>
      <c r="D10" s="297"/>
    </row>
    <row r="11">
      <c r="A11" s="518">
        <v>8.0</v>
      </c>
      <c r="B11" s="516" t="s">
        <v>3120</v>
      </c>
      <c r="C11" s="515" t="s">
        <v>3169</v>
      </c>
      <c r="D11" s="297"/>
    </row>
    <row r="12">
      <c r="A12" s="517">
        <v>9.0</v>
      </c>
      <c r="B12" s="522" t="s">
        <v>2978</v>
      </c>
      <c r="C12" s="522" t="s">
        <v>3170</v>
      </c>
      <c r="D12" s="523" t="s">
        <v>3171</v>
      </c>
    </row>
    <row r="13">
      <c r="A13" s="518">
        <v>10.0</v>
      </c>
      <c r="B13" s="522" t="s">
        <v>1859</v>
      </c>
      <c r="C13" s="522" t="s">
        <v>3172</v>
      </c>
      <c r="D13" s="523" t="s">
        <v>3173</v>
      </c>
    </row>
    <row r="14">
      <c r="A14" s="518">
        <v>11.0</v>
      </c>
      <c r="B14" s="516" t="s">
        <v>983</v>
      </c>
      <c r="C14" s="515" t="s">
        <v>3174</v>
      </c>
      <c r="D14" s="297"/>
    </row>
    <row r="15">
      <c r="A15" s="518">
        <v>12.0</v>
      </c>
      <c r="B15" s="515" t="s">
        <v>3056</v>
      </c>
      <c r="C15" s="515" t="s">
        <v>3174</v>
      </c>
      <c r="D15" s="297"/>
    </row>
    <row r="16">
      <c r="A16" s="518">
        <v>13.0</v>
      </c>
      <c r="B16" s="516" t="s">
        <v>3147</v>
      </c>
      <c r="C16" s="520" t="s">
        <v>3175</v>
      </c>
      <c r="D16" s="297"/>
    </row>
    <row r="17">
      <c r="A17" s="518">
        <v>14.0</v>
      </c>
      <c r="B17" s="516" t="s">
        <v>3109</v>
      </c>
      <c r="C17" s="515" t="s">
        <v>3176</v>
      </c>
      <c r="D17" s="297"/>
    </row>
    <row r="18">
      <c r="A18" s="518">
        <v>15.0</v>
      </c>
      <c r="B18" s="516" t="s">
        <v>2093</v>
      </c>
      <c r="C18" s="515" t="s">
        <v>3163</v>
      </c>
      <c r="D18" s="297"/>
    </row>
    <row r="19">
      <c r="A19" s="518">
        <v>16.0</v>
      </c>
      <c r="B19" s="516" t="s">
        <v>3092</v>
      </c>
      <c r="C19" s="515" t="s">
        <v>3177</v>
      </c>
      <c r="D19" s="297"/>
    </row>
    <row r="20">
      <c r="A20" s="518">
        <v>17.0</v>
      </c>
      <c r="B20" s="522" t="s">
        <v>1757</v>
      </c>
      <c r="C20" s="522" t="s">
        <v>3178</v>
      </c>
      <c r="D20" s="523" t="s">
        <v>3173</v>
      </c>
    </row>
    <row r="21">
      <c r="A21" s="518">
        <v>18.0</v>
      </c>
      <c r="B21" s="516" t="s">
        <v>3144</v>
      </c>
      <c r="C21" s="520" t="s">
        <v>3179</v>
      </c>
      <c r="D21" s="297"/>
    </row>
    <row r="22">
      <c r="A22" s="518">
        <v>19.0</v>
      </c>
      <c r="B22" s="516" t="s">
        <v>3118</v>
      </c>
      <c r="C22" s="515" t="s">
        <v>3180</v>
      </c>
      <c r="D22" s="297"/>
    </row>
    <row r="23">
      <c r="A23" s="517">
        <v>20.0</v>
      </c>
      <c r="B23" s="522" t="s">
        <v>1766</v>
      </c>
      <c r="C23" s="522" t="s">
        <v>3181</v>
      </c>
      <c r="D23" s="523" t="s">
        <v>3173</v>
      </c>
    </row>
    <row r="24">
      <c r="A24" s="518">
        <v>21.0</v>
      </c>
      <c r="B24" s="516" t="s">
        <v>1814</v>
      </c>
      <c r="C24" s="515" t="s">
        <v>3182</v>
      </c>
      <c r="D24" s="297"/>
    </row>
    <row r="25">
      <c r="A25" s="518">
        <v>22.0</v>
      </c>
      <c r="B25" s="515" t="s">
        <v>3154</v>
      </c>
      <c r="C25" s="515" t="s">
        <v>3183</v>
      </c>
      <c r="D25" s="523" t="s">
        <v>3171</v>
      </c>
    </row>
    <row r="26">
      <c r="A26" s="518">
        <v>23.0</v>
      </c>
      <c r="B26" s="516" t="s">
        <v>1331</v>
      </c>
      <c r="C26" s="515" t="s">
        <v>3162</v>
      </c>
      <c r="D26" s="297"/>
    </row>
    <row r="27">
      <c r="A27" s="518">
        <v>24.0</v>
      </c>
      <c r="B27" s="516" t="s">
        <v>3137</v>
      </c>
      <c r="C27" s="515" t="s">
        <v>3184</v>
      </c>
      <c r="D27" s="297"/>
    </row>
    <row r="28">
      <c r="A28" s="518">
        <v>25.0</v>
      </c>
      <c r="B28" s="516" t="s">
        <v>3139</v>
      </c>
      <c r="C28" s="515" t="s">
        <v>3163</v>
      </c>
      <c r="D28" s="297"/>
    </row>
    <row r="29">
      <c r="A29" s="518">
        <v>26.0</v>
      </c>
      <c r="B29" s="515" t="s">
        <v>3114</v>
      </c>
      <c r="C29" s="515" t="s">
        <v>3185</v>
      </c>
      <c r="D29" s="297"/>
    </row>
    <row r="30">
      <c r="A30" s="518">
        <v>27.0</v>
      </c>
      <c r="B30" s="519" t="s">
        <v>3113</v>
      </c>
      <c r="C30" s="515" t="s">
        <v>3186</v>
      </c>
      <c r="D30" s="297"/>
    </row>
    <row r="31">
      <c r="A31" s="518">
        <v>28.0</v>
      </c>
      <c r="B31" s="516" t="s">
        <v>3112</v>
      </c>
      <c r="C31" s="524" t="s">
        <v>3187</v>
      </c>
      <c r="D31" s="297"/>
    </row>
    <row r="32">
      <c r="A32" s="518">
        <v>29.0</v>
      </c>
      <c r="B32" s="516" t="s">
        <v>3072</v>
      </c>
      <c r="C32" s="515" t="s">
        <v>3188</v>
      </c>
      <c r="D32" s="297"/>
    </row>
    <row r="33">
      <c r="A33" s="518">
        <v>30.0</v>
      </c>
      <c r="B33" s="516" t="s">
        <v>3060</v>
      </c>
      <c r="C33" s="515" t="s">
        <v>3165</v>
      </c>
      <c r="D33" s="297"/>
    </row>
    <row r="34">
      <c r="A34" s="518">
        <v>31.0</v>
      </c>
      <c r="B34" s="516" t="s">
        <v>3088</v>
      </c>
      <c r="C34" s="515" t="s">
        <v>3189</v>
      </c>
      <c r="D34" s="297"/>
    </row>
    <row r="35">
      <c r="A35" s="518">
        <v>32.0</v>
      </c>
      <c r="B35" s="516" t="s">
        <v>3115</v>
      </c>
      <c r="C35" s="515" t="s">
        <v>3190</v>
      </c>
      <c r="D35" s="297"/>
    </row>
    <row r="36">
      <c r="A36" s="518">
        <v>33.0</v>
      </c>
      <c r="B36" s="516" t="s">
        <v>3100</v>
      </c>
      <c r="C36" s="515" t="s">
        <v>3191</v>
      </c>
      <c r="D36" s="297"/>
    </row>
    <row r="37">
      <c r="A37" s="517">
        <v>34.0</v>
      </c>
      <c r="B37" s="516" t="s">
        <v>3045</v>
      </c>
      <c r="C37" s="515" t="s">
        <v>3192</v>
      </c>
      <c r="D37" s="297"/>
    </row>
    <row r="38">
      <c r="A38" s="518">
        <v>35.0</v>
      </c>
      <c r="B38" s="516" t="s">
        <v>3042</v>
      </c>
      <c r="C38" s="515" t="s">
        <v>3166</v>
      </c>
      <c r="D38" s="297"/>
    </row>
    <row r="39">
      <c r="A39" s="518">
        <v>36.0</v>
      </c>
      <c r="B39" s="516" t="s">
        <v>1808</v>
      </c>
      <c r="C39" s="520" t="s">
        <v>3193</v>
      </c>
      <c r="D39" s="297"/>
    </row>
    <row r="40">
      <c r="A40" s="518">
        <v>37.0</v>
      </c>
      <c r="B40" s="516" t="s">
        <v>3125</v>
      </c>
      <c r="C40" s="515" t="s">
        <v>3194</v>
      </c>
      <c r="D40" s="297"/>
    </row>
    <row r="41">
      <c r="A41" s="518">
        <v>38.0</v>
      </c>
      <c r="B41" s="516" t="s">
        <v>3047</v>
      </c>
      <c r="C41" s="515" t="s">
        <v>3195</v>
      </c>
      <c r="D41" s="297"/>
    </row>
    <row r="42">
      <c r="A42" s="518">
        <v>39.0</v>
      </c>
      <c r="B42" s="516" t="s">
        <v>3059</v>
      </c>
      <c r="C42" s="515" t="s">
        <v>3196</v>
      </c>
      <c r="D42" s="297"/>
    </row>
    <row r="43">
      <c r="A43" s="518">
        <v>40.0</v>
      </c>
      <c r="B43" s="522" t="s">
        <v>3155</v>
      </c>
      <c r="C43" s="522" t="s">
        <v>3197</v>
      </c>
      <c r="D43" s="523"/>
    </row>
    <row r="44">
      <c r="A44" s="518">
        <v>41.0</v>
      </c>
      <c r="B44" s="522" t="s">
        <v>2802</v>
      </c>
      <c r="C44" s="522" t="s">
        <v>3198</v>
      </c>
      <c r="D44" s="523" t="s">
        <v>3173</v>
      </c>
    </row>
    <row r="45">
      <c r="A45" s="518">
        <v>42.0</v>
      </c>
      <c r="B45" s="516" t="s">
        <v>3053</v>
      </c>
      <c r="C45" s="515" t="s">
        <v>3199</v>
      </c>
      <c r="D45" s="297"/>
    </row>
    <row r="46">
      <c r="A46" s="518">
        <v>43.0</v>
      </c>
      <c r="B46" s="515" t="s">
        <v>3142</v>
      </c>
      <c r="C46" s="515" t="s">
        <v>3200</v>
      </c>
      <c r="D46" s="297"/>
    </row>
    <row r="47">
      <c r="A47" s="517">
        <v>44.0</v>
      </c>
      <c r="B47" s="167" t="s">
        <v>3049</v>
      </c>
      <c r="C47" s="515" t="s">
        <v>3199</v>
      </c>
      <c r="D47" s="297"/>
    </row>
    <row r="48">
      <c r="A48" s="518">
        <v>45.0</v>
      </c>
      <c r="B48" s="516" t="s">
        <v>3074</v>
      </c>
      <c r="C48" s="515" t="s">
        <v>3165</v>
      </c>
    </row>
    <row r="49">
      <c r="A49" s="518">
        <v>46.0</v>
      </c>
      <c r="B49" s="516" t="s">
        <v>3058</v>
      </c>
      <c r="C49" s="515" t="s">
        <v>3201</v>
      </c>
    </row>
    <row r="50">
      <c r="A50" s="518">
        <v>47.0</v>
      </c>
      <c r="B50" s="516" t="s">
        <v>3067</v>
      </c>
      <c r="C50" s="515" t="s">
        <v>3202</v>
      </c>
    </row>
    <row r="51">
      <c r="A51" s="518">
        <v>48.0</v>
      </c>
      <c r="B51" s="521" t="s">
        <v>2366</v>
      </c>
      <c r="C51" s="520" t="s">
        <v>3203</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0.43"/>
    <col customWidth="1" min="3" max="3" width="71.43"/>
    <col customWidth="1" min="4" max="4" width="107.29"/>
    <col customWidth="1" min="5" max="5" width="28.14"/>
    <col customWidth="1" min="6" max="6" width="50.0"/>
  </cols>
  <sheetData>
    <row r="1">
      <c r="A1" s="81" t="s">
        <v>3204</v>
      </c>
      <c r="B1" s="81" t="s">
        <v>3205</v>
      </c>
      <c r="C1" s="81" t="s">
        <v>3206</v>
      </c>
      <c r="D1" s="81" t="s">
        <v>3207</v>
      </c>
      <c r="E1" s="81" t="s">
        <v>3208</v>
      </c>
      <c r="F1" s="81" t="s">
        <v>3209</v>
      </c>
    </row>
    <row r="2" ht="483.0" customHeight="1">
      <c r="A2" s="81" t="s">
        <v>3210</v>
      </c>
      <c r="C2" s="525" t="s">
        <v>3211</v>
      </c>
      <c r="D2" s="525" t="s">
        <v>3212</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29"/>
    <col customWidth="1" min="2" max="2" width="21.57"/>
    <col customWidth="1" min="3" max="3" width="35.57"/>
    <col customWidth="1" min="4" max="4" width="179.57"/>
    <col customWidth="1" min="5" max="5" width="24.0"/>
    <col customWidth="1" min="6" max="6" width="116.0"/>
  </cols>
  <sheetData>
    <row r="1">
      <c r="A1" s="81" t="s">
        <v>3204</v>
      </c>
      <c r="B1" s="81" t="s">
        <v>3213</v>
      </c>
      <c r="C1" s="81" t="s">
        <v>3214</v>
      </c>
      <c r="D1" s="81" t="s">
        <v>3215</v>
      </c>
      <c r="E1" s="81" t="s">
        <v>3216</v>
      </c>
      <c r="F1" s="81" t="s">
        <v>3209</v>
      </c>
    </row>
    <row r="2" ht="145.5" customHeight="1">
      <c r="A2" s="81" t="s">
        <v>3217</v>
      </c>
      <c r="D2" s="526" t="s">
        <v>3218</v>
      </c>
      <c r="F2" s="179" t="s">
        <v>3219</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7.71"/>
    <col customWidth="1" min="2" max="2" width="25.29"/>
    <col customWidth="1" min="3" max="3" width="33.71"/>
    <col customWidth="1" min="4" max="4" width="225.0"/>
    <col customWidth="1" min="5" max="5" width="26.71"/>
    <col customWidth="1" min="6" max="6" width="86.0"/>
    <col customWidth="1" min="10" max="10" width="16.86"/>
  </cols>
  <sheetData>
    <row r="1">
      <c r="A1" s="81" t="s">
        <v>3204</v>
      </c>
      <c r="B1" s="81" t="s">
        <v>3213</v>
      </c>
      <c r="C1" s="81" t="s">
        <v>3214</v>
      </c>
      <c r="D1" s="81" t="s">
        <v>3215</v>
      </c>
      <c r="E1" s="81" t="s">
        <v>3216</v>
      </c>
      <c r="F1" s="81" t="s">
        <v>3209</v>
      </c>
    </row>
    <row r="2" ht="523.5" customHeight="1">
      <c r="A2" s="525" t="s">
        <v>3220</v>
      </c>
      <c r="D2" s="527" t="s">
        <v>3221</v>
      </c>
      <c r="F2" s="525" t="s">
        <v>3222</v>
      </c>
      <c r="H2" s="179" t="s">
        <v>3223</v>
      </c>
    </row>
    <row r="37">
      <c r="F37" s="81" t="s">
        <v>3224</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2" max="2" width="19.0"/>
    <col customWidth="1" min="3" max="3" width="33.29"/>
    <col customWidth="1" min="4" max="4" width="94.57"/>
    <col customWidth="1" min="5" max="5" width="24.43"/>
    <col customWidth="1" min="6" max="6" width="386.14"/>
  </cols>
  <sheetData>
    <row r="1">
      <c r="A1" s="81" t="s">
        <v>3204</v>
      </c>
      <c r="B1" s="81" t="s">
        <v>3213</v>
      </c>
      <c r="C1" s="81" t="s">
        <v>3214</v>
      </c>
      <c r="D1" s="81" t="s">
        <v>3215</v>
      </c>
      <c r="E1" s="81" t="s">
        <v>3216</v>
      </c>
      <c r="F1" s="81" t="s">
        <v>3209</v>
      </c>
    </row>
    <row r="2" ht="627.0" customHeight="1">
      <c r="A2" s="528" t="s">
        <v>3225</v>
      </c>
      <c r="D2" s="525" t="s">
        <v>3226</v>
      </c>
      <c r="F2" s="525" t="s">
        <v>3227</v>
      </c>
      <c r="G2" s="529"/>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9.43"/>
    <col customWidth="1" min="3" max="3" width="32.29"/>
    <col customWidth="1" min="4" max="4" width="74.14"/>
    <col customWidth="1" min="5" max="5" width="25.14"/>
    <col customWidth="1" min="6" max="6" width="122.71"/>
  </cols>
  <sheetData>
    <row r="1">
      <c r="A1" s="81" t="s">
        <v>3204</v>
      </c>
      <c r="B1" s="81" t="s">
        <v>3213</v>
      </c>
      <c r="C1" s="81" t="s">
        <v>3214</v>
      </c>
      <c r="D1" s="81" t="s">
        <v>3215</v>
      </c>
      <c r="E1" s="81" t="s">
        <v>3216</v>
      </c>
      <c r="F1" s="81" t="s">
        <v>3209</v>
      </c>
    </row>
    <row r="2" ht="317.25" customHeight="1">
      <c r="A2" s="525" t="s">
        <v>3228</v>
      </c>
      <c r="B2" s="530"/>
      <c r="C2" s="530"/>
      <c r="D2" s="525" t="s">
        <v>3229</v>
      </c>
      <c r="E2" s="530"/>
      <c r="F2" s="525" t="s">
        <v>3230</v>
      </c>
      <c r="G2" s="530"/>
      <c r="H2" s="530"/>
      <c r="I2" s="530"/>
      <c r="J2" s="530"/>
      <c r="K2" s="530"/>
      <c r="L2" s="530"/>
      <c r="M2" s="530"/>
      <c r="N2" s="530"/>
      <c r="O2" s="530"/>
      <c r="P2" s="530"/>
      <c r="Q2" s="530"/>
      <c r="R2" s="530"/>
      <c r="S2" s="530"/>
      <c r="T2" s="530"/>
      <c r="U2" s="530"/>
      <c r="V2" s="530"/>
      <c r="W2" s="530"/>
      <c r="X2" s="530"/>
      <c r="Y2" s="530"/>
      <c r="Z2" s="530"/>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7.71"/>
    <col customWidth="1" min="3" max="3" width="83.86"/>
    <col customWidth="1" min="4" max="4" width="144.29"/>
    <col customWidth="1" min="5" max="5" width="29.0"/>
  </cols>
  <sheetData>
    <row r="1">
      <c r="A1" s="81" t="s">
        <v>3204</v>
      </c>
      <c r="B1" s="81" t="s">
        <v>3205</v>
      </c>
      <c r="C1" s="81" t="s">
        <v>3206</v>
      </c>
      <c r="D1" s="81" t="s">
        <v>3207</v>
      </c>
      <c r="E1" s="81" t="s">
        <v>3208</v>
      </c>
    </row>
    <row r="2" ht="411.75" customHeight="1">
      <c r="A2" s="81" t="s">
        <v>3231</v>
      </c>
      <c r="D2" s="531" t="s">
        <v>3232</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14"/>
    <col customWidth="1" min="2" max="2" width="111.0"/>
    <col customWidth="1" min="3" max="3" width="34.29"/>
    <col customWidth="1" min="4" max="4" width="105.57"/>
    <col customWidth="1" min="5" max="5" width="24.71"/>
    <col customWidth="1" min="6" max="6" width="37.0"/>
  </cols>
  <sheetData>
    <row r="1">
      <c r="A1" s="81" t="s">
        <v>3204</v>
      </c>
      <c r="B1" s="81" t="s">
        <v>3233</v>
      </c>
      <c r="C1" s="81" t="s">
        <v>3234</v>
      </c>
      <c r="D1" s="81" t="s">
        <v>3209</v>
      </c>
      <c r="E1" s="81" t="s">
        <v>3216</v>
      </c>
      <c r="F1" s="81" t="s">
        <v>3209</v>
      </c>
    </row>
    <row r="2" ht="369.75" customHeight="1">
      <c r="A2" s="532" t="s">
        <v>3235</v>
      </c>
      <c r="B2" s="533" t="s">
        <v>3236</v>
      </c>
      <c r="D2" s="533" t="s">
        <v>3237</v>
      </c>
    </row>
    <row r="3">
      <c r="A3" s="179"/>
      <c r="B3" s="179" t="s">
        <v>3238</v>
      </c>
    </row>
  </sheetData>
  <hyperlinks>
    <hyperlink r:id="rId1" ref="B2"/>
    <hyperlink r:id="rId2" ref="D2"/>
  </hyperlinks>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71"/>
    <col customWidth="1" min="2" max="2" width="22.57"/>
    <col customWidth="1" min="3" max="3" width="33.57"/>
    <col customWidth="1" min="4" max="4" width="74.71"/>
    <col customWidth="1" min="5" max="5" width="26.14"/>
    <col customWidth="1" min="6" max="6" width="125.86"/>
  </cols>
  <sheetData>
    <row r="1">
      <c r="A1" s="81" t="s">
        <v>3204</v>
      </c>
      <c r="B1" s="81" t="s">
        <v>3213</v>
      </c>
      <c r="C1" s="81" t="s">
        <v>3214</v>
      </c>
      <c r="D1" s="81" t="s">
        <v>3215</v>
      </c>
      <c r="E1" s="81" t="s">
        <v>3216</v>
      </c>
      <c r="F1" s="81" t="s">
        <v>3209</v>
      </c>
    </row>
    <row r="2" ht="531.0" customHeight="1">
      <c r="A2" s="534" t="s">
        <v>3239</v>
      </c>
      <c r="C2" s="81" t="s">
        <v>3240</v>
      </c>
      <c r="D2" s="81" t="s">
        <v>3241</v>
      </c>
      <c r="F2" s="525" t="s">
        <v>3242</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14"/>
    <col customWidth="1" min="2" max="2" width="72.0"/>
    <col customWidth="1" min="3" max="3" width="122.71"/>
    <col customWidth="1" min="4" max="4" width="66.29"/>
    <col customWidth="1" min="5" max="5" width="26.43"/>
    <col customWidth="1" min="6" max="6" width="237.71"/>
  </cols>
  <sheetData>
    <row r="1">
      <c r="A1" s="81" t="s">
        <v>3204</v>
      </c>
      <c r="B1" s="81" t="s">
        <v>3213</v>
      </c>
      <c r="C1" s="81" t="s">
        <v>3214</v>
      </c>
      <c r="D1" s="81" t="s">
        <v>3215</v>
      </c>
      <c r="E1" s="81" t="s">
        <v>3216</v>
      </c>
      <c r="F1" s="81" t="s">
        <v>3209</v>
      </c>
    </row>
    <row r="2" ht="432.0" customHeight="1">
      <c r="A2" s="525" t="s">
        <v>3243</v>
      </c>
      <c r="B2" s="525" t="s">
        <v>3244</v>
      </c>
      <c r="C2" s="525" t="s">
        <v>3245</v>
      </c>
      <c r="D2" s="535" t="s">
        <v>3246</v>
      </c>
      <c r="F2" s="536" t="s">
        <v>3247</v>
      </c>
    </row>
  </sheetData>
  <hyperlinks>
    <hyperlink r:id="rId1" ref="D2"/>
    <hyperlink r:id="rId2" ref="F2"/>
  </hyperlinks>
  <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43"/>
    <col customWidth="1" min="3" max="3" width="104.29"/>
    <col customWidth="1" min="4" max="4" width="125.14"/>
    <col customWidth="1" min="5" max="5" width="24.29"/>
    <col customWidth="1" min="6" max="6" width="34.14"/>
  </cols>
  <sheetData>
    <row r="1">
      <c r="A1" s="81" t="s">
        <v>3204</v>
      </c>
      <c r="B1" s="81" t="s">
        <v>3213</v>
      </c>
      <c r="C1" s="81" t="s">
        <v>3214</v>
      </c>
      <c r="D1" s="81" t="s">
        <v>3215</v>
      </c>
      <c r="E1" s="81" t="s">
        <v>3216</v>
      </c>
      <c r="F1" s="81" t="s">
        <v>3209</v>
      </c>
    </row>
    <row r="2" ht="444.0" customHeight="1">
      <c r="A2" s="81" t="s">
        <v>3248</v>
      </c>
      <c r="C2" s="525" t="s">
        <v>3249</v>
      </c>
      <c r="D2" s="525" t="s">
        <v>3250</v>
      </c>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8.0"/>
    <col customWidth="1" min="3" max="3" width="64.57"/>
    <col customWidth="1" min="4" max="4" width="98.86"/>
    <col customWidth="1" min="5" max="5" width="26.29"/>
    <col customWidth="1" min="6" max="6" width="22.14"/>
  </cols>
  <sheetData>
    <row r="1">
      <c r="A1" s="90" t="s">
        <v>3204</v>
      </c>
      <c r="B1" s="90" t="s">
        <v>3213</v>
      </c>
      <c r="C1" s="90" t="s">
        <v>3214</v>
      </c>
      <c r="D1" s="90" t="s">
        <v>3215</v>
      </c>
      <c r="E1" s="90" t="s">
        <v>3216</v>
      </c>
      <c r="F1" s="90" t="s">
        <v>3209</v>
      </c>
      <c r="G1" s="91"/>
      <c r="H1" s="91"/>
      <c r="I1" s="91"/>
      <c r="J1" s="91"/>
      <c r="K1" s="91"/>
      <c r="L1" s="91"/>
      <c r="M1" s="91"/>
      <c r="N1" s="91"/>
      <c r="O1" s="91"/>
      <c r="P1" s="91"/>
      <c r="Q1" s="91"/>
      <c r="R1" s="91"/>
      <c r="S1" s="91"/>
      <c r="T1" s="91"/>
      <c r="U1" s="91"/>
      <c r="V1" s="91"/>
      <c r="W1" s="91"/>
      <c r="X1" s="91"/>
      <c r="Y1" s="91"/>
      <c r="Z1" s="91"/>
    </row>
    <row r="2">
      <c r="A2" s="81" t="s">
        <v>3251</v>
      </c>
      <c r="C2" s="537" t="s">
        <v>3252</v>
      </c>
      <c r="D2" s="538" t="s">
        <v>3253</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43"/>
    <col customWidth="1" min="2" max="2" width="18.43"/>
    <col customWidth="1" min="3" max="3" width="33.0"/>
    <col customWidth="1" min="4" max="4" width="84.71"/>
    <col customWidth="1" min="5" max="5" width="25.71"/>
    <col customWidth="1" min="6" max="6" width="129.86"/>
  </cols>
  <sheetData>
    <row r="1">
      <c r="A1" s="81" t="s">
        <v>3204</v>
      </c>
      <c r="B1" s="81" t="s">
        <v>3213</v>
      </c>
      <c r="C1" s="81" t="s">
        <v>3214</v>
      </c>
      <c r="D1" s="81" t="s">
        <v>3215</v>
      </c>
      <c r="E1" s="81" t="s">
        <v>3216</v>
      </c>
      <c r="F1" s="81" t="s">
        <v>3209</v>
      </c>
    </row>
    <row r="2" ht="324.0" customHeight="1">
      <c r="A2" s="81" t="s">
        <v>3254</v>
      </c>
      <c r="C2" s="81" t="s">
        <v>3255</v>
      </c>
      <c r="D2" s="533" t="s">
        <v>3256</v>
      </c>
      <c r="F2" s="536" t="s">
        <v>3257</v>
      </c>
    </row>
  </sheetData>
  <hyperlinks>
    <hyperlink r:id="rId1" ref="D2"/>
    <hyperlink r:id="rId2" ref="F2"/>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14"/>
    <col customWidth="1" min="2" max="2" width="77.43"/>
    <col customWidth="1" min="3" max="3" width="25.0"/>
    <col customWidth="1" min="4" max="4" width="178.86"/>
  </cols>
  <sheetData>
    <row r="1">
      <c r="A1" s="81" t="s">
        <v>3204</v>
      </c>
      <c r="B1" s="81" t="s">
        <v>3233</v>
      </c>
      <c r="C1" s="81" t="s">
        <v>3216</v>
      </c>
      <c r="D1" s="539" t="s">
        <v>3209</v>
      </c>
    </row>
    <row r="2" ht="627.75" customHeight="1">
      <c r="A2" s="179" t="s">
        <v>3258</v>
      </c>
      <c r="B2" s="533" t="s">
        <v>3259</v>
      </c>
      <c r="D2" s="536" t="s">
        <v>3260</v>
      </c>
    </row>
  </sheetData>
  <hyperlinks>
    <hyperlink r:id="rId1" ref="B2"/>
    <hyperlink r:id="rId2" ref="D2"/>
  </hyperlinks>
  <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29"/>
    <col customWidth="1" min="2" max="2" width="23.57"/>
    <col customWidth="1" min="3" max="3" width="33.86"/>
    <col customWidth="1" min="4" max="4" width="20.71"/>
    <col customWidth="1" min="5" max="5" width="30.0"/>
    <col customWidth="1" min="6" max="6" width="137.71"/>
    <col customWidth="1" min="7" max="7" width="23.57"/>
  </cols>
  <sheetData>
    <row r="1">
      <c r="A1" s="81" t="s">
        <v>3261</v>
      </c>
      <c r="B1" s="81" t="s">
        <v>3205</v>
      </c>
      <c r="C1" s="81" t="s">
        <v>3206</v>
      </c>
      <c r="D1" s="81" t="s">
        <v>3207</v>
      </c>
      <c r="E1" s="81" t="s">
        <v>3208</v>
      </c>
      <c r="F1" s="81" t="s">
        <v>3209</v>
      </c>
    </row>
    <row r="2" ht="624.75" customHeight="1">
      <c r="A2" s="540" t="s">
        <v>3262</v>
      </c>
      <c r="B2" s="541"/>
      <c r="C2" s="541"/>
      <c r="D2" s="190" t="s">
        <v>3263</v>
      </c>
      <c r="E2" s="541"/>
      <c r="F2" s="542" t="s">
        <v>3264</v>
      </c>
      <c r="G2" s="541"/>
      <c r="H2" s="541"/>
      <c r="I2" s="541"/>
      <c r="J2" s="541"/>
      <c r="K2" s="541"/>
      <c r="L2" s="541"/>
      <c r="M2" s="541"/>
      <c r="N2" s="541"/>
      <c r="O2" s="541"/>
      <c r="P2" s="541"/>
      <c r="Q2" s="541"/>
      <c r="R2" s="541"/>
      <c r="S2" s="541"/>
      <c r="T2" s="541"/>
      <c r="U2" s="541"/>
      <c r="V2" s="541"/>
      <c r="W2" s="541"/>
      <c r="X2" s="541"/>
      <c r="Y2" s="541"/>
      <c r="Z2" s="541"/>
    </row>
  </sheetData>
  <hyperlinks>
    <hyperlink r:id="rId1" ref="F2"/>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29"/>
    <col customWidth="1" min="3" max="3" width="33.86"/>
    <col customWidth="1" min="4" max="4" width="74.0"/>
    <col customWidth="1" min="5" max="5" width="24.86"/>
    <col customWidth="1" min="6" max="6" width="198.29"/>
  </cols>
  <sheetData>
    <row r="1">
      <c r="A1" s="81" t="s">
        <v>3204</v>
      </c>
      <c r="B1" s="81" t="s">
        <v>3213</v>
      </c>
      <c r="C1" s="81" t="s">
        <v>3214</v>
      </c>
      <c r="D1" s="81" t="s">
        <v>3215</v>
      </c>
      <c r="E1" s="81" t="s">
        <v>3216</v>
      </c>
      <c r="F1" s="81" t="s">
        <v>3209</v>
      </c>
    </row>
    <row r="2" ht="628.5" customHeight="1">
      <c r="A2" s="81" t="s">
        <v>3265</v>
      </c>
      <c r="D2" s="179" t="s">
        <v>3266</v>
      </c>
      <c r="F2" s="179" t="s">
        <v>3267</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86"/>
    <col customWidth="1" min="2" max="2" width="83.71"/>
    <col customWidth="1" min="3" max="3" width="32.86"/>
    <col customWidth="1" min="4" max="4" width="74.43"/>
    <col customWidth="1" min="5" max="5" width="27.0"/>
    <col customWidth="1" min="6" max="6" width="91.0"/>
  </cols>
  <sheetData>
    <row r="1">
      <c r="A1" s="81" t="s">
        <v>3204</v>
      </c>
      <c r="B1" s="81" t="s">
        <v>3205</v>
      </c>
      <c r="C1" s="81" t="s">
        <v>3206</v>
      </c>
      <c r="D1" s="81" t="s">
        <v>3207</v>
      </c>
      <c r="E1" s="81" t="s">
        <v>3208</v>
      </c>
      <c r="F1" s="81" t="s">
        <v>3209</v>
      </c>
    </row>
    <row r="2" ht="621.0" customHeight="1">
      <c r="A2" s="525" t="s">
        <v>3268</v>
      </c>
      <c r="B2" s="525" t="s">
        <v>3269</v>
      </c>
      <c r="D2" s="81" t="s">
        <v>3270</v>
      </c>
      <c r="F2" s="536" t="s">
        <v>3271</v>
      </c>
    </row>
  </sheetData>
  <hyperlinks>
    <hyperlink r:id="rId1" ref="F2"/>
  </hyperlinks>
  <drawing r:id="rId2"/>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8.71"/>
    <col customWidth="1" min="3" max="3" width="33.71"/>
    <col customWidth="1" min="4" max="4" width="196.29"/>
    <col customWidth="1" min="5" max="5" width="24.86"/>
    <col customWidth="1" min="6" max="6" width="34.57"/>
  </cols>
  <sheetData>
    <row r="1">
      <c r="A1" s="81" t="s">
        <v>3204</v>
      </c>
      <c r="B1" s="81" t="s">
        <v>3213</v>
      </c>
      <c r="C1" s="81" t="s">
        <v>3214</v>
      </c>
      <c r="D1" s="81" t="s">
        <v>3215</v>
      </c>
      <c r="E1" s="81" t="s">
        <v>3216</v>
      </c>
      <c r="F1" s="81" t="s">
        <v>3209</v>
      </c>
    </row>
    <row r="2" ht="627.0" customHeight="1">
      <c r="A2" s="528" t="s">
        <v>3272</v>
      </c>
      <c r="D2" s="525" t="s">
        <v>3273</v>
      </c>
      <c r="E2" s="529"/>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7.57"/>
    <col customWidth="1" min="2" max="2" width="19.43"/>
    <col customWidth="1" min="3" max="3" width="33.29"/>
    <col customWidth="1" min="4" max="4" width="90.43"/>
    <col customWidth="1" min="5" max="5" width="25.86"/>
    <col customWidth="1" min="6" max="6" width="155.71"/>
  </cols>
  <sheetData>
    <row r="1">
      <c r="A1" s="81" t="s">
        <v>3204</v>
      </c>
      <c r="B1" s="81" t="s">
        <v>3213</v>
      </c>
      <c r="C1" s="81" t="s">
        <v>3214</v>
      </c>
      <c r="D1" s="81" t="s">
        <v>3215</v>
      </c>
      <c r="E1" s="81" t="s">
        <v>3216</v>
      </c>
      <c r="F1" s="81" t="s">
        <v>3209</v>
      </c>
    </row>
    <row r="2" ht="627.0" customHeight="1">
      <c r="A2" s="528" t="s">
        <v>3274</v>
      </c>
      <c r="D2" s="179" t="s">
        <v>3275</v>
      </c>
      <c r="F2" s="536" t="s">
        <v>3276</v>
      </c>
    </row>
  </sheetData>
  <hyperlinks>
    <hyperlink r:id="rId1" ref="F2"/>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1.86"/>
    <col customWidth="1" min="2" max="2" width="59.14"/>
    <col customWidth="1" min="3" max="3" width="81.14"/>
    <col customWidth="1" min="4" max="4" width="80.43"/>
    <col customWidth="1" min="5" max="5" width="104.14"/>
    <col customWidth="1" min="6" max="6" width="167.0"/>
    <col customWidth="1" min="7" max="7" width="85.29"/>
  </cols>
  <sheetData>
    <row r="1">
      <c r="A1" s="81" t="s">
        <v>3204</v>
      </c>
      <c r="B1" s="81" t="s">
        <v>3213</v>
      </c>
      <c r="C1" s="81" t="s">
        <v>3214</v>
      </c>
      <c r="D1" s="81" t="s">
        <v>3215</v>
      </c>
      <c r="E1" s="81" t="s">
        <v>3216</v>
      </c>
      <c r="F1" s="81" t="s">
        <v>3209</v>
      </c>
      <c r="G1" s="81" t="s">
        <v>3277</v>
      </c>
    </row>
    <row r="2" ht="616.5" customHeight="1">
      <c r="A2" s="528" t="s">
        <v>3278</v>
      </c>
      <c r="B2" s="525" t="s">
        <v>3279</v>
      </c>
      <c r="C2" s="525" t="s">
        <v>3280</v>
      </c>
      <c r="D2" s="81" t="s">
        <v>3281</v>
      </c>
      <c r="E2" s="81" t="s">
        <v>3282</v>
      </c>
      <c r="F2" s="525" t="s">
        <v>3283</v>
      </c>
      <c r="G2" s="179" t="s">
        <v>3284</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59.86"/>
    <col customWidth="1" min="3" max="3" width="32.57"/>
    <col customWidth="1" min="4" max="4" width="82.0"/>
    <col customWidth="1" min="5" max="5" width="25.86"/>
    <col customWidth="1" min="6" max="6" width="191.71"/>
  </cols>
  <sheetData>
    <row r="1">
      <c r="A1" s="81" t="s">
        <v>3204</v>
      </c>
      <c r="B1" s="81" t="s">
        <v>3213</v>
      </c>
      <c r="C1" s="81" t="s">
        <v>3214</v>
      </c>
      <c r="D1" s="81" t="s">
        <v>3215</v>
      </c>
      <c r="E1" s="81" t="s">
        <v>3216</v>
      </c>
      <c r="F1" s="81">
        <v>9.0</v>
      </c>
    </row>
    <row r="2" ht="486.75" customHeight="1">
      <c r="A2" s="81" t="s">
        <v>3285</v>
      </c>
      <c r="B2" s="81" t="s">
        <v>3286</v>
      </c>
      <c r="D2" s="81" t="s">
        <v>3287</v>
      </c>
      <c r="F2" s="525" t="s">
        <v>3288</v>
      </c>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29"/>
    <col customWidth="1" min="2" max="2" width="29.86"/>
    <col customWidth="1" min="3" max="3" width="40.71"/>
    <col customWidth="1" min="4" max="4" width="115.14"/>
  </cols>
  <sheetData>
    <row r="1">
      <c r="A1" s="543" t="s">
        <v>3204</v>
      </c>
      <c r="B1" s="543" t="s">
        <v>3289</v>
      </c>
      <c r="C1" s="543" t="s">
        <v>3214</v>
      </c>
      <c r="D1" s="543" t="s">
        <v>3215</v>
      </c>
      <c r="E1" s="543" t="s">
        <v>3216</v>
      </c>
      <c r="F1" s="543"/>
      <c r="G1" s="544"/>
      <c r="H1" s="544"/>
      <c r="I1" s="544"/>
      <c r="J1" s="544"/>
      <c r="K1" s="544"/>
      <c r="L1" s="544"/>
      <c r="M1" s="544"/>
      <c r="N1" s="544"/>
      <c r="O1" s="544"/>
      <c r="P1" s="544"/>
      <c r="Q1" s="544"/>
      <c r="R1" s="544"/>
      <c r="S1" s="544"/>
      <c r="T1" s="544"/>
      <c r="U1" s="544"/>
      <c r="V1" s="544"/>
      <c r="W1" s="544"/>
      <c r="X1" s="544"/>
      <c r="Y1" s="544"/>
      <c r="Z1" s="544"/>
    </row>
    <row r="2">
      <c r="A2" s="81" t="s">
        <v>3290</v>
      </c>
      <c r="B2" s="179" t="s">
        <v>3291</v>
      </c>
      <c r="C2" s="545" t="s">
        <v>3292</v>
      </c>
      <c r="D2" s="537" t="s">
        <v>3293</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0"/>
    <col customWidth="1" min="2" max="2" width="18.71"/>
    <col customWidth="1" min="3" max="3" width="34.0"/>
    <col customWidth="1" min="4" max="4" width="103.29"/>
    <col customWidth="1" min="5" max="5" width="24.43"/>
    <col customWidth="1" min="6" max="6" width="150.86"/>
  </cols>
  <sheetData>
    <row r="1">
      <c r="A1" s="81" t="s">
        <v>3204</v>
      </c>
      <c r="B1" s="81" t="s">
        <v>3213</v>
      </c>
      <c r="C1" s="81" t="s">
        <v>3214</v>
      </c>
      <c r="D1" s="81" t="s">
        <v>3215</v>
      </c>
      <c r="E1" s="81" t="s">
        <v>3216</v>
      </c>
      <c r="F1" s="81" t="s">
        <v>3209</v>
      </c>
    </row>
    <row r="2" ht="540.0" customHeight="1">
      <c r="A2" s="81" t="s">
        <v>3294</v>
      </c>
      <c r="D2" s="179" t="s">
        <v>3295</v>
      </c>
      <c r="F2" s="525" t="s">
        <v>3296</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9.43"/>
    <col customWidth="1" min="3" max="3" width="80.14"/>
    <col customWidth="1" min="4" max="4" width="107.57"/>
    <col customWidth="1" min="5" max="5" width="25.14"/>
    <col customWidth="1" min="6" max="6" width="258.71"/>
  </cols>
  <sheetData>
    <row r="1">
      <c r="A1" s="81" t="s">
        <v>3204</v>
      </c>
      <c r="B1" s="81" t="s">
        <v>3213</v>
      </c>
      <c r="C1" s="81" t="s">
        <v>3214</v>
      </c>
      <c r="D1" s="81" t="s">
        <v>3215</v>
      </c>
      <c r="E1" s="81" t="s">
        <v>3216</v>
      </c>
      <c r="F1" s="81" t="s">
        <v>3209</v>
      </c>
    </row>
    <row r="2" ht="1726.5" customHeight="1">
      <c r="A2" s="81" t="s">
        <v>3297</v>
      </c>
      <c r="C2" s="546" t="s">
        <v>3298</v>
      </c>
      <c r="D2" s="547" t="s">
        <v>3299</v>
      </c>
      <c r="F2" s="536" t="s">
        <v>3300</v>
      </c>
    </row>
  </sheetData>
  <hyperlinks>
    <hyperlink r:id="rId1" ref="D2"/>
    <hyperlink r:id="rId2" ref="F2"/>
  </hyperlinks>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 customWidth="1" min="2" max="2" width="52.57"/>
    <col customWidth="1" min="3" max="3" width="60.14"/>
    <col customWidth="1" min="4" max="4" width="77.71"/>
    <col customWidth="1" min="5" max="7" width="218.86"/>
  </cols>
  <sheetData>
    <row r="1">
      <c r="A1" s="548" t="s">
        <v>3204</v>
      </c>
      <c r="B1" s="548" t="s">
        <v>3213</v>
      </c>
      <c r="C1" s="548" t="s">
        <v>3214</v>
      </c>
      <c r="D1" s="548" t="s">
        <v>3215</v>
      </c>
      <c r="E1" s="548" t="s">
        <v>3216</v>
      </c>
      <c r="F1" s="548" t="s">
        <v>3209</v>
      </c>
      <c r="G1" s="549"/>
      <c r="H1" s="549"/>
      <c r="I1" s="549"/>
      <c r="J1" s="549"/>
      <c r="K1" s="549"/>
      <c r="L1" s="549"/>
      <c r="M1" s="549"/>
      <c r="N1" s="549"/>
      <c r="O1" s="549"/>
      <c r="P1" s="549"/>
      <c r="Q1" s="549"/>
      <c r="R1" s="549"/>
      <c r="S1" s="549"/>
      <c r="T1" s="549"/>
      <c r="U1" s="549"/>
      <c r="V1" s="549"/>
      <c r="W1" s="549"/>
      <c r="X1" s="549"/>
      <c r="Y1" s="549"/>
      <c r="Z1" s="549"/>
    </row>
    <row r="2" ht="630.0" customHeight="1">
      <c r="A2" s="550" t="s">
        <v>3301</v>
      </c>
      <c r="B2" s="551" t="s">
        <v>3302</v>
      </c>
      <c r="C2" s="552" t="s">
        <v>3303</v>
      </c>
      <c r="D2" s="553" t="s">
        <v>3304</v>
      </c>
      <c r="E2" s="554"/>
      <c r="F2" s="554"/>
      <c r="G2" s="554"/>
      <c r="H2" s="554"/>
      <c r="I2" s="554"/>
      <c r="J2" s="554"/>
      <c r="K2" s="554"/>
      <c r="L2" s="554"/>
      <c r="M2" s="554"/>
      <c r="N2" s="554"/>
      <c r="O2" s="554"/>
      <c r="P2" s="554"/>
      <c r="Q2" s="554"/>
      <c r="R2" s="554"/>
      <c r="S2" s="554"/>
      <c r="T2" s="554"/>
      <c r="U2" s="554"/>
      <c r="V2" s="554"/>
      <c r="W2" s="554"/>
      <c r="X2" s="554"/>
      <c r="Y2" s="554"/>
      <c r="Z2" s="554"/>
    </row>
    <row r="3">
      <c r="C3" s="555"/>
    </row>
    <row r="4">
      <c r="C4" s="556"/>
    </row>
    <row r="5">
      <c r="C5" s="557"/>
    </row>
    <row r="6">
      <c r="C6" s="556"/>
    </row>
    <row r="7">
      <c r="C7" s="557"/>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71"/>
    <col customWidth="1" min="2" max="2" width="56.29"/>
    <col customWidth="1" min="3" max="3" width="86.29"/>
    <col customWidth="1" min="4" max="4" width="107.43"/>
    <col customWidth="1" min="5" max="5" width="24.14"/>
    <col customWidth="1" min="6" max="6" width="34.43"/>
  </cols>
  <sheetData>
    <row r="1">
      <c r="A1" s="81" t="s">
        <v>3204</v>
      </c>
      <c r="B1" s="81" t="s">
        <v>3213</v>
      </c>
      <c r="C1" s="81" t="s">
        <v>3214</v>
      </c>
      <c r="D1" s="81" t="s">
        <v>3215</v>
      </c>
      <c r="E1" s="81" t="s">
        <v>3216</v>
      </c>
      <c r="F1" s="81" t="s">
        <v>3209</v>
      </c>
    </row>
    <row r="2" ht="264.75" customHeight="1">
      <c r="A2" s="81" t="s">
        <v>3305</v>
      </c>
      <c r="B2" s="558" t="s">
        <v>3306</v>
      </c>
      <c r="C2" s="525" t="s">
        <v>3307</v>
      </c>
      <c r="D2" s="179" t="s">
        <v>3308</v>
      </c>
    </row>
    <row r="3">
      <c r="B3" s="559"/>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29"/>
    <col customWidth="1" min="3" max="3" width="87.0"/>
    <col customWidth="1" min="4" max="4" width="92.14"/>
    <col customWidth="1" min="5" max="5" width="24.71"/>
    <col customWidth="1" min="6" max="6" width="74.29"/>
  </cols>
  <sheetData>
    <row r="1">
      <c r="A1" s="81" t="s">
        <v>3204</v>
      </c>
      <c r="B1" s="81" t="s">
        <v>3213</v>
      </c>
      <c r="C1" s="81" t="s">
        <v>3214</v>
      </c>
      <c r="D1" s="81" t="s">
        <v>3215</v>
      </c>
      <c r="E1" s="81" t="s">
        <v>3216</v>
      </c>
      <c r="F1" s="81" t="s">
        <v>3209</v>
      </c>
    </row>
    <row r="2" ht="289.5" customHeight="1">
      <c r="A2" s="81" t="s">
        <v>3309</v>
      </c>
      <c r="C2" s="525" t="s">
        <v>3310</v>
      </c>
      <c r="D2" s="525" t="s">
        <v>3311</v>
      </c>
      <c r="F2" s="525" t="s">
        <v>3312</v>
      </c>
    </row>
  </sheetData>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1"/>
    <col customWidth="1" min="2" max="2" width="19.0"/>
    <col customWidth="1" min="3" max="3" width="34.57"/>
    <col customWidth="1" min="4" max="4" width="134.14"/>
    <col customWidth="1" min="5" max="5" width="56.29"/>
    <col customWidth="1" min="6" max="6" width="34.14"/>
  </cols>
  <sheetData>
    <row r="1">
      <c r="A1" s="81" t="s">
        <v>3204</v>
      </c>
      <c r="B1" s="81" t="s">
        <v>3213</v>
      </c>
      <c r="C1" s="81" t="s">
        <v>3214</v>
      </c>
      <c r="D1" s="81" t="s">
        <v>3215</v>
      </c>
      <c r="E1" s="81" t="s">
        <v>3216</v>
      </c>
      <c r="F1" s="81" t="s">
        <v>3209</v>
      </c>
    </row>
    <row r="2" ht="537.0" customHeight="1">
      <c r="A2" s="81" t="s">
        <v>3313</v>
      </c>
      <c r="D2" s="525" t="s">
        <v>3314</v>
      </c>
      <c r="E2" s="525" t="s">
        <v>3315</v>
      </c>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8.86"/>
    <col customWidth="1" min="3" max="3" width="33.0"/>
    <col customWidth="1" min="4" max="4" width="96.43"/>
    <col customWidth="1" min="5" max="5" width="24.71"/>
    <col customWidth="1" min="6" max="6" width="96.43"/>
  </cols>
  <sheetData>
    <row r="1">
      <c r="A1" s="81" t="s">
        <v>3204</v>
      </c>
      <c r="B1" s="81" t="s">
        <v>3213</v>
      </c>
      <c r="C1" s="81" t="s">
        <v>3214</v>
      </c>
      <c r="D1" s="81" t="s">
        <v>3215</v>
      </c>
      <c r="E1" s="81" t="s">
        <v>3216</v>
      </c>
      <c r="F1" s="81" t="s">
        <v>3209</v>
      </c>
    </row>
    <row r="2" ht="327.0" customHeight="1">
      <c r="A2" s="81" t="s">
        <v>3316</v>
      </c>
      <c r="D2" s="179" t="s">
        <v>3317</v>
      </c>
      <c r="F2" s="525" t="s">
        <v>3318</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4.57"/>
    <col customWidth="1" min="2" max="2" width="122.57"/>
    <col customWidth="1" min="3" max="3" width="88.43"/>
    <col customWidth="1" min="4" max="4" width="75.14"/>
    <col customWidth="1" min="5" max="5" width="25.71"/>
    <col customWidth="1" min="6" max="6" width="160.29"/>
  </cols>
  <sheetData>
    <row r="1">
      <c r="A1" s="81" t="s">
        <v>3204</v>
      </c>
      <c r="B1" s="81" t="s">
        <v>3213</v>
      </c>
      <c r="C1" s="81" t="s">
        <v>3214</v>
      </c>
      <c r="D1" s="81" t="s">
        <v>3215</v>
      </c>
      <c r="E1" s="81" t="s">
        <v>3216</v>
      </c>
      <c r="F1" s="81" t="s">
        <v>3209</v>
      </c>
    </row>
    <row r="2" ht="522.75" customHeight="1">
      <c r="A2" s="528" t="s">
        <v>3319</v>
      </c>
      <c r="B2" s="525" t="s">
        <v>3320</v>
      </c>
      <c r="C2" s="525" t="s">
        <v>3321</v>
      </c>
      <c r="D2" s="533" t="s">
        <v>3322</v>
      </c>
      <c r="F2" s="533" t="s">
        <v>3323</v>
      </c>
    </row>
  </sheetData>
  <hyperlinks>
    <hyperlink r:id="rId1" location="page_scan_tab_contents" ref="D2"/>
    <hyperlink r:id="rId2" ref="F2"/>
  </hyperlinks>
  <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9.71"/>
    <col customWidth="1" min="3" max="3" width="58.29"/>
    <col customWidth="1" min="4" max="4" width="66.14"/>
    <col customWidth="1" min="5" max="5" width="27.43"/>
    <col customWidth="1" min="6" max="6" width="196.57"/>
  </cols>
  <sheetData>
    <row r="1">
      <c r="A1" s="81" t="s">
        <v>3204</v>
      </c>
      <c r="B1" s="81" t="s">
        <v>3213</v>
      </c>
      <c r="C1" s="81" t="s">
        <v>3214</v>
      </c>
      <c r="D1" s="81" t="s">
        <v>3215</v>
      </c>
      <c r="E1" s="81" t="s">
        <v>3216</v>
      </c>
      <c r="F1" s="81" t="s">
        <v>3209</v>
      </c>
    </row>
    <row r="2" ht="621.75" customHeight="1">
      <c r="A2" s="81" t="s">
        <v>3324</v>
      </c>
      <c r="C2" s="525" t="s">
        <v>3325</v>
      </c>
      <c r="D2" s="81" t="s">
        <v>3326</v>
      </c>
      <c r="F2" s="536" t="s">
        <v>3327</v>
      </c>
    </row>
  </sheetData>
  <hyperlinks>
    <hyperlink r:id="rId1" ref="F2"/>
  </hyperlinks>
  <drawing r:id="rId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71"/>
    <col customWidth="1" min="2" max="2" width="19.86"/>
    <col customWidth="1" min="3" max="3" width="33.29"/>
    <col customWidth="1" min="4" max="4" width="77.0"/>
    <col customWidth="1" min="5" max="5" width="29.14"/>
    <col customWidth="1" min="6" max="6" width="130.43"/>
  </cols>
  <sheetData>
    <row r="1">
      <c r="A1" s="81" t="s">
        <v>3204</v>
      </c>
      <c r="B1" s="81" t="s">
        <v>3213</v>
      </c>
      <c r="C1" s="81" t="s">
        <v>3214</v>
      </c>
      <c r="D1" s="81" t="s">
        <v>3215</v>
      </c>
      <c r="E1" s="81" t="s">
        <v>3216</v>
      </c>
      <c r="F1" s="81" t="s">
        <v>3209</v>
      </c>
    </row>
    <row r="2" ht="636.75" customHeight="1">
      <c r="A2" s="525" t="s">
        <v>3328</v>
      </c>
      <c r="D2" s="81" t="s">
        <v>3329</v>
      </c>
      <c r="F2" s="533" t="s">
        <v>3330</v>
      </c>
    </row>
    <row r="3">
      <c r="F3" s="81" t="s">
        <v>3331</v>
      </c>
    </row>
  </sheetData>
  <hyperlinks>
    <hyperlink r:id="rId1" ref="F2"/>
  </hyperlinks>
  <drawing r:id="rId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9.71"/>
    <col customWidth="1" min="3" max="3" width="34.71"/>
    <col customWidth="1" min="4" max="4" width="133.14"/>
    <col customWidth="1" min="5" max="5" width="88.71"/>
    <col customWidth="1" min="6" max="6" width="179.86"/>
    <col customWidth="1" min="7" max="7" width="89.57"/>
  </cols>
  <sheetData>
    <row r="1" ht="21.0" customHeight="1">
      <c r="A1" s="81" t="s">
        <v>3204</v>
      </c>
      <c r="B1" s="81" t="s">
        <v>3213</v>
      </c>
      <c r="C1" s="81" t="s">
        <v>3214</v>
      </c>
      <c r="D1" s="81" t="s">
        <v>3215</v>
      </c>
      <c r="E1" s="81" t="s">
        <v>3216</v>
      </c>
      <c r="F1" s="81" t="s">
        <v>3209</v>
      </c>
    </row>
    <row r="2" ht="116.25" customHeight="1">
      <c r="A2" s="560" t="s">
        <v>3332</v>
      </c>
      <c r="B2" s="561" t="s">
        <v>3333</v>
      </c>
      <c r="C2" s="562" t="s">
        <v>3334</v>
      </c>
      <c r="D2" s="532" t="s">
        <v>3335</v>
      </c>
      <c r="F2" s="525" t="s">
        <v>3336</v>
      </c>
    </row>
    <row r="3" ht="66.75" customHeight="1">
      <c r="C3" s="558" t="s">
        <v>3337</v>
      </c>
    </row>
    <row r="4" ht="60.0" customHeight="1">
      <c r="C4" s="561" t="s">
        <v>3338</v>
      </c>
    </row>
    <row r="5" ht="51.0" customHeight="1">
      <c r="C5" s="561" t="s">
        <v>3339</v>
      </c>
    </row>
    <row r="6" ht="33.0" customHeight="1">
      <c r="C6" s="562" t="s">
        <v>3340</v>
      </c>
    </row>
    <row r="7" ht="53.25" customHeight="1">
      <c r="C7" s="562" t="s">
        <v>3341</v>
      </c>
    </row>
    <row r="8" ht="40.5" customHeight="1">
      <c r="C8" s="562" t="s">
        <v>3342</v>
      </c>
    </row>
    <row r="9" ht="51.75" customHeight="1">
      <c r="C9" s="562" t="s">
        <v>3343</v>
      </c>
    </row>
    <row r="10" ht="21.0" customHeight="1"/>
    <row r="11" ht="21.0" customHeight="1"/>
    <row r="12" ht="21.0" customHeight="1"/>
    <row r="13" ht="21.0" customHeight="1"/>
    <row r="14" ht="21.0" customHeight="1"/>
    <row r="15" ht="21.0" customHeight="1"/>
    <row r="16" ht="21.0" customHeight="1"/>
    <row r="17" ht="21.0" customHeight="1"/>
    <row r="18" ht="21.0" customHeight="1"/>
    <row r="19" ht="21.0" customHeight="1"/>
    <row r="20" ht="21.0" customHeight="1"/>
    <row r="21" ht="21.0" customHeight="1"/>
    <row r="22" ht="21.0" customHeight="1"/>
    <row r="23" ht="21.0" customHeight="1"/>
    <row r="24" ht="21.0" customHeight="1"/>
    <row r="25" ht="21.0" customHeight="1"/>
    <row r="26" ht="21.0" customHeight="1"/>
    <row r="27" ht="21.0" customHeight="1"/>
    <row r="28" ht="21.0" customHeight="1"/>
    <row r="29" ht="21.0" customHeight="1"/>
    <row r="30" ht="21.0" customHeight="1"/>
    <row r="31" ht="21.0" customHeight="1"/>
    <row r="32" ht="21.0" customHeight="1"/>
    <row r="33" ht="21.0" customHeight="1"/>
    <row r="34" ht="21.0" customHeight="1"/>
    <row r="35" ht="21.0" customHeight="1"/>
    <row r="36" ht="21.0" customHeight="1"/>
    <row r="37" ht="21.0" customHeight="1"/>
    <row r="38" ht="21.0" customHeight="1"/>
    <row r="39" ht="21.0" customHeight="1"/>
    <row r="40" ht="21.0" customHeight="1"/>
    <row r="41" ht="21.0" customHeight="1"/>
    <row r="42" ht="21.0" customHeight="1"/>
    <row r="43" ht="21.0" customHeight="1"/>
    <row r="44" ht="21.0" customHeight="1"/>
    <row r="45" ht="21.0" customHeight="1"/>
    <row r="46" ht="21.0" customHeight="1"/>
    <row r="47" ht="21.0" customHeight="1"/>
    <row r="48" ht="21.0" customHeight="1"/>
    <row r="49" ht="21.0" customHeight="1"/>
    <row r="50" ht="21.0" customHeight="1"/>
    <row r="51" ht="21.0" customHeight="1"/>
    <row r="52" ht="21.0" customHeight="1"/>
    <row r="53" ht="21.0" customHeight="1"/>
    <row r="54" ht="21.0" customHeight="1"/>
    <row r="55" ht="21.0" customHeight="1"/>
    <row r="56" ht="21.0" customHeight="1"/>
    <row r="57" ht="21.0" customHeight="1"/>
    <row r="58" ht="21.0" customHeight="1"/>
    <row r="59" ht="21.0" customHeight="1"/>
    <row r="60" ht="21.0" customHeight="1"/>
    <row r="61" ht="21.0" customHeight="1"/>
    <row r="62" ht="21.0" customHeight="1"/>
    <row r="63" ht="21.0" customHeight="1"/>
    <row r="64" ht="21.0" customHeight="1"/>
    <row r="65" ht="21.0" customHeight="1"/>
    <row r="66" ht="21.0" customHeight="1"/>
    <row r="67" ht="21.0" customHeight="1"/>
    <row r="68" ht="21.0" customHeight="1"/>
    <row r="69" ht="21.0" customHeight="1"/>
    <row r="70" ht="21.0" customHeight="1"/>
    <row r="71" ht="21.0" customHeight="1"/>
    <row r="72" ht="21.0" customHeight="1"/>
    <row r="73" ht="21.0" customHeight="1"/>
    <row r="74" ht="21.0" customHeight="1"/>
    <row r="75" ht="21.0" customHeight="1"/>
    <row r="76" ht="21.0" customHeight="1"/>
    <row r="77" ht="21.0" customHeight="1"/>
    <row r="78" ht="21.0" customHeight="1"/>
    <row r="79" ht="21.0" customHeight="1"/>
    <row r="80" ht="21.0" customHeight="1"/>
    <row r="81" ht="21.0" customHeight="1"/>
    <row r="82" ht="21.0" customHeight="1"/>
    <row r="83" ht="21.0" customHeight="1"/>
    <row r="84" ht="21.0" customHeight="1"/>
    <row r="85" ht="21.0" customHeight="1"/>
    <row r="86" ht="21.0" customHeight="1"/>
    <row r="87" ht="21.0" customHeight="1"/>
    <row r="88" ht="21.0" customHeight="1"/>
    <row r="89" ht="21.0" customHeight="1"/>
    <row r="90" ht="21.0" customHeight="1"/>
    <row r="91" ht="21.0" customHeight="1"/>
    <row r="92" ht="21.0" customHeight="1"/>
    <row r="93" ht="21.0" customHeight="1"/>
    <row r="94" ht="21.0" customHeight="1"/>
    <row r="95" ht="21.0" customHeight="1"/>
    <row r="96" ht="21.0" customHeight="1"/>
    <row r="97" ht="21.0" customHeight="1"/>
    <row r="98" ht="21.0" customHeight="1"/>
    <row r="99" ht="21.0" customHeight="1"/>
    <row r="100" ht="21.0" customHeight="1"/>
    <row r="101" ht="21.0" customHeight="1"/>
    <row r="102" ht="21.0" customHeight="1"/>
    <row r="103" ht="21.0" customHeight="1"/>
    <row r="104" ht="21.0" customHeight="1"/>
    <row r="105" ht="21.0" customHeight="1"/>
    <row r="106" ht="21.0" customHeight="1"/>
    <row r="107" ht="21.0" customHeight="1"/>
    <row r="108" ht="21.0" customHeight="1"/>
    <row r="109" ht="21.0" customHeight="1"/>
    <row r="110" ht="21.0" customHeight="1"/>
    <row r="111" ht="21.0" customHeight="1"/>
    <row r="112" ht="21.0" customHeight="1"/>
    <row r="113" ht="21.0" customHeight="1"/>
    <row r="114" ht="21.0" customHeight="1"/>
    <row r="115" ht="21.0" customHeight="1"/>
    <row r="116" ht="21.0" customHeight="1"/>
    <row r="117" ht="21.0" customHeight="1"/>
    <row r="118" ht="21.0" customHeight="1"/>
    <row r="119" ht="21.0" customHeight="1"/>
    <row r="120" ht="21.0" customHeight="1"/>
    <row r="121" ht="21.0" customHeight="1"/>
    <row r="122" ht="21.0" customHeight="1"/>
    <row r="123" ht="21.0" customHeight="1"/>
    <row r="124" ht="21.0" customHeight="1"/>
    <row r="125" ht="21.0" customHeight="1"/>
    <row r="126" ht="21.0" customHeight="1"/>
    <row r="127" ht="21.0" customHeight="1"/>
    <row r="128" ht="21.0" customHeight="1"/>
    <row r="129" ht="21.0" customHeight="1"/>
    <row r="130" ht="21.0" customHeight="1"/>
    <row r="131" ht="21.0" customHeight="1"/>
    <row r="132" ht="21.0" customHeight="1"/>
    <row r="133" ht="21.0" customHeight="1"/>
    <row r="134" ht="21.0" customHeight="1"/>
    <row r="135" ht="21.0" customHeight="1"/>
    <row r="136" ht="21.0" customHeight="1"/>
    <row r="137" ht="21.0" customHeight="1"/>
    <row r="138" ht="21.0" customHeight="1"/>
    <row r="139" ht="21.0" customHeight="1"/>
    <row r="140" ht="21.0" customHeight="1"/>
    <row r="141" ht="21.0" customHeight="1"/>
    <row r="142" ht="21.0" customHeight="1"/>
    <row r="143" ht="21.0" customHeight="1"/>
    <row r="144" ht="21.0" customHeight="1"/>
    <row r="145" ht="21.0" customHeight="1"/>
    <row r="146" ht="21.0" customHeight="1"/>
    <row r="147" ht="21.0" customHeight="1"/>
    <row r="148" ht="21.0" customHeight="1"/>
    <row r="149" ht="21.0" customHeight="1"/>
    <row r="150" ht="21.0" customHeight="1"/>
    <row r="151" ht="21.0" customHeight="1"/>
    <row r="152" ht="21.0" customHeight="1"/>
    <row r="153" ht="21.0" customHeight="1"/>
    <row r="154" ht="21.0" customHeight="1"/>
    <row r="155" ht="21.0" customHeight="1"/>
    <row r="156" ht="21.0" customHeight="1"/>
    <row r="157" ht="21.0" customHeight="1"/>
    <row r="158" ht="21.0" customHeight="1"/>
    <row r="159" ht="21.0" customHeight="1"/>
    <row r="160" ht="21.0" customHeight="1"/>
    <row r="161" ht="21.0" customHeight="1"/>
    <row r="162" ht="21.0" customHeight="1"/>
    <row r="163" ht="21.0" customHeight="1"/>
    <row r="164" ht="21.0" customHeight="1"/>
    <row r="165" ht="21.0" customHeight="1"/>
    <row r="166" ht="21.0" customHeight="1"/>
    <row r="167" ht="21.0" customHeight="1"/>
    <row r="168" ht="21.0" customHeight="1"/>
    <row r="169" ht="21.0" customHeight="1"/>
    <row r="170" ht="21.0" customHeight="1"/>
    <row r="171" ht="21.0" customHeight="1"/>
    <row r="172" ht="21.0" customHeight="1"/>
    <row r="173" ht="21.0" customHeight="1"/>
    <row r="174" ht="21.0" customHeight="1"/>
    <row r="175" ht="21.0" customHeight="1"/>
    <row r="176" ht="21.0" customHeight="1"/>
    <row r="177" ht="21.0" customHeight="1"/>
    <row r="178" ht="21.0" customHeight="1"/>
    <row r="179" ht="21.0" customHeight="1"/>
    <row r="180" ht="21.0" customHeight="1"/>
    <row r="181" ht="21.0" customHeight="1"/>
    <row r="182" ht="21.0" customHeight="1"/>
    <row r="183" ht="21.0" customHeight="1"/>
    <row r="184" ht="21.0" customHeight="1"/>
    <row r="185" ht="21.0" customHeight="1"/>
    <row r="186" ht="21.0" customHeight="1"/>
    <row r="187" ht="21.0" customHeight="1"/>
    <row r="188" ht="21.0" customHeight="1"/>
    <row r="189" ht="21.0" customHeight="1"/>
    <row r="190" ht="21.0" customHeight="1"/>
    <row r="191" ht="21.0" customHeight="1"/>
    <row r="192" ht="21.0" customHeight="1"/>
    <row r="193" ht="21.0" customHeight="1"/>
    <row r="194" ht="21.0" customHeight="1"/>
    <row r="195" ht="21.0" customHeight="1"/>
    <row r="196" ht="21.0" customHeight="1"/>
    <row r="197" ht="21.0" customHeight="1"/>
    <row r="198" ht="21.0" customHeight="1"/>
    <row r="199" ht="21.0" customHeight="1"/>
    <row r="200" ht="21.0" customHeight="1"/>
    <row r="201" ht="21.0" customHeight="1"/>
    <row r="202" ht="21.0" customHeight="1"/>
    <row r="203" ht="21.0" customHeight="1"/>
    <row r="204" ht="21.0" customHeight="1"/>
    <row r="205" ht="21.0" customHeight="1"/>
    <row r="206" ht="21.0" customHeight="1"/>
    <row r="207" ht="21.0" customHeight="1"/>
    <row r="208" ht="21.0" customHeight="1"/>
    <row r="209" ht="21.0" customHeight="1"/>
    <row r="210" ht="21.0" customHeight="1"/>
    <row r="211" ht="21.0" customHeight="1"/>
    <row r="212" ht="21.0" customHeight="1"/>
    <row r="213" ht="21.0" customHeight="1"/>
    <row r="214" ht="21.0" customHeight="1"/>
    <row r="215" ht="21.0" customHeight="1"/>
    <row r="216" ht="21.0" customHeight="1"/>
    <row r="217" ht="21.0" customHeight="1"/>
    <row r="218" ht="21.0" customHeight="1"/>
    <row r="219" ht="21.0" customHeight="1"/>
    <row r="220" ht="21.0" customHeight="1"/>
    <row r="221" ht="21.0" customHeight="1"/>
    <row r="222" ht="21.0" customHeight="1"/>
    <row r="223" ht="21.0" customHeight="1"/>
    <row r="224" ht="21.0" customHeight="1"/>
    <row r="225" ht="21.0" customHeight="1"/>
    <row r="226" ht="21.0" customHeight="1"/>
    <row r="227" ht="21.0" customHeight="1"/>
    <row r="228" ht="21.0" customHeight="1"/>
    <row r="229" ht="21.0" customHeight="1"/>
    <row r="230" ht="21.0" customHeight="1"/>
    <row r="231" ht="21.0" customHeight="1"/>
    <row r="232" ht="21.0" customHeight="1"/>
    <row r="233" ht="21.0" customHeight="1"/>
    <row r="234" ht="21.0" customHeight="1"/>
    <row r="235" ht="21.0" customHeight="1"/>
    <row r="236" ht="21.0" customHeight="1"/>
    <row r="237" ht="21.0" customHeight="1"/>
    <row r="238" ht="21.0" customHeight="1"/>
    <row r="239" ht="21.0" customHeight="1"/>
    <row r="240" ht="21.0" customHeight="1"/>
    <row r="241" ht="21.0" customHeight="1"/>
    <row r="242" ht="21.0" customHeight="1"/>
    <row r="243" ht="21.0" customHeight="1"/>
    <row r="244" ht="21.0" customHeight="1"/>
    <row r="245" ht="21.0" customHeight="1"/>
    <row r="246" ht="21.0" customHeight="1"/>
    <row r="247" ht="21.0" customHeight="1"/>
    <row r="248" ht="21.0" customHeight="1"/>
    <row r="249" ht="21.0" customHeight="1"/>
    <row r="250" ht="21.0" customHeight="1"/>
    <row r="251" ht="21.0" customHeight="1"/>
    <row r="252" ht="21.0" customHeight="1"/>
    <row r="253" ht="21.0" customHeight="1"/>
    <row r="254" ht="21.0" customHeight="1"/>
    <row r="255" ht="21.0" customHeight="1"/>
    <row r="256" ht="21.0" customHeight="1"/>
    <row r="257" ht="21.0" customHeight="1"/>
    <row r="258" ht="21.0" customHeight="1"/>
    <row r="259" ht="21.0" customHeight="1"/>
    <row r="260" ht="21.0" customHeight="1"/>
    <row r="261" ht="21.0" customHeight="1"/>
    <row r="262" ht="21.0" customHeight="1"/>
    <row r="263" ht="21.0" customHeight="1"/>
    <row r="264" ht="21.0" customHeight="1"/>
    <row r="265" ht="21.0" customHeight="1"/>
    <row r="266" ht="21.0" customHeight="1"/>
    <row r="267" ht="21.0" customHeight="1"/>
    <row r="268" ht="21.0" customHeight="1"/>
    <row r="269" ht="21.0" customHeight="1"/>
    <row r="270" ht="21.0" customHeight="1"/>
    <row r="271" ht="21.0" customHeight="1"/>
    <row r="272" ht="21.0" customHeight="1"/>
    <row r="273" ht="21.0" customHeight="1"/>
    <row r="274" ht="21.0" customHeight="1"/>
    <row r="275" ht="21.0" customHeight="1"/>
    <row r="276" ht="21.0" customHeight="1"/>
    <row r="277" ht="21.0" customHeight="1"/>
    <row r="278" ht="21.0" customHeight="1"/>
    <row r="279" ht="21.0" customHeight="1"/>
    <row r="280" ht="21.0" customHeight="1"/>
    <row r="281" ht="21.0" customHeight="1"/>
    <row r="282" ht="21.0" customHeight="1"/>
    <row r="283" ht="21.0" customHeight="1"/>
    <row r="284" ht="21.0" customHeight="1"/>
    <row r="285" ht="21.0" customHeight="1"/>
    <row r="286" ht="21.0" customHeight="1"/>
    <row r="287" ht="21.0" customHeight="1"/>
    <row r="288" ht="21.0" customHeight="1"/>
    <row r="289" ht="21.0" customHeight="1"/>
    <row r="290" ht="21.0" customHeight="1"/>
    <row r="291" ht="21.0" customHeight="1"/>
    <row r="292" ht="21.0" customHeight="1"/>
    <row r="293" ht="21.0" customHeight="1"/>
    <row r="294" ht="21.0" customHeight="1"/>
    <row r="295" ht="21.0" customHeight="1"/>
    <row r="296" ht="21.0" customHeight="1"/>
    <row r="297" ht="21.0" customHeight="1"/>
    <row r="298" ht="21.0" customHeight="1"/>
    <row r="299" ht="21.0" customHeight="1"/>
    <row r="300" ht="21.0" customHeight="1"/>
    <row r="301" ht="21.0" customHeight="1"/>
    <row r="302" ht="21.0" customHeight="1"/>
    <row r="303" ht="21.0" customHeight="1"/>
    <row r="304" ht="21.0" customHeight="1"/>
    <row r="305" ht="21.0" customHeight="1"/>
    <row r="306" ht="21.0" customHeight="1"/>
    <row r="307" ht="21.0" customHeight="1"/>
    <row r="308" ht="21.0" customHeight="1"/>
    <row r="309" ht="21.0" customHeight="1"/>
    <row r="310" ht="21.0" customHeight="1"/>
    <row r="311" ht="21.0" customHeight="1"/>
    <row r="312" ht="21.0" customHeight="1"/>
    <row r="313" ht="21.0" customHeight="1"/>
    <row r="314" ht="21.0" customHeight="1"/>
    <row r="315" ht="21.0" customHeight="1"/>
    <row r="316" ht="21.0" customHeight="1"/>
    <row r="317" ht="21.0" customHeight="1"/>
    <row r="318" ht="21.0" customHeight="1"/>
    <row r="319" ht="21.0" customHeight="1"/>
    <row r="320" ht="21.0" customHeight="1"/>
    <row r="321" ht="21.0" customHeight="1"/>
    <row r="322" ht="21.0" customHeight="1"/>
    <row r="323" ht="21.0" customHeight="1"/>
    <row r="324" ht="21.0" customHeight="1"/>
    <row r="325" ht="21.0" customHeight="1"/>
    <row r="326" ht="21.0" customHeight="1"/>
    <row r="327" ht="21.0" customHeight="1"/>
    <row r="328" ht="21.0" customHeight="1"/>
    <row r="329" ht="21.0" customHeight="1"/>
    <row r="330" ht="21.0" customHeight="1"/>
    <row r="331" ht="21.0" customHeight="1"/>
    <row r="332" ht="21.0" customHeight="1"/>
    <row r="333" ht="21.0" customHeight="1"/>
    <row r="334" ht="21.0" customHeight="1"/>
    <row r="335" ht="21.0" customHeight="1"/>
    <row r="336" ht="21.0" customHeight="1"/>
    <row r="337" ht="21.0" customHeight="1"/>
    <row r="338" ht="21.0" customHeight="1"/>
    <row r="339" ht="21.0" customHeight="1"/>
    <row r="340" ht="21.0" customHeight="1"/>
    <row r="341" ht="21.0" customHeight="1"/>
    <row r="342" ht="21.0" customHeight="1"/>
    <row r="343" ht="21.0" customHeight="1"/>
    <row r="344" ht="21.0" customHeight="1"/>
    <row r="345" ht="21.0" customHeight="1"/>
    <row r="346" ht="21.0" customHeight="1"/>
    <row r="347" ht="21.0" customHeight="1"/>
    <row r="348" ht="21.0" customHeight="1"/>
    <row r="349" ht="21.0" customHeight="1"/>
    <row r="350" ht="21.0" customHeight="1"/>
    <row r="351" ht="21.0" customHeight="1"/>
    <row r="352" ht="21.0" customHeight="1"/>
    <row r="353" ht="21.0" customHeight="1"/>
    <row r="354" ht="21.0" customHeight="1"/>
    <row r="355" ht="21.0" customHeight="1"/>
    <row r="356" ht="21.0" customHeight="1"/>
    <row r="357" ht="21.0" customHeight="1"/>
    <row r="358" ht="21.0" customHeight="1"/>
    <row r="359" ht="21.0" customHeight="1"/>
    <row r="360" ht="21.0" customHeight="1"/>
    <row r="361" ht="21.0" customHeight="1"/>
    <row r="362" ht="21.0" customHeight="1"/>
    <row r="363" ht="21.0" customHeight="1"/>
    <row r="364" ht="21.0" customHeight="1"/>
    <row r="365" ht="21.0" customHeight="1"/>
    <row r="366" ht="21.0" customHeight="1"/>
    <row r="367" ht="21.0" customHeight="1"/>
    <row r="368" ht="21.0" customHeight="1"/>
    <row r="369" ht="21.0" customHeight="1"/>
    <row r="370" ht="21.0" customHeight="1"/>
    <row r="371" ht="21.0" customHeight="1"/>
    <row r="372" ht="21.0" customHeight="1"/>
    <row r="373" ht="21.0" customHeight="1"/>
    <row r="374" ht="21.0" customHeight="1"/>
    <row r="375" ht="21.0" customHeight="1"/>
    <row r="376" ht="21.0" customHeight="1"/>
    <row r="377" ht="21.0" customHeight="1"/>
    <row r="378" ht="21.0" customHeight="1"/>
    <row r="379" ht="21.0" customHeight="1"/>
    <row r="380" ht="21.0" customHeight="1"/>
    <row r="381" ht="21.0" customHeight="1"/>
    <row r="382" ht="21.0" customHeight="1"/>
    <row r="383" ht="21.0" customHeight="1"/>
    <row r="384" ht="21.0" customHeight="1"/>
    <row r="385" ht="21.0" customHeight="1"/>
    <row r="386" ht="21.0" customHeight="1"/>
    <row r="387" ht="21.0" customHeight="1"/>
    <row r="388" ht="21.0" customHeight="1"/>
    <row r="389" ht="21.0" customHeight="1"/>
    <row r="390" ht="21.0" customHeight="1"/>
    <row r="391" ht="21.0" customHeight="1"/>
    <row r="392" ht="21.0" customHeight="1"/>
    <row r="393" ht="21.0" customHeight="1"/>
    <row r="394" ht="21.0" customHeight="1"/>
    <row r="395" ht="21.0" customHeight="1"/>
    <row r="396" ht="21.0" customHeight="1"/>
    <row r="397" ht="21.0" customHeight="1"/>
    <row r="398" ht="21.0" customHeight="1"/>
    <row r="399" ht="21.0" customHeight="1"/>
    <row r="400" ht="21.0" customHeight="1"/>
    <row r="401" ht="21.0" customHeight="1"/>
    <row r="402" ht="21.0" customHeight="1"/>
    <row r="403" ht="21.0" customHeight="1"/>
    <row r="404" ht="21.0" customHeight="1"/>
    <row r="405" ht="21.0" customHeight="1"/>
    <row r="406" ht="21.0" customHeight="1"/>
    <row r="407" ht="21.0" customHeight="1"/>
    <row r="408" ht="21.0" customHeight="1"/>
    <row r="409" ht="21.0" customHeight="1"/>
    <row r="410" ht="21.0" customHeight="1"/>
    <row r="411" ht="21.0" customHeight="1"/>
    <row r="412" ht="21.0" customHeight="1"/>
    <row r="413" ht="21.0" customHeight="1"/>
    <row r="414" ht="21.0" customHeight="1"/>
    <row r="415" ht="21.0" customHeight="1"/>
    <row r="416" ht="21.0" customHeight="1"/>
    <row r="417" ht="21.0" customHeight="1"/>
    <row r="418" ht="21.0" customHeight="1"/>
    <row r="419" ht="21.0" customHeight="1"/>
    <row r="420" ht="21.0" customHeight="1"/>
    <row r="421" ht="21.0" customHeight="1"/>
    <row r="422" ht="21.0" customHeight="1"/>
    <row r="423" ht="21.0" customHeight="1"/>
    <row r="424" ht="21.0" customHeight="1"/>
    <row r="425" ht="21.0" customHeight="1"/>
    <row r="426" ht="21.0" customHeight="1"/>
    <row r="427" ht="21.0" customHeight="1"/>
    <row r="428" ht="21.0" customHeight="1"/>
    <row r="429" ht="21.0" customHeight="1"/>
    <row r="430" ht="21.0" customHeight="1"/>
    <row r="431" ht="21.0" customHeight="1"/>
    <row r="432" ht="21.0" customHeight="1"/>
    <row r="433" ht="21.0" customHeight="1"/>
    <row r="434" ht="21.0" customHeight="1"/>
    <row r="435" ht="21.0" customHeight="1"/>
    <row r="436" ht="21.0" customHeight="1"/>
    <row r="437" ht="21.0" customHeight="1"/>
    <row r="438" ht="21.0" customHeight="1"/>
    <row r="439" ht="21.0" customHeight="1"/>
    <row r="440" ht="21.0" customHeight="1"/>
    <row r="441" ht="21.0" customHeight="1"/>
    <row r="442" ht="21.0" customHeight="1"/>
    <row r="443" ht="21.0" customHeight="1"/>
    <row r="444" ht="21.0" customHeight="1"/>
    <row r="445" ht="21.0" customHeight="1"/>
    <row r="446" ht="21.0" customHeight="1"/>
    <row r="447" ht="21.0" customHeight="1"/>
    <row r="448" ht="21.0" customHeight="1"/>
    <row r="449" ht="21.0" customHeight="1"/>
    <row r="450" ht="21.0" customHeight="1"/>
    <row r="451" ht="21.0" customHeight="1"/>
    <row r="452" ht="21.0" customHeight="1"/>
    <row r="453" ht="21.0" customHeight="1"/>
    <row r="454" ht="21.0" customHeight="1"/>
    <row r="455" ht="21.0" customHeight="1"/>
    <row r="456" ht="21.0" customHeight="1"/>
    <row r="457" ht="21.0" customHeight="1"/>
    <row r="458" ht="21.0" customHeight="1"/>
    <row r="459" ht="21.0" customHeight="1"/>
    <row r="460" ht="21.0" customHeight="1"/>
    <row r="461" ht="21.0" customHeight="1"/>
    <row r="462" ht="21.0" customHeight="1"/>
    <row r="463" ht="21.0" customHeight="1"/>
    <row r="464" ht="21.0" customHeight="1"/>
    <row r="465" ht="21.0" customHeight="1"/>
    <row r="466" ht="21.0" customHeight="1"/>
    <row r="467" ht="21.0" customHeight="1"/>
    <row r="468" ht="21.0" customHeight="1"/>
    <row r="469" ht="21.0" customHeight="1"/>
    <row r="470" ht="21.0" customHeight="1"/>
    <row r="471" ht="21.0" customHeight="1"/>
    <row r="472" ht="21.0" customHeight="1"/>
    <row r="473" ht="21.0" customHeight="1"/>
    <row r="474" ht="21.0" customHeight="1"/>
    <row r="475" ht="21.0" customHeight="1"/>
    <row r="476" ht="21.0" customHeight="1"/>
    <row r="477" ht="21.0" customHeight="1"/>
    <row r="478" ht="21.0" customHeight="1"/>
    <row r="479" ht="21.0" customHeight="1"/>
    <row r="480" ht="21.0" customHeight="1"/>
    <row r="481" ht="21.0" customHeight="1"/>
    <row r="482" ht="21.0" customHeight="1"/>
    <row r="483" ht="21.0" customHeight="1"/>
    <row r="484" ht="21.0" customHeight="1"/>
    <row r="485" ht="21.0" customHeight="1"/>
    <row r="486" ht="21.0" customHeight="1"/>
    <row r="487" ht="21.0" customHeight="1"/>
    <row r="488" ht="21.0" customHeight="1"/>
    <row r="489" ht="21.0" customHeight="1"/>
    <row r="490" ht="21.0" customHeight="1"/>
    <row r="491" ht="21.0" customHeight="1"/>
    <row r="492" ht="21.0" customHeight="1"/>
    <row r="493" ht="21.0" customHeight="1"/>
    <row r="494" ht="21.0" customHeight="1"/>
    <row r="495" ht="21.0" customHeight="1"/>
    <row r="496" ht="21.0" customHeight="1"/>
    <row r="497" ht="21.0" customHeight="1"/>
    <row r="498" ht="21.0" customHeight="1"/>
    <row r="499" ht="21.0" customHeight="1"/>
    <row r="500" ht="21.0" customHeight="1"/>
    <row r="501" ht="21.0" customHeight="1"/>
    <row r="502" ht="21.0" customHeight="1"/>
    <row r="503" ht="21.0" customHeight="1"/>
    <row r="504" ht="21.0" customHeight="1"/>
    <row r="505" ht="21.0" customHeight="1"/>
    <row r="506" ht="21.0" customHeight="1"/>
    <row r="507" ht="21.0" customHeight="1"/>
    <row r="508" ht="21.0" customHeight="1"/>
    <row r="509" ht="21.0" customHeight="1"/>
    <row r="510" ht="21.0" customHeight="1"/>
    <row r="511" ht="21.0" customHeight="1"/>
    <row r="512" ht="21.0" customHeight="1"/>
    <row r="513" ht="21.0" customHeight="1"/>
    <row r="514" ht="21.0" customHeight="1"/>
    <row r="515" ht="21.0" customHeight="1"/>
    <row r="516" ht="21.0" customHeight="1"/>
    <row r="517" ht="21.0" customHeight="1"/>
    <row r="518" ht="21.0" customHeight="1"/>
    <row r="519" ht="21.0" customHeight="1"/>
    <row r="520" ht="21.0" customHeight="1"/>
    <row r="521" ht="21.0" customHeight="1"/>
    <row r="522" ht="21.0" customHeight="1"/>
    <row r="523" ht="21.0" customHeight="1"/>
    <row r="524" ht="21.0" customHeight="1"/>
    <row r="525" ht="21.0" customHeight="1"/>
    <row r="526" ht="21.0" customHeight="1"/>
    <row r="527" ht="21.0" customHeight="1"/>
    <row r="528" ht="21.0" customHeight="1"/>
    <row r="529" ht="21.0" customHeight="1"/>
    <row r="530" ht="21.0" customHeight="1"/>
    <row r="531" ht="21.0" customHeight="1"/>
    <row r="532" ht="21.0" customHeight="1"/>
    <row r="533" ht="21.0" customHeight="1"/>
    <row r="534" ht="21.0" customHeight="1"/>
    <row r="535" ht="21.0" customHeight="1"/>
    <row r="536" ht="21.0" customHeight="1"/>
    <row r="537" ht="21.0" customHeight="1"/>
    <row r="538" ht="21.0" customHeight="1"/>
    <row r="539" ht="21.0" customHeight="1"/>
    <row r="540" ht="21.0" customHeight="1"/>
    <row r="541" ht="21.0" customHeight="1"/>
    <row r="542" ht="21.0" customHeight="1"/>
    <row r="543" ht="21.0" customHeight="1"/>
    <row r="544" ht="21.0" customHeight="1"/>
    <row r="545" ht="21.0" customHeight="1"/>
    <row r="546" ht="21.0" customHeight="1"/>
    <row r="547" ht="21.0" customHeight="1"/>
    <row r="548" ht="21.0" customHeight="1"/>
    <row r="549" ht="21.0" customHeight="1"/>
    <row r="550" ht="21.0" customHeight="1"/>
    <row r="551" ht="21.0" customHeight="1"/>
    <row r="552" ht="21.0" customHeight="1"/>
    <row r="553" ht="21.0" customHeight="1"/>
    <row r="554" ht="21.0" customHeight="1"/>
    <row r="555" ht="21.0" customHeight="1"/>
    <row r="556" ht="21.0" customHeight="1"/>
    <row r="557" ht="21.0" customHeight="1"/>
    <row r="558" ht="21.0" customHeight="1"/>
    <row r="559" ht="21.0" customHeight="1"/>
    <row r="560" ht="21.0" customHeight="1"/>
    <row r="561" ht="21.0" customHeight="1"/>
    <row r="562" ht="21.0" customHeight="1"/>
    <row r="563" ht="21.0" customHeight="1"/>
    <row r="564" ht="21.0" customHeight="1"/>
    <row r="565" ht="21.0" customHeight="1"/>
    <row r="566" ht="21.0" customHeight="1"/>
    <row r="567" ht="21.0" customHeight="1"/>
    <row r="568" ht="21.0" customHeight="1"/>
    <row r="569" ht="21.0" customHeight="1"/>
    <row r="570" ht="21.0" customHeight="1"/>
    <row r="571" ht="21.0" customHeight="1"/>
    <row r="572" ht="21.0" customHeight="1"/>
    <row r="573" ht="21.0" customHeight="1"/>
    <row r="574" ht="21.0" customHeight="1"/>
    <row r="575" ht="21.0" customHeight="1"/>
    <row r="576" ht="21.0" customHeight="1"/>
    <row r="577" ht="21.0" customHeight="1"/>
    <row r="578" ht="21.0" customHeight="1"/>
    <row r="579" ht="21.0" customHeight="1"/>
    <row r="580" ht="21.0" customHeight="1"/>
    <row r="581" ht="21.0" customHeight="1"/>
    <row r="582" ht="21.0" customHeight="1"/>
    <row r="583" ht="21.0" customHeight="1"/>
    <row r="584" ht="21.0" customHeight="1"/>
    <row r="585" ht="21.0" customHeight="1"/>
    <row r="586" ht="21.0" customHeight="1"/>
    <row r="587" ht="21.0" customHeight="1"/>
    <row r="588" ht="21.0" customHeight="1"/>
    <row r="589" ht="21.0" customHeight="1"/>
    <row r="590" ht="21.0" customHeight="1"/>
    <row r="591" ht="21.0" customHeight="1"/>
    <row r="592" ht="21.0" customHeight="1"/>
    <row r="593" ht="21.0" customHeight="1"/>
    <row r="594" ht="21.0" customHeight="1"/>
    <row r="595" ht="21.0" customHeight="1"/>
    <row r="596" ht="21.0" customHeight="1"/>
    <row r="597" ht="21.0" customHeight="1"/>
    <row r="598" ht="21.0" customHeight="1"/>
    <row r="599" ht="21.0" customHeight="1"/>
    <row r="600" ht="21.0" customHeight="1"/>
    <row r="601" ht="21.0" customHeight="1"/>
    <row r="602" ht="21.0" customHeight="1"/>
    <row r="603" ht="21.0" customHeight="1"/>
    <row r="604" ht="21.0" customHeight="1"/>
    <row r="605" ht="21.0" customHeight="1"/>
    <row r="606" ht="21.0" customHeight="1"/>
    <row r="607" ht="21.0" customHeight="1"/>
    <row r="608" ht="21.0" customHeight="1"/>
    <row r="609" ht="21.0" customHeight="1"/>
    <row r="610" ht="21.0" customHeight="1"/>
    <row r="611" ht="21.0" customHeight="1"/>
    <row r="612" ht="21.0" customHeight="1"/>
    <row r="613" ht="21.0" customHeight="1"/>
    <row r="614" ht="21.0" customHeight="1"/>
    <row r="615" ht="21.0" customHeight="1"/>
    <row r="616" ht="21.0" customHeight="1"/>
    <row r="617" ht="21.0" customHeight="1"/>
    <row r="618" ht="21.0" customHeight="1"/>
    <row r="619" ht="21.0" customHeight="1"/>
    <row r="620" ht="21.0" customHeight="1"/>
    <row r="621" ht="21.0" customHeight="1"/>
    <row r="622" ht="21.0" customHeight="1"/>
    <row r="623" ht="21.0" customHeight="1"/>
    <row r="624" ht="21.0" customHeight="1"/>
    <row r="625" ht="21.0" customHeight="1"/>
    <row r="626" ht="21.0" customHeight="1"/>
    <row r="627" ht="21.0" customHeight="1"/>
    <row r="628" ht="21.0" customHeight="1"/>
    <row r="629" ht="21.0" customHeight="1"/>
    <row r="630" ht="21.0" customHeight="1"/>
    <row r="631" ht="21.0" customHeight="1"/>
    <row r="632" ht="21.0" customHeight="1"/>
    <row r="633" ht="21.0" customHeight="1"/>
    <row r="634" ht="21.0" customHeight="1"/>
    <row r="635" ht="21.0" customHeight="1"/>
    <row r="636" ht="21.0" customHeight="1"/>
    <row r="637" ht="21.0" customHeight="1"/>
    <row r="638" ht="21.0" customHeight="1"/>
    <row r="639" ht="21.0" customHeight="1"/>
    <row r="640" ht="21.0" customHeight="1"/>
    <row r="641" ht="21.0" customHeight="1"/>
    <row r="642" ht="21.0" customHeight="1"/>
    <row r="643" ht="21.0" customHeight="1"/>
    <row r="644" ht="21.0" customHeight="1"/>
    <row r="645" ht="21.0" customHeight="1"/>
    <row r="646" ht="21.0" customHeight="1"/>
    <row r="647" ht="21.0" customHeight="1"/>
    <row r="648" ht="21.0" customHeight="1"/>
    <row r="649" ht="21.0" customHeight="1"/>
    <row r="650" ht="21.0" customHeight="1"/>
    <row r="651" ht="21.0" customHeight="1"/>
    <row r="652" ht="21.0" customHeight="1"/>
    <row r="653" ht="21.0" customHeight="1"/>
    <row r="654" ht="21.0" customHeight="1"/>
    <row r="655" ht="21.0" customHeight="1"/>
    <row r="656" ht="21.0" customHeight="1"/>
    <row r="657" ht="21.0" customHeight="1"/>
    <row r="658" ht="21.0" customHeight="1"/>
    <row r="659" ht="21.0" customHeight="1"/>
    <row r="660" ht="21.0" customHeight="1"/>
    <row r="661" ht="21.0" customHeight="1"/>
    <row r="662" ht="21.0" customHeight="1"/>
    <row r="663" ht="21.0" customHeight="1"/>
    <row r="664" ht="21.0" customHeight="1"/>
    <row r="665" ht="21.0" customHeight="1"/>
    <row r="666" ht="21.0" customHeight="1"/>
    <row r="667" ht="21.0" customHeight="1"/>
    <row r="668" ht="21.0" customHeight="1"/>
    <row r="669" ht="21.0" customHeight="1"/>
    <row r="670" ht="21.0" customHeight="1"/>
    <row r="671" ht="21.0" customHeight="1"/>
    <row r="672" ht="21.0" customHeight="1"/>
    <row r="673" ht="21.0" customHeight="1"/>
    <row r="674" ht="21.0" customHeight="1"/>
    <row r="675" ht="21.0" customHeight="1"/>
    <row r="676" ht="21.0" customHeight="1"/>
    <row r="677" ht="21.0" customHeight="1"/>
    <row r="678" ht="21.0" customHeight="1"/>
    <row r="679" ht="21.0" customHeight="1"/>
    <row r="680" ht="21.0" customHeight="1"/>
    <row r="681" ht="21.0" customHeight="1"/>
    <row r="682" ht="21.0" customHeight="1"/>
    <row r="683" ht="21.0" customHeight="1"/>
    <row r="684" ht="21.0" customHeight="1"/>
    <row r="685" ht="21.0" customHeight="1"/>
    <row r="686" ht="21.0" customHeight="1"/>
    <row r="687" ht="21.0" customHeight="1"/>
    <row r="688" ht="21.0" customHeight="1"/>
    <row r="689" ht="21.0" customHeight="1"/>
    <row r="690" ht="21.0" customHeight="1"/>
    <row r="691" ht="21.0" customHeight="1"/>
    <row r="692" ht="21.0" customHeight="1"/>
    <row r="693" ht="21.0" customHeight="1"/>
    <row r="694" ht="21.0" customHeight="1"/>
    <row r="695" ht="21.0" customHeight="1"/>
    <row r="696" ht="21.0" customHeight="1"/>
    <row r="697" ht="21.0" customHeight="1"/>
    <row r="698" ht="21.0" customHeight="1"/>
    <row r="699" ht="21.0" customHeight="1"/>
    <row r="700" ht="21.0" customHeight="1"/>
    <row r="701" ht="21.0" customHeight="1"/>
    <row r="702" ht="21.0" customHeight="1"/>
    <row r="703" ht="21.0" customHeight="1"/>
    <row r="704" ht="21.0" customHeight="1"/>
    <row r="705" ht="21.0" customHeight="1"/>
    <row r="706" ht="21.0" customHeight="1"/>
    <row r="707" ht="21.0" customHeight="1"/>
    <row r="708" ht="21.0" customHeight="1"/>
    <row r="709" ht="21.0" customHeight="1"/>
    <row r="710" ht="21.0" customHeight="1"/>
    <row r="711" ht="21.0" customHeight="1"/>
    <row r="712" ht="21.0" customHeight="1"/>
    <row r="713" ht="21.0" customHeight="1"/>
    <row r="714" ht="21.0" customHeight="1"/>
    <row r="715" ht="21.0" customHeight="1"/>
    <row r="716" ht="21.0" customHeight="1"/>
    <row r="717" ht="21.0" customHeight="1"/>
    <row r="718" ht="21.0" customHeight="1"/>
    <row r="719" ht="21.0" customHeight="1"/>
    <row r="720" ht="21.0" customHeight="1"/>
    <row r="721" ht="21.0" customHeight="1"/>
    <row r="722" ht="21.0" customHeight="1"/>
    <row r="723" ht="21.0" customHeight="1"/>
    <row r="724" ht="21.0" customHeight="1"/>
    <row r="725" ht="21.0" customHeight="1"/>
    <row r="726" ht="21.0" customHeight="1"/>
    <row r="727" ht="21.0" customHeight="1"/>
    <row r="728" ht="21.0" customHeight="1"/>
    <row r="729" ht="21.0" customHeight="1"/>
    <row r="730" ht="21.0" customHeight="1"/>
    <row r="731" ht="21.0" customHeight="1"/>
    <row r="732" ht="21.0" customHeight="1"/>
    <row r="733" ht="21.0" customHeight="1"/>
    <row r="734" ht="21.0" customHeight="1"/>
    <row r="735" ht="21.0" customHeight="1"/>
    <row r="736" ht="21.0" customHeight="1"/>
    <row r="737" ht="21.0" customHeight="1"/>
    <row r="738" ht="21.0" customHeight="1"/>
    <row r="739" ht="21.0" customHeight="1"/>
    <row r="740" ht="21.0" customHeight="1"/>
    <row r="741" ht="21.0" customHeight="1"/>
    <row r="742" ht="21.0" customHeight="1"/>
    <row r="743" ht="21.0" customHeight="1"/>
    <row r="744" ht="21.0" customHeight="1"/>
    <row r="745" ht="21.0" customHeight="1"/>
    <row r="746" ht="21.0" customHeight="1"/>
    <row r="747" ht="21.0" customHeight="1"/>
    <row r="748" ht="21.0" customHeight="1"/>
    <row r="749" ht="21.0" customHeight="1"/>
    <row r="750" ht="21.0" customHeight="1"/>
    <row r="751" ht="21.0" customHeight="1"/>
    <row r="752" ht="21.0" customHeight="1"/>
    <row r="753" ht="21.0" customHeight="1"/>
    <row r="754" ht="21.0" customHeight="1"/>
    <row r="755" ht="21.0" customHeight="1"/>
    <row r="756" ht="21.0" customHeight="1"/>
    <row r="757" ht="21.0" customHeight="1"/>
    <row r="758" ht="21.0" customHeight="1"/>
    <row r="759" ht="21.0" customHeight="1"/>
    <row r="760" ht="21.0" customHeight="1"/>
    <row r="761" ht="21.0" customHeight="1"/>
    <row r="762" ht="21.0" customHeight="1"/>
    <row r="763" ht="21.0" customHeight="1"/>
    <row r="764" ht="21.0" customHeight="1"/>
    <row r="765" ht="21.0" customHeight="1"/>
    <row r="766" ht="21.0" customHeight="1"/>
    <row r="767" ht="21.0" customHeight="1"/>
    <row r="768" ht="21.0" customHeight="1"/>
    <row r="769" ht="21.0" customHeight="1"/>
    <row r="770" ht="21.0" customHeight="1"/>
    <row r="771" ht="21.0" customHeight="1"/>
    <row r="772" ht="21.0" customHeight="1"/>
    <row r="773" ht="21.0" customHeight="1"/>
    <row r="774" ht="21.0" customHeight="1"/>
    <row r="775" ht="21.0" customHeight="1"/>
    <row r="776" ht="21.0" customHeight="1"/>
    <row r="777" ht="21.0" customHeight="1"/>
    <row r="778" ht="21.0" customHeight="1"/>
    <row r="779" ht="21.0" customHeight="1"/>
    <row r="780" ht="21.0" customHeight="1"/>
    <row r="781" ht="21.0" customHeight="1"/>
    <row r="782" ht="21.0" customHeight="1"/>
    <row r="783" ht="21.0" customHeight="1"/>
    <row r="784" ht="21.0" customHeight="1"/>
    <row r="785" ht="21.0" customHeight="1"/>
    <row r="786" ht="21.0" customHeight="1"/>
    <row r="787" ht="21.0" customHeight="1"/>
    <row r="788" ht="21.0" customHeight="1"/>
    <row r="789" ht="21.0" customHeight="1"/>
    <row r="790" ht="21.0" customHeight="1"/>
    <row r="791" ht="21.0" customHeight="1"/>
    <row r="792" ht="21.0" customHeight="1"/>
    <row r="793" ht="21.0" customHeight="1"/>
    <row r="794" ht="21.0" customHeight="1"/>
    <row r="795" ht="21.0" customHeight="1"/>
    <row r="796" ht="21.0" customHeight="1"/>
    <row r="797" ht="21.0" customHeight="1"/>
    <row r="798" ht="21.0" customHeight="1"/>
    <row r="799" ht="21.0" customHeight="1"/>
    <row r="800" ht="21.0" customHeight="1"/>
    <row r="801" ht="21.0" customHeight="1"/>
    <row r="802" ht="21.0" customHeight="1"/>
    <row r="803" ht="21.0" customHeight="1"/>
    <row r="804" ht="21.0" customHeight="1"/>
    <row r="805" ht="21.0" customHeight="1"/>
    <row r="806" ht="21.0" customHeight="1"/>
    <row r="807" ht="21.0" customHeight="1"/>
    <row r="808" ht="21.0" customHeight="1"/>
    <row r="809" ht="21.0" customHeight="1"/>
    <row r="810" ht="21.0" customHeight="1"/>
    <row r="811" ht="21.0" customHeight="1"/>
    <row r="812" ht="21.0" customHeight="1"/>
    <row r="813" ht="21.0" customHeight="1"/>
    <row r="814" ht="21.0" customHeight="1"/>
    <row r="815" ht="21.0" customHeight="1"/>
    <row r="816" ht="21.0" customHeight="1"/>
    <row r="817" ht="21.0" customHeight="1"/>
    <row r="818" ht="21.0" customHeight="1"/>
    <row r="819" ht="21.0" customHeight="1"/>
    <row r="820" ht="21.0" customHeight="1"/>
    <row r="821" ht="21.0" customHeight="1"/>
    <row r="822" ht="21.0" customHeight="1"/>
    <row r="823" ht="21.0" customHeight="1"/>
    <row r="824" ht="21.0" customHeight="1"/>
    <row r="825" ht="21.0" customHeight="1"/>
    <row r="826" ht="21.0" customHeight="1"/>
    <row r="827" ht="21.0" customHeight="1"/>
    <row r="828" ht="21.0" customHeight="1"/>
    <row r="829" ht="21.0" customHeight="1"/>
    <row r="830" ht="21.0" customHeight="1"/>
    <row r="831" ht="21.0" customHeight="1"/>
    <row r="832" ht="21.0" customHeight="1"/>
    <row r="833" ht="21.0" customHeight="1"/>
    <row r="834" ht="21.0" customHeight="1"/>
    <row r="835" ht="21.0" customHeight="1"/>
    <row r="836" ht="21.0" customHeight="1"/>
    <row r="837" ht="21.0" customHeight="1"/>
    <row r="838" ht="21.0" customHeight="1"/>
    <row r="839" ht="21.0" customHeight="1"/>
    <row r="840" ht="21.0" customHeight="1"/>
    <row r="841" ht="21.0" customHeight="1"/>
    <row r="842" ht="21.0" customHeight="1"/>
    <row r="843" ht="21.0" customHeight="1"/>
    <row r="844" ht="21.0" customHeight="1"/>
    <row r="845" ht="21.0" customHeight="1"/>
    <row r="846" ht="21.0" customHeight="1"/>
    <row r="847" ht="21.0" customHeight="1"/>
    <row r="848" ht="21.0" customHeight="1"/>
    <row r="849" ht="21.0" customHeight="1"/>
    <row r="850" ht="21.0" customHeight="1"/>
    <row r="851" ht="21.0" customHeight="1"/>
    <row r="852" ht="21.0" customHeight="1"/>
    <row r="853" ht="21.0" customHeight="1"/>
    <row r="854" ht="21.0" customHeight="1"/>
    <row r="855" ht="21.0" customHeight="1"/>
    <row r="856" ht="21.0" customHeight="1"/>
    <row r="857" ht="21.0" customHeight="1"/>
    <row r="858" ht="21.0" customHeight="1"/>
    <row r="859" ht="21.0" customHeight="1"/>
    <row r="860" ht="21.0" customHeight="1"/>
    <row r="861" ht="21.0" customHeight="1"/>
    <row r="862" ht="21.0" customHeight="1"/>
    <row r="863" ht="21.0" customHeight="1"/>
    <row r="864" ht="21.0" customHeight="1"/>
    <row r="865" ht="21.0" customHeight="1"/>
    <row r="866" ht="21.0" customHeight="1"/>
    <row r="867" ht="21.0" customHeight="1"/>
    <row r="868" ht="21.0" customHeight="1"/>
    <row r="869" ht="21.0" customHeight="1"/>
    <row r="870" ht="21.0" customHeight="1"/>
    <row r="871" ht="21.0" customHeight="1"/>
    <row r="872" ht="21.0" customHeight="1"/>
    <row r="873" ht="21.0" customHeight="1"/>
    <row r="874" ht="21.0" customHeight="1"/>
    <row r="875" ht="21.0" customHeight="1"/>
    <row r="876" ht="21.0" customHeight="1"/>
    <row r="877" ht="21.0" customHeight="1"/>
    <row r="878" ht="21.0" customHeight="1"/>
    <row r="879" ht="21.0" customHeight="1"/>
    <row r="880" ht="21.0" customHeight="1"/>
    <row r="881" ht="21.0" customHeight="1"/>
    <row r="882" ht="21.0" customHeight="1"/>
    <row r="883" ht="21.0" customHeight="1"/>
    <row r="884" ht="21.0" customHeight="1"/>
    <row r="885" ht="21.0" customHeight="1"/>
    <row r="886" ht="21.0" customHeight="1"/>
    <row r="887" ht="21.0" customHeight="1"/>
    <row r="888" ht="21.0" customHeight="1"/>
    <row r="889" ht="21.0" customHeight="1"/>
    <row r="890" ht="21.0" customHeight="1"/>
    <row r="891" ht="21.0" customHeight="1"/>
    <row r="892" ht="21.0" customHeight="1"/>
    <row r="893" ht="21.0" customHeight="1"/>
    <row r="894" ht="21.0" customHeight="1"/>
    <row r="895" ht="21.0" customHeight="1"/>
    <row r="896" ht="21.0" customHeight="1"/>
    <row r="897" ht="21.0" customHeight="1"/>
    <row r="898" ht="21.0" customHeight="1"/>
    <row r="899" ht="21.0" customHeight="1"/>
    <row r="900" ht="21.0" customHeight="1"/>
    <row r="901" ht="21.0" customHeight="1"/>
    <row r="902" ht="21.0" customHeight="1"/>
    <row r="903" ht="21.0" customHeight="1"/>
    <row r="904" ht="21.0" customHeight="1"/>
    <row r="905" ht="21.0" customHeight="1"/>
    <row r="906" ht="21.0" customHeight="1"/>
    <row r="907" ht="21.0" customHeight="1"/>
    <row r="908" ht="21.0" customHeight="1"/>
    <row r="909" ht="21.0" customHeight="1"/>
    <row r="910" ht="21.0" customHeight="1"/>
    <row r="911" ht="21.0" customHeight="1"/>
    <row r="912" ht="21.0" customHeight="1"/>
    <row r="913" ht="21.0" customHeight="1"/>
    <row r="914" ht="21.0" customHeight="1"/>
    <row r="915" ht="21.0" customHeight="1"/>
    <row r="916" ht="21.0" customHeight="1"/>
    <row r="917" ht="21.0" customHeight="1"/>
    <row r="918" ht="21.0" customHeight="1"/>
    <row r="919" ht="21.0" customHeight="1"/>
    <row r="920" ht="21.0" customHeight="1"/>
    <row r="921" ht="21.0" customHeight="1"/>
    <row r="922" ht="21.0" customHeight="1"/>
    <row r="923" ht="21.0" customHeight="1"/>
    <row r="924" ht="21.0" customHeight="1"/>
    <row r="925" ht="21.0" customHeight="1"/>
    <row r="926" ht="21.0" customHeight="1"/>
    <row r="927" ht="21.0" customHeight="1"/>
    <row r="928" ht="21.0" customHeight="1"/>
    <row r="929" ht="21.0" customHeight="1"/>
    <row r="930" ht="21.0" customHeight="1"/>
    <row r="931" ht="21.0" customHeight="1"/>
    <row r="932" ht="21.0" customHeight="1"/>
    <row r="933" ht="21.0" customHeight="1"/>
    <row r="934" ht="21.0" customHeight="1"/>
    <row r="935" ht="21.0" customHeight="1"/>
    <row r="936" ht="21.0" customHeight="1"/>
    <row r="937" ht="21.0" customHeight="1"/>
    <row r="938" ht="21.0" customHeight="1"/>
    <row r="939" ht="21.0" customHeight="1"/>
    <row r="940" ht="21.0" customHeight="1"/>
    <row r="941" ht="21.0" customHeight="1"/>
    <row r="942" ht="21.0" customHeight="1"/>
    <row r="943" ht="21.0" customHeight="1"/>
    <row r="944" ht="21.0" customHeight="1"/>
    <row r="945" ht="21.0" customHeight="1"/>
    <row r="946" ht="21.0" customHeight="1"/>
    <row r="947" ht="21.0" customHeight="1"/>
    <row r="948" ht="21.0" customHeight="1"/>
    <row r="949" ht="21.0" customHeight="1"/>
    <row r="950" ht="21.0" customHeight="1"/>
    <row r="951" ht="21.0" customHeight="1"/>
    <row r="952" ht="21.0" customHeight="1"/>
    <row r="953" ht="21.0" customHeight="1"/>
    <row r="954" ht="21.0" customHeight="1"/>
    <row r="955" ht="21.0" customHeight="1"/>
    <row r="956" ht="21.0" customHeight="1"/>
    <row r="957" ht="21.0" customHeight="1"/>
    <row r="958" ht="21.0" customHeight="1"/>
    <row r="959" ht="21.0" customHeight="1"/>
    <row r="960" ht="21.0" customHeight="1"/>
    <row r="961" ht="21.0" customHeight="1"/>
    <row r="962" ht="21.0" customHeight="1"/>
    <row r="963" ht="21.0" customHeight="1"/>
    <row r="964" ht="21.0" customHeight="1"/>
    <row r="965" ht="21.0" customHeight="1"/>
    <row r="966" ht="21.0" customHeight="1"/>
    <row r="967" ht="21.0" customHeight="1"/>
    <row r="968" ht="21.0" customHeight="1"/>
    <row r="969" ht="21.0" customHeight="1"/>
    <row r="970" ht="21.0" customHeight="1"/>
    <row r="971" ht="21.0" customHeight="1"/>
    <row r="972" ht="21.0" customHeight="1"/>
    <row r="973" ht="21.0" customHeight="1"/>
    <row r="974" ht="21.0" customHeight="1"/>
    <row r="975" ht="21.0" customHeight="1"/>
    <row r="976" ht="21.0" customHeight="1"/>
    <row r="977" ht="21.0" customHeight="1"/>
    <row r="978" ht="21.0" customHeight="1"/>
    <row r="979" ht="21.0" customHeight="1"/>
    <row r="980" ht="21.0" customHeight="1"/>
    <row r="981" ht="21.0" customHeight="1"/>
    <row r="982" ht="21.0" customHeight="1"/>
    <row r="983" ht="21.0" customHeight="1"/>
    <row r="984" ht="21.0" customHeight="1"/>
    <row r="985" ht="21.0" customHeight="1"/>
    <row r="986" ht="21.0" customHeight="1"/>
    <row r="987" ht="21.0" customHeight="1"/>
    <row r="988" ht="21.0" customHeight="1"/>
    <row r="989" ht="21.0" customHeight="1"/>
    <row r="990" ht="21.0" customHeight="1"/>
    <row r="991" ht="21.0" customHeight="1"/>
    <row r="992" ht="21.0" customHeight="1"/>
    <row r="993" ht="21.0" customHeight="1"/>
    <row r="994" ht="21.0" customHeight="1"/>
    <row r="995" ht="21.0" customHeight="1"/>
    <row r="996" ht="21.0" customHeight="1"/>
    <row r="997" ht="21.0" customHeight="1"/>
    <row r="998" ht="21.0" customHeight="1"/>
    <row r="999" ht="21.0" customHeight="1"/>
    <row r="1000" ht="21.0" customHeight="1"/>
  </sheetData>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7.57"/>
    <col customWidth="1" min="3" max="3" width="43.43"/>
    <col customWidth="1" min="4" max="4" width="80.86"/>
    <col customWidth="1" min="5" max="5" width="67.43"/>
    <col customWidth="1" min="6" max="6" width="34.29"/>
  </cols>
  <sheetData>
    <row r="1">
      <c r="A1" s="81" t="s">
        <v>3204</v>
      </c>
      <c r="B1" s="81" t="s">
        <v>3213</v>
      </c>
      <c r="C1" s="81" t="s">
        <v>3214</v>
      </c>
      <c r="D1" s="81" t="s">
        <v>3215</v>
      </c>
      <c r="E1" s="81" t="s">
        <v>3216</v>
      </c>
      <c r="F1" s="81" t="s">
        <v>3209</v>
      </c>
    </row>
    <row r="2" ht="267.75" customHeight="1">
      <c r="A2" s="81" t="s">
        <v>3344</v>
      </c>
      <c r="E2" s="525" t="s">
        <v>3345</v>
      </c>
    </row>
    <row r="3">
      <c r="E3" s="101"/>
    </row>
  </sheetData>
  <drawing r:id="rId1"/>
</worksheet>
</file>